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1" sheetId="2" r:id="rId1"/>
    <sheet name="order_items" sheetId="1" r:id="rId2"/>
  </sheets>
  <externalReferences>
    <externalReference r:id="rId4"/>
    <externalReference r:id="rId5"/>
  </externalReferences>
  <definedNames>
    <definedName name="_xlnm._FilterDatabase" localSheetId="1" hidden="1">order_items!$A$1:$F$4723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<sst xmlns="http://schemas.openxmlformats.org/spreadsheetml/2006/main" count="20" uniqueCount="19">
  <si>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category_name</t>
  </si>
  <si>
    <t>Sum of total_price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</si>
  <si>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</si>
  <si>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</si>
  <si>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</si>
  <si>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</si>
  <si>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</si>
  <si>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</si>
  <si>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</si>
  <si>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Grand Total</t>
  </si>
  <si>
    <t>order_id</t>
  </si>
  <si>
    <t>item_id</t>
  </si>
  <si>
    <t>product_id</t>
  </si>
  <si>
    <t>quantity</t>
  </si>
  <si>
    <t>list_price</t>
  </si>
  <si>
    <t>discount</t>
  </si>
  <si>
    <t>total_price</t>
  </si>
  <si>
    <t>product_names</t>
  </si>
  <si>
    <t>category_id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</si>
</sst>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ategori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cts"/>
    </sheetNames>
    <sheetDataSet>
      <sheetData sheetId="0">
        <row r="1">
          <cell r="A1" t="str">
            <v>product_id</v>
          </cell>
          <cell r="B1" t="str">
            <v>product_name</v>
          </cell>
          <cell r="C1" t="str">
            <v>brand_id</v>
          </cell>
          <cell r="D1" t="str">
            <v>category_id</v>
          </cell>
        </row>
        <row r="2">
          <cell r="A2">
            <v>1</v>
          </cell>
          <cell r="B2" t="str">
            <v>Trek 820 - 2016</v>
          </cell>
          <cell r="C2">
            <v>9</v>
          </cell>
          <cell r="D2">
            <v>6</v>
          </cell>
        </row>
        <row r="3">
          <cell r="A3">
            <v>2</v>
          </cell>
          <cell r="B3" t="str">
            <v>Ritchey Timberwolf Frameset - 2016</v>
          </cell>
          <cell r="C3">
            <v>5</v>
          </cell>
          <cell r="D3">
            <v>6</v>
          </cell>
        </row>
        <row r="4">
          <cell r="A4">
            <v>3</v>
          </cell>
          <cell r="B4" t="str">
            <v>Surly Wednesday Frameset - 2016</v>
          </cell>
          <cell r="C4">
            <v>8</v>
          </cell>
          <cell r="D4">
            <v>6</v>
          </cell>
        </row>
        <row r="5">
          <cell r="A5">
            <v>4</v>
          </cell>
          <cell r="B5" t="str">
            <v>Trek Fuel EX 8 29 - 2016</v>
          </cell>
          <cell r="C5">
            <v>9</v>
          </cell>
          <cell r="D5">
            <v>6</v>
          </cell>
        </row>
        <row r="6">
          <cell r="A6">
            <v>5</v>
          </cell>
          <cell r="B6" t="str">
            <v>Heller Shagamaw Frame - 2016</v>
          </cell>
          <cell r="C6">
            <v>3</v>
          </cell>
          <cell r="D6">
            <v>6</v>
          </cell>
        </row>
        <row r="7">
          <cell r="A7">
            <v>6</v>
          </cell>
          <cell r="B7" t="str">
            <v>Surly Ice Cream Truck Frameset - 2016</v>
          </cell>
          <cell r="C7">
            <v>8</v>
          </cell>
          <cell r="D7">
            <v>6</v>
          </cell>
        </row>
        <row r="8">
          <cell r="A8">
            <v>7</v>
          </cell>
          <cell r="B8" t="str">
            <v>Trek Slash 8 27.5 - 2016</v>
          </cell>
          <cell r="C8">
            <v>9</v>
          </cell>
          <cell r="D8">
            <v>6</v>
          </cell>
        </row>
        <row r="9">
          <cell r="A9">
            <v>8</v>
          </cell>
          <cell r="B9" t="str">
            <v>Trek Remedy 29 Carbon Frameset - 2016</v>
          </cell>
          <cell r="C9">
            <v>9</v>
          </cell>
          <cell r="D9">
            <v>6</v>
          </cell>
        </row>
        <row r="10">
          <cell r="A10">
            <v>9</v>
          </cell>
          <cell r="B10" t="str">
            <v>Trek Conduit+ - 2016</v>
          </cell>
          <cell r="C10">
            <v>9</v>
          </cell>
          <cell r="D10">
            <v>5</v>
          </cell>
        </row>
        <row r="11">
          <cell r="A11">
            <v>10</v>
          </cell>
          <cell r="B11" t="str">
            <v>Surly Straggler - 2016</v>
          </cell>
          <cell r="C11">
            <v>8</v>
          </cell>
          <cell r="D11">
            <v>4</v>
          </cell>
        </row>
        <row r="12">
          <cell r="A12">
            <v>11</v>
          </cell>
          <cell r="B12" t="str">
            <v>Surly Straggler 650b - 2016</v>
          </cell>
          <cell r="C12">
            <v>8</v>
          </cell>
          <cell r="D12">
            <v>4</v>
          </cell>
        </row>
        <row r="13">
          <cell r="A13">
            <v>12</v>
          </cell>
          <cell r="B13" t="str">
            <v>Electra Townie Original 21D - 2016</v>
          </cell>
          <cell r="C13">
            <v>1</v>
          </cell>
          <cell r="D13">
            <v>3</v>
          </cell>
        </row>
        <row r="14">
          <cell r="A14">
            <v>13</v>
          </cell>
          <cell r="B14" t="str">
            <v>Electra Cruiser 1 (24-Inch) - 2016</v>
          </cell>
          <cell r="C14">
            <v>1</v>
          </cell>
          <cell r="D14">
            <v>3</v>
          </cell>
        </row>
        <row r="15">
          <cell r="A15">
            <v>14</v>
          </cell>
          <cell r="B15" t="str">
            <v>Electra Girl's Hawaii 1 (16-inch) - 2015/2016</v>
          </cell>
          <cell r="C15">
            <v>1</v>
          </cell>
          <cell r="D15">
            <v>3</v>
          </cell>
        </row>
        <row r="16">
          <cell r="A16">
            <v>15</v>
          </cell>
          <cell r="B16" t="str">
            <v>Electra Moto 1 - 2016</v>
          </cell>
          <cell r="C16">
            <v>1</v>
          </cell>
          <cell r="D16">
            <v>3</v>
          </cell>
        </row>
        <row r="17">
          <cell r="A17">
            <v>16</v>
          </cell>
          <cell r="B17" t="str">
            <v>Electra Townie Original 7D EQ - 2016</v>
          </cell>
          <cell r="C17">
            <v>1</v>
          </cell>
          <cell r="D17">
            <v>3</v>
          </cell>
        </row>
        <row r="18">
          <cell r="A18">
            <v>17</v>
          </cell>
          <cell r="B18" t="str">
            <v>Pure Cycles Vine 8-Speed - 2016</v>
          </cell>
          <cell r="C18">
            <v>4</v>
          </cell>
          <cell r="D18">
            <v>3</v>
          </cell>
        </row>
        <row r="19">
          <cell r="A19">
            <v>18</v>
          </cell>
          <cell r="B19" t="str">
            <v>Pure Cycles Western 3-Speed - Women's - 2015/2016</v>
          </cell>
          <cell r="C19">
            <v>4</v>
          </cell>
          <cell r="D19">
            <v>3</v>
          </cell>
        </row>
        <row r="20">
          <cell r="A20">
            <v>19</v>
          </cell>
          <cell r="B20" t="str">
            <v>Pure Cycles William 3-Speed - 2016</v>
          </cell>
          <cell r="C20">
            <v>4</v>
          </cell>
          <cell r="D20">
            <v>3</v>
          </cell>
        </row>
        <row r="21">
          <cell r="A21">
            <v>20</v>
          </cell>
          <cell r="B21" t="str">
            <v>Electra Townie Original 7D EQ - Women's - 2016</v>
          </cell>
          <cell r="C21">
            <v>1</v>
          </cell>
          <cell r="D21">
            <v>3</v>
          </cell>
        </row>
        <row r="22">
          <cell r="A22">
            <v>21</v>
          </cell>
          <cell r="B22" t="str">
            <v>Electra Cruiser 1 (24-Inch) - 2016</v>
          </cell>
          <cell r="C22">
            <v>1</v>
          </cell>
          <cell r="D22">
            <v>1</v>
          </cell>
        </row>
        <row r="23">
          <cell r="A23">
            <v>22</v>
          </cell>
          <cell r="B23" t="str">
            <v>Electra Girl's Hawaii 1 (16-inch) - 2015/2016</v>
          </cell>
          <cell r="C23">
            <v>1</v>
          </cell>
          <cell r="D23">
            <v>1</v>
          </cell>
        </row>
        <row r="24">
          <cell r="A24">
            <v>23</v>
          </cell>
          <cell r="B24" t="str">
            <v>Electra Girl's Hawaii 1 (20-inch) - 2015/2016</v>
          </cell>
          <cell r="C24">
            <v>1</v>
          </cell>
          <cell r="D24">
            <v>1</v>
          </cell>
        </row>
        <row r="25">
          <cell r="A25">
            <v>24</v>
          </cell>
          <cell r="B25" t="str">
            <v>Electra Townie Original 21D - 2016</v>
          </cell>
          <cell r="C25">
            <v>1</v>
          </cell>
          <cell r="D25">
            <v>2</v>
          </cell>
        </row>
        <row r="26">
          <cell r="A26">
            <v>25</v>
          </cell>
          <cell r="B26" t="str">
            <v>Electra Townie Original 7D - 2015/2016</v>
          </cell>
          <cell r="C26">
            <v>1</v>
          </cell>
          <cell r="D26">
            <v>2</v>
          </cell>
        </row>
        <row r="27">
          <cell r="A27">
            <v>26</v>
          </cell>
          <cell r="B27" t="str">
            <v>Electra Townie Original 7D EQ - 2016</v>
          </cell>
          <cell r="C27">
            <v>1</v>
          </cell>
          <cell r="D27">
            <v>2</v>
          </cell>
        </row>
        <row r="28">
          <cell r="A28">
            <v>27</v>
          </cell>
          <cell r="B28" t="str">
            <v>Surly Big Dummy Frameset - 2017</v>
          </cell>
          <cell r="C28">
            <v>8</v>
          </cell>
          <cell r="D28">
            <v>6</v>
          </cell>
        </row>
        <row r="29">
          <cell r="A29">
            <v>28</v>
          </cell>
          <cell r="B29" t="str">
            <v>Surly Karate Monkey 27.5+ Frameset - 2017</v>
          </cell>
          <cell r="C29">
            <v>8</v>
          </cell>
          <cell r="D29">
            <v>6</v>
          </cell>
        </row>
        <row r="30">
          <cell r="A30">
            <v>29</v>
          </cell>
          <cell r="B30" t="str">
            <v>Trek X-Caliber 8 - 2017</v>
          </cell>
          <cell r="C30">
            <v>9</v>
          </cell>
          <cell r="D30">
            <v>6</v>
          </cell>
        </row>
        <row r="31">
          <cell r="A31">
            <v>30</v>
          </cell>
          <cell r="B31" t="str">
            <v>Surly Ice Cream Truck Frameset - 2017</v>
          </cell>
          <cell r="C31">
            <v>8</v>
          </cell>
          <cell r="D31">
            <v>6</v>
          </cell>
        </row>
        <row r="32">
          <cell r="A32">
            <v>31</v>
          </cell>
          <cell r="B32" t="str">
            <v>Surly Wednesday - 2017</v>
          </cell>
          <cell r="C32">
            <v>8</v>
          </cell>
          <cell r="D32">
            <v>6</v>
          </cell>
        </row>
        <row r="33">
          <cell r="A33">
            <v>32</v>
          </cell>
          <cell r="B33" t="str">
            <v>Trek Farley Alloy Frameset - 2017</v>
          </cell>
          <cell r="C33">
            <v>9</v>
          </cell>
          <cell r="D33">
            <v>6</v>
          </cell>
        </row>
        <row r="34">
          <cell r="A34">
            <v>33</v>
          </cell>
          <cell r="B34" t="str">
            <v>Surly Wednesday Frameset - 2017</v>
          </cell>
          <cell r="C34">
            <v>8</v>
          </cell>
          <cell r="D34">
            <v>6</v>
          </cell>
        </row>
        <row r="35">
          <cell r="A35">
            <v>34</v>
          </cell>
          <cell r="B35" t="str">
            <v>Trek Session DH 27.5 Carbon Frameset - 2017</v>
          </cell>
          <cell r="C35">
            <v>9</v>
          </cell>
          <cell r="D35">
            <v>6</v>
          </cell>
        </row>
        <row r="36">
          <cell r="A36">
            <v>35</v>
          </cell>
          <cell r="B36" t="str">
            <v>Sun Bicycles Spider 3i - 2017</v>
          </cell>
          <cell r="C36">
            <v>7</v>
          </cell>
          <cell r="D36">
            <v>6</v>
          </cell>
        </row>
        <row r="37">
          <cell r="A37">
            <v>36</v>
          </cell>
          <cell r="B37" t="str">
            <v>Surly Troll Frameset - 2017</v>
          </cell>
          <cell r="C37">
            <v>8</v>
          </cell>
          <cell r="D37">
            <v>6</v>
          </cell>
        </row>
        <row r="38">
          <cell r="A38">
            <v>37</v>
          </cell>
          <cell r="B38" t="str">
            <v>Haro Flightline One ST - 2017</v>
          </cell>
          <cell r="C38">
            <v>2</v>
          </cell>
          <cell r="D38">
            <v>6</v>
          </cell>
        </row>
        <row r="39">
          <cell r="A39">
            <v>38</v>
          </cell>
          <cell r="B39" t="str">
            <v>Haro Flightline Two 26 Plus - 2017</v>
          </cell>
          <cell r="C39">
            <v>2</v>
          </cell>
          <cell r="D39">
            <v>6</v>
          </cell>
        </row>
        <row r="40">
          <cell r="A40">
            <v>39</v>
          </cell>
          <cell r="B40" t="str">
            <v>Trek Stache 5 - 2017</v>
          </cell>
          <cell r="C40">
            <v>9</v>
          </cell>
          <cell r="D40">
            <v>6</v>
          </cell>
        </row>
        <row r="41">
          <cell r="A41">
            <v>40</v>
          </cell>
          <cell r="B41" t="str">
            <v>Trek Fuel EX 9.8 29 - 2017</v>
          </cell>
          <cell r="C41">
            <v>9</v>
          </cell>
          <cell r="D41">
            <v>6</v>
          </cell>
        </row>
        <row r="42">
          <cell r="A42">
            <v>41</v>
          </cell>
          <cell r="B42" t="str">
            <v>Haro Shift R3 - 2017</v>
          </cell>
          <cell r="C42">
            <v>2</v>
          </cell>
          <cell r="D42">
            <v>6</v>
          </cell>
        </row>
        <row r="43">
          <cell r="A43">
            <v>42</v>
          </cell>
          <cell r="B43" t="str">
            <v>Trek Fuel EX 5 27.5 Plus - 2017</v>
          </cell>
          <cell r="C43">
            <v>9</v>
          </cell>
          <cell r="D43">
            <v>6</v>
          </cell>
        </row>
        <row r="44">
          <cell r="A44">
            <v>43</v>
          </cell>
          <cell r="B44" t="str">
            <v>Trek Fuel EX 9.8 27.5 Plus - 2017</v>
          </cell>
          <cell r="C44">
            <v>9</v>
          </cell>
          <cell r="D44">
            <v>6</v>
          </cell>
        </row>
        <row r="45">
          <cell r="A45">
            <v>44</v>
          </cell>
          <cell r="B45" t="str">
            <v>Haro SR 1.1 - 2017</v>
          </cell>
          <cell r="C45">
            <v>2</v>
          </cell>
          <cell r="D45">
            <v>6</v>
          </cell>
        </row>
        <row r="46">
          <cell r="A46">
            <v>45</v>
          </cell>
          <cell r="B46" t="str">
            <v>Haro SR 1.2 - 2017</v>
          </cell>
          <cell r="C46">
            <v>2</v>
          </cell>
          <cell r="D46">
            <v>6</v>
          </cell>
        </row>
        <row r="47">
          <cell r="A47">
            <v>46</v>
          </cell>
          <cell r="B47" t="str">
            <v>Haro SR 1.3 - 2017</v>
          </cell>
          <cell r="C47">
            <v>2</v>
          </cell>
          <cell r="D47">
            <v>6</v>
          </cell>
        </row>
        <row r="48">
          <cell r="A48">
            <v>47</v>
          </cell>
          <cell r="B48" t="str">
            <v>Trek Remedy 9.8 - 2017</v>
          </cell>
          <cell r="C48">
            <v>9</v>
          </cell>
          <cell r="D48">
            <v>6</v>
          </cell>
        </row>
        <row r="49">
          <cell r="A49">
            <v>48</v>
          </cell>
          <cell r="B49" t="str">
            <v>Trek Emonda S 4 - 2017</v>
          </cell>
          <cell r="C49">
            <v>9</v>
          </cell>
          <cell r="D49">
            <v>7</v>
          </cell>
        </row>
        <row r="50">
          <cell r="A50">
            <v>49</v>
          </cell>
          <cell r="B50" t="str">
            <v>Trek Domane SL 6 - 2017</v>
          </cell>
          <cell r="C50">
            <v>9</v>
          </cell>
          <cell r="D50">
            <v>7</v>
          </cell>
        </row>
        <row r="51">
          <cell r="A51">
            <v>50</v>
          </cell>
          <cell r="B51" t="str">
            <v>Trek Silque SLR 7 Women's - 2017</v>
          </cell>
          <cell r="C51">
            <v>9</v>
          </cell>
          <cell r="D51">
            <v>7</v>
          </cell>
        </row>
        <row r="52">
          <cell r="A52">
            <v>51</v>
          </cell>
          <cell r="B52" t="str">
            <v>Trek Silque SLR 8 Women's - 2017</v>
          </cell>
          <cell r="C52">
            <v>9</v>
          </cell>
          <cell r="D52">
            <v>7</v>
          </cell>
        </row>
        <row r="53">
          <cell r="A53">
            <v>52</v>
          </cell>
          <cell r="B53" t="str">
            <v>Surly Steamroller - 2017</v>
          </cell>
          <cell r="C53">
            <v>8</v>
          </cell>
          <cell r="D53">
            <v>7</v>
          </cell>
        </row>
        <row r="54">
          <cell r="A54">
            <v>53</v>
          </cell>
          <cell r="B54" t="str">
            <v>Surly Ogre Frameset - 2017</v>
          </cell>
          <cell r="C54">
            <v>8</v>
          </cell>
          <cell r="D54">
            <v>7</v>
          </cell>
        </row>
        <row r="55">
          <cell r="A55">
            <v>54</v>
          </cell>
          <cell r="B55" t="str">
            <v>Trek Domane SL Disc Frameset - 2017</v>
          </cell>
          <cell r="C55">
            <v>9</v>
          </cell>
          <cell r="D55">
            <v>7</v>
          </cell>
        </row>
        <row r="56">
          <cell r="A56">
            <v>55</v>
          </cell>
          <cell r="B56" t="str">
            <v>Trek Domane S 6 - 2017</v>
          </cell>
          <cell r="C56">
            <v>9</v>
          </cell>
          <cell r="D56">
            <v>7</v>
          </cell>
        </row>
        <row r="57">
          <cell r="A57">
            <v>56</v>
          </cell>
          <cell r="B57" t="str">
            <v>Trek Domane SLR 6 Disc - 2017</v>
          </cell>
          <cell r="C57">
            <v>9</v>
          </cell>
          <cell r="D57">
            <v>7</v>
          </cell>
        </row>
        <row r="58">
          <cell r="A58">
            <v>57</v>
          </cell>
          <cell r="B58" t="str">
            <v>Trek Emonda S 5 - 2017</v>
          </cell>
          <cell r="C58">
            <v>9</v>
          </cell>
          <cell r="D58">
            <v>7</v>
          </cell>
        </row>
        <row r="59">
          <cell r="A59">
            <v>58</v>
          </cell>
          <cell r="B59" t="str">
            <v>Trek Madone 9.2 - 2017</v>
          </cell>
          <cell r="C59">
            <v>9</v>
          </cell>
          <cell r="D59">
            <v>7</v>
          </cell>
        </row>
        <row r="60">
          <cell r="A60">
            <v>59</v>
          </cell>
          <cell r="B60" t="str">
            <v>Trek Domane S 5 Disc - 2017</v>
          </cell>
          <cell r="C60">
            <v>9</v>
          </cell>
          <cell r="D60">
            <v>7</v>
          </cell>
        </row>
        <row r="61">
          <cell r="A61">
            <v>60</v>
          </cell>
          <cell r="B61" t="str">
            <v>Sun Bicycles ElectroLite - 2017</v>
          </cell>
          <cell r="C61">
            <v>7</v>
          </cell>
          <cell r="D61">
            <v>5</v>
          </cell>
        </row>
        <row r="62">
          <cell r="A62">
            <v>61</v>
          </cell>
          <cell r="B62" t="str">
            <v>Trek Powerfly 8 FS Plus - 2017</v>
          </cell>
          <cell r="C62">
            <v>9</v>
          </cell>
          <cell r="D62">
            <v>5</v>
          </cell>
        </row>
        <row r="63">
          <cell r="A63">
            <v>62</v>
          </cell>
          <cell r="B63" t="str">
            <v>Trek Boone 7 - 2017</v>
          </cell>
          <cell r="C63">
            <v>9</v>
          </cell>
          <cell r="D63">
            <v>4</v>
          </cell>
        </row>
        <row r="64">
          <cell r="A64">
            <v>63</v>
          </cell>
          <cell r="B64" t="str">
            <v>Trek Boone Race Shop Limited - 2017</v>
          </cell>
          <cell r="C64">
            <v>9</v>
          </cell>
          <cell r="D64">
            <v>4</v>
          </cell>
        </row>
        <row r="65">
          <cell r="A65">
            <v>64</v>
          </cell>
          <cell r="B65" t="str">
            <v>Electra Townie Original 7D - 2017</v>
          </cell>
          <cell r="C65">
            <v>1</v>
          </cell>
          <cell r="D65">
            <v>3</v>
          </cell>
        </row>
        <row r="66">
          <cell r="A66">
            <v>65</v>
          </cell>
          <cell r="B66" t="str">
            <v>Sun Bicycles Lil Bolt Type-R - 2017</v>
          </cell>
          <cell r="C66">
            <v>7</v>
          </cell>
          <cell r="D66">
            <v>3</v>
          </cell>
        </row>
        <row r="67">
          <cell r="A67">
            <v>66</v>
          </cell>
          <cell r="B67" t="str">
            <v>Sun Bicycles Revolutions 24 - 2017</v>
          </cell>
          <cell r="C67">
            <v>7</v>
          </cell>
          <cell r="D67">
            <v>3</v>
          </cell>
        </row>
        <row r="68">
          <cell r="A68">
            <v>67</v>
          </cell>
          <cell r="B68" t="str">
            <v>Sun Bicycles Revolutions 24 - Girl's - 2017</v>
          </cell>
          <cell r="C68">
            <v>7</v>
          </cell>
          <cell r="D68">
            <v>3</v>
          </cell>
        </row>
        <row r="69">
          <cell r="A69">
            <v>68</v>
          </cell>
          <cell r="B69" t="str">
            <v>Sun Bicycles Cruz 3 - 2017</v>
          </cell>
          <cell r="C69">
            <v>7</v>
          </cell>
          <cell r="D69">
            <v>3</v>
          </cell>
        </row>
        <row r="70">
          <cell r="A70">
            <v>69</v>
          </cell>
          <cell r="B70" t="str">
            <v>Sun Bicycles Cruz 7 - 2017</v>
          </cell>
          <cell r="C70">
            <v>7</v>
          </cell>
          <cell r="D70">
            <v>3</v>
          </cell>
        </row>
        <row r="71">
          <cell r="A71">
            <v>70</v>
          </cell>
          <cell r="B71" t="str">
            <v>Electra Amsterdam Original 3i - 2015/2017</v>
          </cell>
          <cell r="C71">
            <v>1</v>
          </cell>
          <cell r="D71">
            <v>3</v>
          </cell>
        </row>
        <row r="72">
          <cell r="A72">
            <v>71</v>
          </cell>
          <cell r="B72" t="str">
            <v>Sun Bicycles Atlas X-Type - 2017</v>
          </cell>
          <cell r="C72">
            <v>7</v>
          </cell>
          <cell r="D72">
            <v>3</v>
          </cell>
        </row>
        <row r="73">
          <cell r="A73">
            <v>72</v>
          </cell>
          <cell r="B73" t="str">
            <v>Sun Bicycles Biscayne Tandem 7 - 2017</v>
          </cell>
          <cell r="C73">
            <v>7</v>
          </cell>
          <cell r="D73">
            <v>3</v>
          </cell>
        </row>
        <row r="74">
          <cell r="A74">
            <v>73</v>
          </cell>
          <cell r="B74" t="str">
            <v>Sun Bicycles Brickell Tandem 7 - 2017</v>
          </cell>
          <cell r="C74">
            <v>7</v>
          </cell>
          <cell r="D74">
            <v>3</v>
          </cell>
        </row>
        <row r="75">
          <cell r="A75">
            <v>74</v>
          </cell>
          <cell r="B75" t="str">
            <v>Electra Cruiser Lux 1 - 2017</v>
          </cell>
          <cell r="C75">
            <v>1</v>
          </cell>
          <cell r="D75">
            <v>3</v>
          </cell>
        </row>
        <row r="76">
          <cell r="A76">
            <v>75</v>
          </cell>
          <cell r="B76" t="str">
            <v>Electra Cruiser Lux Fat Tire 1 Ladies - 2017</v>
          </cell>
          <cell r="C76">
            <v>1</v>
          </cell>
          <cell r="D76">
            <v>3</v>
          </cell>
        </row>
        <row r="77">
          <cell r="A77">
            <v>76</v>
          </cell>
          <cell r="B77" t="str">
            <v>Electra Girl's Hawaii 1 16" - 2017</v>
          </cell>
          <cell r="C77">
            <v>1</v>
          </cell>
          <cell r="D77">
            <v>3</v>
          </cell>
        </row>
        <row r="78">
          <cell r="A78">
            <v>77</v>
          </cell>
          <cell r="B78" t="str">
            <v>Electra Glam Punk 3i Ladies' - 2017</v>
          </cell>
          <cell r="C78">
            <v>1</v>
          </cell>
          <cell r="D78">
            <v>3</v>
          </cell>
        </row>
        <row r="79">
          <cell r="A79">
            <v>78</v>
          </cell>
          <cell r="B79" t="str">
            <v>Sun Bicycles Biscayne Tandem CB - 2017</v>
          </cell>
          <cell r="C79">
            <v>7</v>
          </cell>
          <cell r="D79">
            <v>3</v>
          </cell>
        </row>
        <row r="80">
          <cell r="A80">
            <v>79</v>
          </cell>
          <cell r="B80" t="str">
            <v>Sun Bicycles Boardwalk (24-inch Wheels) - 2017</v>
          </cell>
          <cell r="C80">
            <v>7</v>
          </cell>
          <cell r="D80">
            <v>3</v>
          </cell>
        </row>
        <row r="81">
          <cell r="A81">
            <v>80</v>
          </cell>
          <cell r="B81" t="str">
            <v>Sun Bicycles Brickell Tandem CB - 2017</v>
          </cell>
          <cell r="C81">
            <v>7</v>
          </cell>
          <cell r="D81">
            <v>3</v>
          </cell>
        </row>
        <row r="82">
          <cell r="A82">
            <v>81</v>
          </cell>
          <cell r="B82" t="str">
            <v>Electra Amsterdam Fashion 7i Ladies' - 2017</v>
          </cell>
          <cell r="C82">
            <v>1</v>
          </cell>
          <cell r="D82">
            <v>3</v>
          </cell>
        </row>
        <row r="83">
          <cell r="A83">
            <v>82</v>
          </cell>
          <cell r="B83" t="str">
            <v>Electra Amsterdam Original 3i Ladies' - 2017</v>
          </cell>
          <cell r="C83">
            <v>1</v>
          </cell>
          <cell r="D83">
            <v>3</v>
          </cell>
        </row>
        <row r="84">
          <cell r="A84">
            <v>83</v>
          </cell>
          <cell r="B84" t="str">
            <v>Trek Boy's Kickster - 2015/2017</v>
          </cell>
          <cell r="C84">
            <v>9</v>
          </cell>
          <cell r="D84">
            <v>1</v>
          </cell>
        </row>
        <row r="85">
          <cell r="A85">
            <v>84</v>
          </cell>
          <cell r="B85" t="str">
            <v>Sun Bicycles Lil Kitt'n - 2017</v>
          </cell>
          <cell r="C85">
            <v>7</v>
          </cell>
          <cell r="D85">
            <v>1</v>
          </cell>
        </row>
        <row r="86">
          <cell r="A86">
            <v>85</v>
          </cell>
          <cell r="B86" t="str">
            <v>Haro Downtown 16 - 2017</v>
          </cell>
          <cell r="C86">
            <v>2</v>
          </cell>
          <cell r="D86">
            <v>1</v>
          </cell>
        </row>
        <row r="87">
          <cell r="A87">
            <v>86</v>
          </cell>
          <cell r="B87" t="str">
            <v>Trek Girl's Kickster - 2017</v>
          </cell>
          <cell r="C87">
            <v>9</v>
          </cell>
          <cell r="D87">
            <v>1</v>
          </cell>
        </row>
        <row r="88">
          <cell r="A88">
            <v>87</v>
          </cell>
          <cell r="B88" t="str">
            <v>Trek Precaliber 12 Boys - 2017</v>
          </cell>
          <cell r="C88">
            <v>9</v>
          </cell>
          <cell r="D88">
            <v>1</v>
          </cell>
        </row>
        <row r="89">
          <cell r="A89">
            <v>88</v>
          </cell>
          <cell r="B89" t="str">
            <v>Trek Precaliber 12 Girls - 2017</v>
          </cell>
          <cell r="C89">
            <v>9</v>
          </cell>
          <cell r="D89">
            <v>1</v>
          </cell>
        </row>
        <row r="90">
          <cell r="A90">
            <v>89</v>
          </cell>
          <cell r="B90" t="str">
            <v>Trek Precaliber 16 Boys - 2017</v>
          </cell>
          <cell r="C90">
            <v>9</v>
          </cell>
          <cell r="D90">
            <v>1</v>
          </cell>
        </row>
        <row r="91">
          <cell r="A91">
            <v>90</v>
          </cell>
          <cell r="B91" t="str">
            <v>Trek Precaliber 16 Girls - 2017</v>
          </cell>
          <cell r="C91">
            <v>9</v>
          </cell>
          <cell r="D91">
            <v>1</v>
          </cell>
        </row>
        <row r="92">
          <cell r="A92">
            <v>91</v>
          </cell>
          <cell r="B92" t="str">
            <v>Trek Precaliber 24 (21-Speed) - Girls - 2017</v>
          </cell>
          <cell r="C92">
            <v>9</v>
          </cell>
          <cell r="D92">
            <v>1</v>
          </cell>
        </row>
        <row r="93">
          <cell r="A93">
            <v>92</v>
          </cell>
          <cell r="B93" t="str">
            <v>Haro Shredder 20 - 2017</v>
          </cell>
          <cell r="C93">
            <v>2</v>
          </cell>
          <cell r="D93">
            <v>1</v>
          </cell>
        </row>
        <row r="94">
          <cell r="A94">
            <v>93</v>
          </cell>
          <cell r="B94" t="str">
            <v>Haro Shredder 20 Girls - 2017</v>
          </cell>
          <cell r="C94">
            <v>2</v>
          </cell>
          <cell r="D94">
            <v>1</v>
          </cell>
        </row>
        <row r="95">
          <cell r="A95">
            <v>94</v>
          </cell>
          <cell r="B95" t="str">
            <v>Haro Shredder Pro 20 - 2017</v>
          </cell>
          <cell r="C95">
            <v>2</v>
          </cell>
          <cell r="D95">
            <v>1</v>
          </cell>
        </row>
        <row r="96">
          <cell r="A96">
            <v>95</v>
          </cell>
          <cell r="B96" t="str">
            <v>Electra Girl's Hawaii 1 16" - 2017</v>
          </cell>
          <cell r="C96">
            <v>1</v>
          </cell>
          <cell r="D96">
            <v>1</v>
          </cell>
        </row>
        <row r="97">
          <cell r="A97">
            <v>96</v>
          </cell>
          <cell r="B97" t="str">
            <v>Electra Moto 3i (20-inch) - Boy's - 2017</v>
          </cell>
          <cell r="C97">
            <v>1</v>
          </cell>
          <cell r="D97">
            <v>1</v>
          </cell>
        </row>
        <row r="98">
          <cell r="A98">
            <v>97</v>
          </cell>
          <cell r="B98" t="str">
            <v>Electra Savannah 3i (20-inch) - Girl's - 2017</v>
          </cell>
          <cell r="C98">
            <v>1</v>
          </cell>
          <cell r="D98">
            <v>1</v>
          </cell>
        </row>
        <row r="99">
          <cell r="A99">
            <v>98</v>
          </cell>
          <cell r="B99" t="str">
            <v>Electra Straight 8 3i (20-inch) - Boy's - 2017</v>
          </cell>
          <cell r="C99">
            <v>1</v>
          </cell>
          <cell r="D99">
            <v>1</v>
          </cell>
        </row>
        <row r="100">
          <cell r="A100">
            <v>99</v>
          </cell>
          <cell r="B100" t="str">
            <v>Electra Sugar Skulls 1 (20-inch) - Girl's - 2017</v>
          </cell>
          <cell r="C100">
            <v>1</v>
          </cell>
          <cell r="D100">
            <v>1</v>
          </cell>
        </row>
        <row r="101">
          <cell r="A101">
            <v>100</v>
          </cell>
          <cell r="B101" t="str">
            <v>Electra Townie 3i EQ (20-inch) - Boys' - 2017</v>
          </cell>
          <cell r="C101">
            <v>1</v>
          </cell>
          <cell r="D101">
            <v>1</v>
          </cell>
        </row>
        <row r="102">
          <cell r="A102">
            <v>101</v>
          </cell>
          <cell r="B102" t="str">
            <v>Electra Townie 7D (20-inch) - Boys' - 2017</v>
          </cell>
          <cell r="C102">
            <v>1</v>
          </cell>
          <cell r="D102">
            <v>1</v>
          </cell>
        </row>
        <row r="103">
          <cell r="A103">
            <v>102</v>
          </cell>
          <cell r="B103" t="str">
            <v>Electra Townie Original 7D - 2017</v>
          </cell>
          <cell r="C103">
            <v>1</v>
          </cell>
          <cell r="D103">
            <v>2</v>
          </cell>
        </row>
        <row r="104">
          <cell r="A104">
            <v>103</v>
          </cell>
          <cell r="B104" t="str">
            <v>Sun Bicycles Streamway 3 - 2017</v>
          </cell>
          <cell r="C104">
            <v>7</v>
          </cell>
          <cell r="D104">
            <v>2</v>
          </cell>
        </row>
        <row r="105">
          <cell r="A105">
            <v>104</v>
          </cell>
          <cell r="B105" t="str">
            <v>Sun Bicycles Streamway - 2017</v>
          </cell>
          <cell r="C105">
            <v>7</v>
          </cell>
          <cell r="D105">
            <v>2</v>
          </cell>
        </row>
        <row r="106">
          <cell r="A106">
            <v>105</v>
          </cell>
          <cell r="B106" t="str">
            <v>Sun Bicycles Streamway 7 - 2017</v>
          </cell>
          <cell r="C106">
            <v>7</v>
          </cell>
          <cell r="D106">
            <v>2</v>
          </cell>
        </row>
        <row r="107">
          <cell r="A107">
            <v>106</v>
          </cell>
          <cell r="B107" t="str">
            <v>Sun Bicycles Cruz 3 - 2017</v>
          </cell>
          <cell r="C107">
            <v>7</v>
          </cell>
          <cell r="D107">
            <v>2</v>
          </cell>
        </row>
        <row r="108">
          <cell r="A108">
            <v>107</v>
          </cell>
          <cell r="B108" t="str">
            <v>Sun Bicycles Cruz 7 - 2017</v>
          </cell>
          <cell r="C108">
            <v>7</v>
          </cell>
          <cell r="D108">
            <v>2</v>
          </cell>
        </row>
        <row r="109">
          <cell r="A109">
            <v>108</v>
          </cell>
          <cell r="B109" t="str">
            <v>Sun Bicycles Cruz 3 - Women's - 2017</v>
          </cell>
          <cell r="C109">
            <v>7</v>
          </cell>
          <cell r="D109">
            <v>2</v>
          </cell>
        </row>
        <row r="110">
          <cell r="A110">
            <v>109</v>
          </cell>
          <cell r="B110" t="str">
            <v>Sun Bicycles Cruz 7 - Women's - 2017</v>
          </cell>
          <cell r="C110">
            <v>7</v>
          </cell>
          <cell r="D110">
            <v>2</v>
          </cell>
        </row>
        <row r="111">
          <cell r="A111">
            <v>110</v>
          </cell>
          <cell r="B111" t="str">
            <v>Sun Bicycles Drifter 7 - 2017</v>
          </cell>
          <cell r="C111">
            <v>7</v>
          </cell>
          <cell r="D111">
            <v>2</v>
          </cell>
        </row>
        <row r="112">
          <cell r="A112">
            <v>111</v>
          </cell>
          <cell r="B112" t="str">
            <v>Sun Bicycles Drifter 7 - Women's - 2017</v>
          </cell>
          <cell r="C112">
            <v>7</v>
          </cell>
          <cell r="D112">
            <v>2</v>
          </cell>
        </row>
        <row r="113">
          <cell r="A113">
            <v>112</v>
          </cell>
          <cell r="B113" t="str">
            <v>Trek 820 - 2018</v>
          </cell>
          <cell r="C113">
            <v>9</v>
          </cell>
          <cell r="D113">
            <v>6</v>
          </cell>
        </row>
        <row r="114">
          <cell r="A114">
            <v>113</v>
          </cell>
          <cell r="B114" t="str">
            <v>Trek Marlin 5 - 2018</v>
          </cell>
          <cell r="C114">
            <v>9</v>
          </cell>
          <cell r="D114">
            <v>6</v>
          </cell>
        </row>
        <row r="115">
          <cell r="A115">
            <v>114</v>
          </cell>
          <cell r="B115" t="str">
            <v>Trek Marlin 6 - 2018</v>
          </cell>
          <cell r="C115">
            <v>9</v>
          </cell>
          <cell r="D115">
            <v>6</v>
          </cell>
        </row>
        <row r="116">
          <cell r="A116">
            <v>115</v>
          </cell>
          <cell r="B116" t="str">
            <v>Trek Fuel EX 8 29 - 2018</v>
          </cell>
          <cell r="C116">
            <v>9</v>
          </cell>
          <cell r="D116">
            <v>6</v>
          </cell>
        </row>
        <row r="117">
          <cell r="A117">
            <v>116</v>
          </cell>
          <cell r="B117" t="str">
            <v>Trek Marlin 7 - 2017/2018</v>
          </cell>
          <cell r="C117">
            <v>9</v>
          </cell>
          <cell r="D117">
            <v>6</v>
          </cell>
        </row>
        <row r="118">
          <cell r="A118">
            <v>117</v>
          </cell>
          <cell r="B118" t="str">
            <v>Trek Ticket S Frame - 2018</v>
          </cell>
          <cell r="C118">
            <v>9</v>
          </cell>
          <cell r="D118">
            <v>6</v>
          </cell>
        </row>
        <row r="119">
          <cell r="A119">
            <v>118</v>
          </cell>
          <cell r="B119" t="str">
            <v>Trek X-Caliber 8 - 2018</v>
          </cell>
          <cell r="C119">
            <v>9</v>
          </cell>
          <cell r="D119">
            <v>6</v>
          </cell>
        </row>
        <row r="120">
          <cell r="A120">
            <v>119</v>
          </cell>
          <cell r="B120" t="str">
            <v>Trek Kids' Neko - 2018</v>
          </cell>
          <cell r="C120">
            <v>9</v>
          </cell>
          <cell r="D120">
            <v>6</v>
          </cell>
        </row>
        <row r="121">
          <cell r="A121">
            <v>120</v>
          </cell>
          <cell r="B121" t="str">
            <v>Trek Fuel EX 7 29 - 2018</v>
          </cell>
          <cell r="C121">
            <v>9</v>
          </cell>
          <cell r="D121">
            <v>6</v>
          </cell>
        </row>
        <row r="122">
          <cell r="A122">
            <v>121</v>
          </cell>
          <cell r="B122" t="str">
            <v>Surly Krampus Frameset - 2018</v>
          </cell>
          <cell r="C122">
            <v>8</v>
          </cell>
          <cell r="D122">
            <v>6</v>
          </cell>
        </row>
        <row r="123">
          <cell r="A123">
            <v>122</v>
          </cell>
          <cell r="B123" t="str">
            <v>Surly Troll Frameset - 2018</v>
          </cell>
          <cell r="C123">
            <v>8</v>
          </cell>
          <cell r="D123">
            <v>6</v>
          </cell>
        </row>
        <row r="124">
          <cell r="A124">
            <v>123</v>
          </cell>
          <cell r="B124" t="str">
            <v>Trek Farley Carbon Frameset - 2018</v>
          </cell>
          <cell r="C124">
            <v>9</v>
          </cell>
          <cell r="D124">
            <v>6</v>
          </cell>
        </row>
        <row r="125">
          <cell r="A125">
            <v>124</v>
          </cell>
          <cell r="B125" t="str">
            <v>Surly Krampus - 2018</v>
          </cell>
          <cell r="C125">
            <v>8</v>
          </cell>
          <cell r="D125">
            <v>6</v>
          </cell>
        </row>
        <row r="126">
          <cell r="A126">
            <v>125</v>
          </cell>
          <cell r="B126" t="str">
            <v>Trek Kids' Dual Sport - 2018</v>
          </cell>
          <cell r="C126">
            <v>9</v>
          </cell>
          <cell r="D126">
            <v>6</v>
          </cell>
        </row>
        <row r="127">
          <cell r="A127">
            <v>126</v>
          </cell>
          <cell r="B127" t="str">
            <v>Surly Big Fat Dummy Frameset - 2018</v>
          </cell>
          <cell r="C127">
            <v>8</v>
          </cell>
          <cell r="D127">
            <v>6</v>
          </cell>
        </row>
        <row r="128">
          <cell r="A128">
            <v>127</v>
          </cell>
          <cell r="B128" t="str">
            <v>Surly Pack Rat Frameset - 2018</v>
          </cell>
          <cell r="C128">
            <v>8</v>
          </cell>
          <cell r="D128">
            <v>6</v>
          </cell>
        </row>
        <row r="129">
          <cell r="A129">
            <v>128</v>
          </cell>
          <cell r="B129" t="str">
            <v>Surly ECR 27.5 - 2018</v>
          </cell>
          <cell r="C129">
            <v>8</v>
          </cell>
          <cell r="D129">
            <v>6</v>
          </cell>
        </row>
        <row r="130">
          <cell r="A130">
            <v>129</v>
          </cell>
          <cell r="B130" t="str">
            <v>Trek X-Caliber 7 - 2018</v>
          </cell>
          <cell r="C130">
            <v>9</v>
          </cell>
          <cell r="D130">
            <v>6</v>
          </cell>
        </row>
        <row r="131">
          <cell r="A131">
            <v>130</v>
          </cell>
          <cell r="B131" t="str">
            <v>Trek Stache Carbon Frameset - 2018</v>
          </cell>
          <cell r="C131">
            <v>9</v>
          </cell>
          <cell r="D131">
            <v>6</v>
          </cell>
        </row>
        <row r="132">
          <cell r="A132">
            <v>131</v>
          </cell>
          <cell r="B132" t="str">
            <v>Heller Bloodhound Trail - 2018</v>
          </cell>
          <cell r="C132">
            <v>3</v>
          </cell>
          <cell r="D132">
            <v>6</v>
          </cell>
        </row>
        <row r="133">
          <cell r="A133">
            <v>132</v>
          </cell>
          <cell r="B133" t="str">
            <v>Trek Procal AL Frameset - 2018</v>
          </cell>
          <cell r="C133">
            <v>9</v>
          </cell>
          <cell r="D133">
            <v>6</v>
          </cell>
        </row>
        <row r="134">
          <cell r="A134">
            <v>133</v>
          </cell>
          <cell r="B134" t="str">
            <v>Trek Procaliber Frameset - 2018</v>
          </cell>
          <cell r="C134">
            <v>9</v>
          </cell>
          <cell r="D134">
            <v>6</v>
          </cell>
        </row>
        <row r="135">
          <cell r="A135">
            <v>134</v>
          </cell>
          <cell r="B135" t="str">
            <v>Trek Remedy 27.5 C Frameset - 2018</v>
          </cell>
          <cell r="C135">
            <v>9</v>
          </cell>
          <cell r="D135">
            <v>6</v>
          </cell>
        </row>
        <row r="136">
          <cell r="A136">
            <v>135</v>
          </cell>
          <cell r="B136" t="str">
            <v>Trek X-Caliber Frameset - 2018</v>
          </cell>
          <cell r="C136">
            <v>9</v>
          </cell>
          <cell r="D136">
            <v>6</v>
          </cell>
        </row>
        <row r="137">
          <cell r="A137">
            <v>136</v>
          </cell>
          <cell r="B137" t="str">
            <v>Trek Procaliber 6 - 2018</v>
          </cell>
          <cell r="C137">
            <v>9</v>
          </cell>
          <cell r="D137">
            <v>6</v>
          </cell>
        </row>
        <row r="138">
          <cell r="A138">
            <v>137</v>
          </cell>
          <cell r="B138" t="str">
            <v>Heller Shagamaw GX1 - 2018</v>
          </cell>
          <cell r="C138">
            <v>3</v>
          </cell>
          <cell r="D138">
            <v>6</v>
          </cell>
        </row>
        <row r="139">
          <cell r="A139">
            <v>138</v>
          </cell>
          <cell r="B139" t="str">
            <v>Trek Fuel EX 5 Plus - 2018</v>
          </cell>
          <cell r="C139">
            <v>9</v>
          </cell>
          <cell r="D139">
            <v>6</v>
          </cell>
        </row>
        <row r="140">
          <cell r="A140">
            <v>139</v>
          </cell>
          <cell r="B140" t="str">
            <v>Trek Remedy 7 27.5 - 2018</v>
          </cell>
          <cell r="C140">
            <v>9</v>
          </cell>
          <cell r="D140">
            <v>6</v>
          </cell>
        </row>
        <row r="141">
          <cell r="A141">
            <v>140</v>
          </cell>
          <cell r="B141" t="str">
            <v>Trek Remedy 9.8 27.5 - 2018</v>
          </cell>
          <cell r="C141">
            <v>9</v>
          </cell>
          <cell r="D141">
            <v>6</v>
          </cell>
        </row>
        <row r="142">
          <cell r="A142">
            <v>141</v>
          </cell>
          <cell r="B142" t="str">
            <v>Trek Stache 5 - 2018</v>
          </cell>
          <cell r="C142">
            <v>9</v>
          </cell>
          <cell r="D142">
            <v>6</v>
          </cell>
        </row>
        <row r="143">
          <cell r="A143">
            <v>142</v>
          </cell>
          <cell r="B143" t="str">
            <v>Trek Fuel EX 8 29 XT - 2018</v>
          </cell>
          <cell r="C143">
            <v>9</v>
          </cell>
          <cell r="D143">
            <v>6</v>
          </cell>
        </row>
        <row r="144">
          <cell r="A144">
            <v>143</v>
          </cell>
          <cell r="B144" t="str">
            <v>Trek Domane ALR 3 - 2018</v>
          </cell>
          <cell r="C144">
            <v>9</v>
          </cell>
          <cell r="D144">
            <v>7</v>
          </cell>
        </row>
        <row r="145">
          <cell r="A145">
            <v>144</v>
          </cell>
          <cell r="B145" t="str">
            <v>Trek Domane ALR 4 Disc - 2018</v>
          </cell>
          <cell r="C145">
            <v>9</v>
          </cell>
          <cell r="D145">
            <v>7</v>
          </cell>
        </row>
        <row r="146">
          <cell r="A146">
            <v>145</v>
          </cell>
          <cell r="B146" t="str">
            <v>Trek Domane ALR 5 Disc - 2018</v>
          </cell>
          <cell r="C146">
            <v>9</v>
          </cell>
          <cell r="D146">
            <v>7</v>
          </cell>
        </row>
        <row r="147">
          <cell r="A147">
            <v>146</v>
          </cell>
          <cell r="B147" t="str">
            <v>Trek Domane SLR 6 - 2018</v>
          </cell>
          <cell r="C147">
            <v>9</v>
          </cell>
          <cell r="D147">
            <v>7</v>
          </cell>
        </row>
        <row r="148">
          <cell r="A148">
            <v>147</v>
          </cell>
          <cell r="B148" t="str">
            <v>Trek Domane ALR 5 Gravel - 2018</v>
          </cell>
          <cell r="C148">
            <v>9</v>
          </cell>
          <cell r="D148">
            <v>7</v>
          </cell>
        </row>
        <row r="149">
          <cell r="A149">
            <v>148</v>
          </cell>
          <cell r="B149" t="str">
            <v>Trek Domane SL 8 Disc - 2018</v>
          </cell>
          <cell r="C149">
            <v>9</v>
          </cell>
          <cell r="D149">
            <v>7</v>
          </cell>
        </row>
        <row r="150">
          <cell r="A150">
            <v>149</v>
          </cell>
          <cell r="B150" t="str">
            <v>Trek Domane SLR 8 Disc - 2018</v>
          </cell>
          <cell r="C150">
            <v>9</v>
          </cell>
          <cell r="D150">
            <v>7</v>
          </cell>
        </row>
        <row r="151">
          <cell r="A151">
            <v>150</v>
          </cell>
          <cell r="B151" t="str">
            <v>Trek Emonda SL 7 - 2018</v>
          </cell>
          <cell r="C151">
            <v>9</v>
          </cell>
          <cell r="D151">
            <v>7</v>
          </cell>
        </row>
        <row r="152">
          <cell r="A152">
            <v>151</v>
          </cell>
          <cell r="B152" t="str">
            <v>Trek Domane ALR 4 Disc Women's - 2018</v>
          </cell>
          <cell r="C152">
            <v>9</v>
          </cell>
          <cell r="D152">
            <v>7</v>
          </cell>
        </row>
        <row r="153">
          <cell r="A153">
            <v>152</v>
          </cell>
          <cell r="B153" t="str">
            <v>Trek Domane SL 5 Disc Women's - 2018</v>
          </cell>
          <cell r="C153">
            <v>9</v>
          </cell>
          <cell r="D153">
            <v>7</v>
          </cell>
        </row>
        <row r="154">
          <cell r="A154">
            <v>153</v>
          </cell>
          <cell r="B154" t="str">
            <v>Trek Domane SL 7 Women's - 2018</v>
          </cell>
          <cell r="C154">
            <v>9</v>
          </cell>
          <cell r="D154">
            <v>7</v>
          </cell>
        </row>
        <row r="155">
          <cell r="A155">
            <v>154</v>
          </cell>
          <cell r="B155" t="str">
            <v>Trek Domane SLR 6 Disc Women's - 2018</v>
          </cell>
          <cell r="C155">
            <v>9</v>
          </cell>
          <cell r="D155">
            <v>7</v>
          </cell>
        </row>
        <row r="156">
          <cell r="A156">
            <v>155</v>
          </cell>
          <cell r="B156" t="str">
            <v>Trek Domane SLR 9 Disc - 2018</v>
          </cell>
          <cell r="C156">
            <v>9</v>
          </cell>
          <cell r="D156">
            <v>7</v>
          </cell>
        </row>
        <row r="157">
          <cell r="A157">
            <v>156</v>
          </cell>
          <cell r="B157" t="str">
            <v>Trek Domane SL Frameset - 2018</v>
          </cell>
          <cell r="C157">
            <v>9</v>
          </cell>
          <cell r="D157">
            <v>7</v>
          </cell>
        </row>
        <row r="158">
          <cell r="A158">
            <v>157</v>
          </cell>
          <cell r="B158" t="str">
            <v>Trek Domane SL Frameset Women's - 2018</v>
          </cell>
          <cell r="C158">
            <v>9</v>
          </cell>
          <cell r="D158">
            <v>7</v>
          </cell>
        </row>
        <row r="159">
          <cell r="A159">
            <v>158</v>
          </cell>
          <cell r="B159" t="str">
            <v>Trek CrossRip 1 - 2018</v>
          </cell>
          <cell r="C159">
            <v>9</v>
          </cell>
          <cell r="D159">
            <v>7</v>
          </cell>
        </row>
        <row r="160">
          <cell r="A160">
            <v>159</v>
          </cell>
          <cell r="B160" t="str">
            <v>Trek Emonda ALR 6 - 2018</v>
          </cell>
          <cell r="C160">
            <v>9</v>
          </cell>
          <cell r="D160">
            <v>7</v>
          </cell>
        </row>
        <row r="161">
          <cell r="A161">
            <v>160</v>
          </cell>
          <cell r="B161" t="str">
            <v>Trek Emonda SLR 6 - 2018</v>
          </cell>
          <cell r="C161">
            <v>9</v>
          </cell>
          <cell r="D161">
            <v>7</v>
          </cell>
        </row>
        <row r="162">
          <cell r="A162">
            <v>161</v>
          </cell>
          <cell r="B162" t="str">
            <v>Surly ECR - 2018</v>
          </cell>
          <cell r="C162">
            <v>8</v>
          </cell>
          <cell r="D162">
            <v>7</v>
          </cell>
        </row>
        <row r="163">
          <cell r="A163">
            <v>162</v>
          </cell>
          <cell r="B163" t="str">
            <v>Trek Emonda SL 6 Disc - 2018</v>
          </cell>
          <cell r="C163">
            <v>9</v>
          </cell>
          <cell r="D163">
            <v>7</v>
          </cell>
        </row>
        <row r="164">
          <cell r="A164">
            <v>163</v>
          </cell>
          <cell r="B164" t="str">
            <v>Surly Pack Rat - 2018</v>
          </cell>
          <cell r="C164">
            <v>8</v>
          </cell>
          <cell r="D164">
            <v>7</v>
          </cell>
        </row>
        <row r="165">
          <cell r="A165">
            <v>164</v>
          </cell>
          <cell r="B165" t="str">
            <v>Surly Straggler 650b - 2018</v>
          </cell>
          <cell r="C165">
            <v>8</v>
          </cell>
          <cell r="D165">
            <v>7</v>
          </cell>
        </row>
        <row r="166">
          <cell r="A166">
            <v>165</v>
          </cell>
          <cell r="B166" t="str">
            <v>Trek 1120 - 2018</v>
          </cell>
          <cell r="C166">
            <v>9</v>
          </cell>
          <cell r="D166">
            <v>7</v>
          </cell>
        </row>
        <row r="167">
          <cell r="A167">
            <v>166</v>
          </cell>
          <cell r="B167" t="str">
            <v>Trek Domane AL 2 Women's - 2018</v>
          </cell>
          <cell r="C167">
            <v>9</v>
          </cell>
          <cell r="D167">
            <v>7</v>
          </cell>
        </row>
        <row r="168">
          <cell r="A168">
            <v>167</v>
          </cell>
          <cell r="B168" t="str">
            <v>Surly ECR Frameset - 2018</v>
          </cell>
          <cell r="C168">
            <v>8</v>
          </cell>
          <cell r="D168">
            <v>7</v>
          </cell>
        </row>
        <row r="169">
          <cell r="A169">
            <v>168</v>
          </cell>
          <cell r="B169" t="str">
            <v>Surly Straggler - 2018</v>
          </cell>
          <cell r="C169">
            <v>8</v>
          </cell>
          <cell r="D169">
            <v>7</v>
          </cell>
        </row>
        <row r="170">
          <cell r="A170">
            <v>169</v>
          </cell>
          <cell r="B170" t="str">
            <v>Trek Emonda SLR 8 - 2018</v>
          </cell>
          <cell r="C170">
            <v>9</v>
          </cell>
          <cell r="D170">
            <v>7</v>
          </cell>
        </row>
        <row r="171">
          <cell r="A171">
            <v>170</v>
          </cell>
          <cell r="B171" t="str">
            <v>Trek CrossRip 2 - 2018</v>
          </cell>
          <cell r="C171">
            <v>9</v>
          </cell>
          <cell r="D171">
            <v>7</v>
          </cell>
        </row>
        <row r="172">
          <cell r="A172">
            <v>171</v>
          </cell>
          <cell r="B172" t="str">
            <v>Trek Domane SL 6 - 2018</v>
          </cell>
          <cell r="C172">
            <v>9</v>
          </cell>
          <cell r="D172">
            <v>7</v>
          </cell>
        </row>
        <row r="173">
          <cell r="A173">
            <v>172</v>
          </cell>
          <cell r="B173" t="str">
            <v>Trek Domane ALR Disc Frameset - 2018</v>
          </cell>
          <cell r="C173">
            <v>9</v>
          </cell>
          <cell r="D173">
            <v>7</v>
          </cell>
        </row>
        <row r="174">
          <cell r="A174">
            <v>173</v>
          </cell>
          <cell r="B174" t="str">
            <v>Trek Domane ALR Frameset - 2018</v>
          </cell>
          <cell r="C174">
            <v>9</v>
          </cell>
          <cell r="D174">
            <v>7</v>
          </cell>
        </row>
        <row r="175">
          <cell r="A175">
            <v>174</v>
          </cell>
          <cell r="B175" t="str">
            <v>Trek Domane SLR Disc Frameset - 2018</v>
          </cell>
          <cell r="C175">
            <v>9</v>
          </cell>
          <cell r="D175">
            <v>7</v>
          </cell>
        </row>
        <row r="176">
          <cell r="A176">
            <v>175</v>
          </cell>
          <cell r="B176" t="str">
            <v>Trek Domane SLR Frameset - 2018</v>
          </cell>
          <cell r="C176">
            <v>9</v>
          </cell>
          <cell r="D176">
            <v>7</v>
          </cell>
        </row>
        <row r="177">
          <cell r="A177">
            <v>176</v>
          </cell>
          <cell r="B177" t="str">
            <v>Trek Madone 9 Frameset - 2018</v>
          </cell>
          <cell r="C177">
            <v>9</v>
          </cell>
          <cell r="D177">
            <v>7</v>
          </cell>
        </row>
        <row r="178">
          <cell r="A178">
            <v>177</v>
          </cell>
          <cell r="B178" t="str">
            <v>Trek Domane SLR 6 Disc - 2018</v>
          </cell>
          <cell r="C178">
            <v>9</v>
          </cell>
          <cell r="D178">
            <v>7</v>
          </cell>
        </row>
        <row r="179">
          <cell r="A179">
            <v>178</v>
          </cell>
          <cell r="B179" t="str">
            <v>Trek Domane AL 2 - 2018</v>
          </cell>
          <cell r="C179">
            <v>9</v>
          </cell>
          <cell r="D179">
            <v>7</v>
          </cell>
        </row>
        <row r="180">
          <cell r="A180">
            <v>179</v>
          </cell>
          <cell r="B180" t="str">
            <v>Trek Domane AL 3 - 2018</v>
          </cell>
          <cell r="C180">
            <v>9</v>
          </cell>
          <cell r="D180">
            <v>7</v>
          </cell>
        </row>
        <row r="181">
          <cell r="A181">
            <v>180</v>
          </cell>
          <cell r="B181" t="str">
            <v>Trek Domane AL 3 Women's - 2018</v>
          </cell>
          <cell r="C181">
            <v>9</v>
          </cell>
          <cell r="D181">
            <v>7</v>
          </cell>
        </row>
        <row r="182">
          <cell r="A182">
            <v>181</v>
          </cell>
          <cell r="B182" t="str">
            <v>Trek Domane SL 5 - 2018</v>
          </cell>
          <cell r="C182">
            <v>9</v>
          </cell>
          <cell r="D182">
            <v>7</v>
          </cell>
        </row>
        <row r="183">
          <cell r="A183">
            <v>182</v>
          </cell>
          <cell r="B183" t="str">
            <v>Trek Domane SL 5 Disc - 2018</v>
          </cell>
          <cell r="C183">
            <v>9</v>
          </cell>
          <cell r="D183">
            <v>7</v>
          </cell>
        </row>
        <row r="184">
          <cell r="A184">
            <v>183</v>
          </cell>
          <cell r="B184" t="str">
            <v>Trek Domane SL 5 Women's - 2018</v>
          </cell>
          <cell r="C184">
            <v>9</v>
          </cell>
          <cell r="D184">
            <v>7</v>
          </cell>
        </row>
        <row r="185">
          <cell r="A185">
            <v>184</v>
          </cell>
          <cell r="B185" t="str">
            <v>Trek Domane SL 6 Disc - 2018</v>
          </cell>
          <cell r="C185">
            <v>9</v>
          </cell>
          <cell r="D185">
            <v>7</v>
          </cell>
        </row>
        <row r="186">
          <cell r="A186">
            <v>185</v>
          </cell>
          <cell r="B186" t="str">
            <v>Trek Conduit+ - 2018</v>
          </cell>
          <cell r="C186">
            <v>9</v>
          </cell>
          <cell r="D186">
            <v>5</v>
          </cell>
        </row>
        <row r="187">
          <cell r="A187">
            <v>186</v>
          </cell>
          <cell r="B187" t="str">
            <v>Trek CrossRip+ - 2018</v>
          </cell>
          <cell r="C187">
            <v>9</v>
          </cell>
          <cell r="D187">
            <v>5</v>
          </cell>
        </row>
        <row r="188">
          <cell r="A188">
            <v>187</v>
          </cell>
          <cell r="B188" t="str">
            <v>Trek Neko+ - 2018</v>
          </cell>
          <cell r="C188">
            <v>9</v>
          </cell>
          <cell r="D188">
            <v>5</v>
          </cell>
        </row>
        <row r="189">
          <cell r="A189">
            <v>188</v>
          </cell>
          <cell r="B189" t="str">
            <v>Trek XM700+ Lowstep - 2018</v>
          </cell>
          <cell r="C189">
            <v>9</v>
          </cell>
          <cell r="D189">
            <v>5</v>
          </cell>
        </row>
        <row r="190">
          <cell r="A190">
            <v>189</v>
          </cell>
          <cell r="B190" t="str">
            <v>Trek Lift+ Lowstep - 2018</v>
          </cell>
          <cell r="C190">
            <v>9</v>
          </cell>
          <cell r="D190">
            <v>5</v>
          </cell>
        </row>
        <row r="191">
          <cell r="A191">
            <v>190</v>
          </cell>
          <cell r="B191" t="str">
            <v>Trek Dual Sport+ - 2018</v>
          </cell>
          <cell r="C191">
            <v>9</v>
          </cell>
          <cell r="D191">
            <v>5</v>
          </cell>
        </row>
        <row r="192">
          <cell r="A192">
            <v>191</v>
          </cell>
          <cell r="B192" t="str">
            <v>Electra Loft Go! 8i - 2018</v>
          </cell>
          <cell r="C192">
            <v>1</v>
          </cell>
          <cell r="D192">
            <v>5</v>
          </cell>
        </row>
        <row r="193">
          <cell r="A193">
            <v>192</v>
          </cell>
          <cell r="B193" t="str">
            <v>Electra Townie Go! 8i - 2017/2018</v>
          </cell>
          <cell r="C193">
            <v>1</v>
          </cell>
          <cell r="D193">
            <v>5</v>
          </cell>
        </row>
        <row r="194">
          <cell r="A194">
            <v>193</v>
          </cell>
          <cell r="B194" t="str">
            <v>Trek Lift+ - 2018</v>
          </cell>
          <cell r="C194">
            <v>9</v>
          </cell>
          <cell r="D194">
            <v>5</v>
          </cell>
        </row>
        <row r="195">
          <cell r="A195">
            <v>194</v>
          </cell>
          <cell r="B195" t="str">
            <v>Trek XM700+ - 2018</v>
          </cell>
          <cell r="C195">
            <v>9</v>
          </cell>
          <cell r="D195">
            <v>5</v>
          </cell>
        </row>
        <row r="196">
          <cell r="A196">
            <v>195</v>
          </cell>
          <cell r="B196" t="str">
            <v>Electra Townie Go! 8i Ladies' - 2018</v>
          </cell>
          <cell r="C196">
            <v>1</v>
          </cell>
          <cell r="D196">
            <v>5</v>
          </cell>
        </row>
        <row r="197">
          <cell r="A197">
            <v>196</v>
          </cell>
          <cell r="B197" t="str">
            <v>Trek Verve+ - 2018</v>
          </cell>
          <cell r="C197">
            <v>9</v>
          </cell>
          <cell r="D197">
            <v>5</v>
          </cell>
        </row>
        <row r="198">
          <cell r="A198">
            <v>197</v>
          </cell>
          <cell r="B198" t="str">
            <v>Trek Verve+ Lowstep - 2018</v>
          </cell>
          <cell r="C198">
            <v>9</v>
          </cell>
          <cell r="D198">
            <v>5</v>
          </cell>
        </row>
        <row r="199">
          <cell r="A199">
            <v>198</v>
          </cell>
          <cell r="B199" t="str">
            <v>Electra Townie Commute Go! - 2018</v>
          </cell>
          <cell r="C199">
            <v>1</v>
          </cell>
          <cell r="D199">
            <v>5</v>
          </cell>
        </row>
        <row r="200">
          <cell r="A200">
            <v>199</v>
          </cell>
          <cell r="B200" t="str">
            <v>Electra Townie Commute Go! Ladies' - 2018</v>
          </cell>
          <cell r="C200">
            <v>1</v>
          </cell>
          <cell r="D200">
            <v>5</v>
          </cell>
        </row>
        <row r="201">
          <cell r="A201">
            <v>200</v>
          </cell>
          <cell r="B201" t="str">
            <v>Trek Powerfly 5 - 2018</v>
          </cell>
          <cell r="C201">
            <v>9</v>
          </cell>
          <cell r="D201">
            <v>5</v>
          </cell>
        </row>
        <row r="202">
          <cell r="A202">
            <v>201</v>
          </cell>
          <cell r="B202" t="str">
            <v>Trek Powerfly 5 FS - 2018</v>
          </cell>
          <cell r="C202">
            <v>9</v>
          </cell>
          <cell r="D202">
            <v>5</v>
          </cell>
        </row>
        <row r="203">
          <cell r="A203">
            <v>202</v>
          </cell>
          <cell r="B203" t="str">
            <v>Trek Powerfly 5 Women's - 2018</v>
          </cell>
          <cell r="C203">
            <v>9</v>
          </cell>
          <cell r="D203">
            <v>5</v>
          </cell>
        </row>
        <row r="204">
          <cell r="A204">
            <v>203</v>
          </cell>
          <cell r="B204" t="str">
            <v>Trek Powerfly 7 FS - 2018</v>
          </cell>
          <cell r="C204">
            <v>9</v>
          </cell>
          <cell r="D204">
            <v>5</v>
          </cell>
        </row>
        <row r="205">
          <cell r="A205">
            <v>204</v>
          </cell>
          <cell r="B205" t="str">
            <v>Trek Super Commuter+ 7 - 2018</v>
          </cell>
          <cell r="C205">
            <v>9</v>
          </cell>
          <cell r="D205">
            <v>5</v>
          </cell>
        </row>
        <row r="206">
          <cell r="A206">
            <v>205</v>
          </cell>
          <cell r="B206" t="str">
            <v>Trek Super Commuter+ 8S - 2018</v>
          </cell>
          <cell r="C206">
            <v>9</v>
          </cell>
          <cell r="D206">
            <v>5</v>
          </cell>
        </row>
        <row r="207">
          <cell r="A207">
            <v>206</v>
          </cell>
          <cell r="B207" t="str">
            <v>Trek Boone 5 Disc - 2018</v>
          </cell>
          <cell r="C207">
            <v>9</v>
          </cell>
          <cell r="D207">
            <v>4</v>
          </cell>
        </row>
        <row r="208">
          <cell r="A208">
            <v>207</v>
          </cell>
          <cell r="B208" t="str">
            <v>Trek Boone 7 Disc - 2018</v>
          </cell>
          <cell r="C208">
            <v>9</v>
          </cell>
          <cell r="D208">
            <v>4</v>
          </cell>
        </row>
        <row r="209">
          <cell r="A209">
            <v>208</v>
          </cell>
          <cell r="B209" t="str">
            <v>Trek Crockett 5 Disc - 2018</v>
          </cell>
          <cell r="C209">
            <v>9</v>
          </cell>
          <cell r="D209">
            <v>4</v>
          </cell>
        </row>
        <row r="210">
          <cell r="A210">
            <v>209</v>
          </cell>
          <cell r="B210" t="str">
            <v>Trek Crockett 7 Disc - 2018</v>
          </cell>
          <cell r="C210">
            <v>9</v>
          </cell>
          <cell r="D210">
            <v>4</v>
          </cell>
        </row>
        <row r="211">
          <cell r="A211">
            <v>210</v>
          </cell>
          <cell r="B211" t="str">
            <v>Surly Straggler - 2018</v>
          </cell>
          <cell r="C211">
            <v>8</v>
          </cell>
          <cell r="D211">
            <v>4</v>
          </cell>
        </row>
        <row r="212">
          <cell r="A212">
            <v>211</v>
          </cell>
          <cell r="B212" t="str">
            <v>Surly Straggler 650b - 2018</v>
          </cell>
          <cell r="C212">
            <v>8</v>
          </cell>
          <cell r="D212">
            <v>4</v>
          </cell>
        </row>
        <row r="213">
          <cell r="A213">
            <v>212</v>
          </cell>
          <cell r="B213" t="str">
            <v>Electra Townie Original 21D - 2018</v>
          </cell>
          <cell r="C213">
            <v>1</v>
          </cell>
          <cell r="D213">
            <v>3</v>
          </cell>
        </row>
        <row r="214">
          <cell r="A214">
            <v>213</v>
          </cell>
          <cell r="B214" t="str">
            <v>Electra Cruiser 1 - 2016/2017/2018</v>
          </cell>
          <cell r="C214">
            <v>1</v>
          </cell>
          <cell r="D214">
            <v>3</v>
          </cell>
        </row>
        <row r="215">
          <cell r="A215">
            <v>214</v>
          </cell>
          <cell r="B215" t="str">
            <v>Electra Tiger Shark 3i - 2018</v>
          </cell>
          <cell r="C215">
            <v>1</v>
          </cell>
          <cell r="D215">
            <v>3</v>
          </cell>
        </row>
        <row r="216">
          <cell r="A216">
            <v>215</v>
          </cell>
          <cell r="B216" t="str">
            <v>Electra Queen of Hearts 3i - 2018</v>
          </cell>
          <cell r="C216">
            <v>1</v>
          </cell>
          <cell r="D216">
            <v>3</v>
          </cell>
        </row>
        <row r="217">
          <cell r="A217">
            <v>216</v>
          </cell>
          <cell r="B217" t="str">
            <v>Electra Super Moto 8i - 2018</v>
          </cell>
          <cell r="C217">
            <v>1</v>
          </cell>
          <cell r="D217">
            <v>3</v>
          </cell>
        </row>
        <row r="218">
          <cell r="A218">
            <v>217</v>
          </cell>
          <cell r="B218" t="str">
            <v>Electra Straight 8 3i - 2018</v>
          </cell>
          <cell r="C218">
            <v>1</v>
          </cell>
          <cell r="D218">
            <v>3</v>
          </cell>
        </row>
        <row r="219">
          <cell r="A219">
            <v>218</v>
          </cell>
          <cell r="B219" t="str">
            <v>Electra Cruiser 7D - 2016/2017/2018</v>
          </cell>
          <cell r="C219">
            <v>1</v>
          </cell>
          <cell r="D219">
            <v>3</v>
          </cell>
        </row>
        <row r="220">
          <cell r="A220">
            <v>219</v>
          </cell>
          <cell r="B220" t="str">
            <v>Electra Moto 3i - 2018</v>
          </cell>
          <cell r="C220">
            <v>1</v>
          </cell>
          <cell r="D220">
            <v>3</v>
          </cell>
        </row>
        <row r="221">
          <cell r="A221">
            <v>220</v>
          </cell>
          <cell r="B221" t="str">
            <v>Electra Cruiser 1 Ladies' - 2018</v>
          </cell>
          <cell r="C221">
            <v>1</v>
          </cell>
          <cell r="D221">
            <v>3</v>
          </cell>
        </row>
        <row r="222">
          <cell r="A222">
            <v>221</v>
          </cell>
          <cell r="B222" t="str">
            <v>Electra Cruiser 7D Ladies' - 2016/2018</v>
          </cell>
          <cell r="C222">
            <v>1</v>
          </cell>
          <cell r="D222">
            <v>3</v>
          </cell>
        </row>
        <row r="223">
          <cell r="A223">
            <v>222</v>
          </cell>
          <cell r="B223" t="str">
            <v>Electra Cruiser 1 Tall - 2016/2018</v>
          </cell>
          <cell r="C223">
            <v>1</v>
          </cell>
          <cell r="D223">
            <v>3</v>
          </cell>
        </row>
        <row r="224">
          <cell r="A224">
            <v>223</v>
          </cell>
          <cell r="B224" t="str">
            <v>Electra Cruiser Lux 3i - 2018</v>
          </cell>
          <cell r="C224">
            <v>1</v>
          </cell>
          <cell r="D224">
            <v>3</v>
          </cell>
        </row>
        <row r="225">
          <cell r="A225">
            <v>224</v>
          </cell>
          <cell r="B225" t="str">
            <v>Electra Cruiser Lux 7D - 2018</v>
          </cell>
          <cell r="C225">
            <v>1</v>
          </cell>
          <cell r="D225">
            <v>3</v>
          </cell>
        </row>
        <row r="226">
          <cell r="A226">
            <v>225</v>
          </cell>
          <cell r="B226" t="str">
            <v>Electra Delivery 3i - 2016/2017/2018</v>
          </cell>
          <cell r="C226">
            <v>1</v>
          </cell>
          <cell r="D226">
            <v>3</v>
          </cell>
        </row>
        <row r="227">
          <cell r="A227">
            <v>226</v>
          </cell>
          <cell r="B227" t="str">
            <v>Electra Townie Original 21D EQ - 2017/2018</v>
          </cell>
          <cell r="C227">
            <v>1</v>
          </cell>
          <cell r="D227">
            <v>3</v>
          </cell>
        </row>
        <row r="228">
          <cell r="A228">
            <v>227</v>
          </cell>
          <cell r="B228" t="str">
            <v>Electra Cruiser 7D (24-Inch) Ladies' - 2016/2018</v>
          </cell>
          <cell r="C228">
            <v>1</v>
          </cell>
          <cell r="D228">
            <v>3</v>
          </cell>
        </row>
        <row r="229">
          <cell r="A229">
            <v>228</v>
          </cell>
          <cell r="B229" t="str">
            <v>Electra Cruiser 7D Tall - 2016/2018</v>
          </cell>
          <cell r="C229">
            <v>1</v>
          </cell>
          <cell r="D229">
            <v>3</v>
          </cell>
        </row>
        <row r="230">
          <cell r="A230">
            <v>229</v>
          </cell>
          <cell r="B230" t="str">
            <v>Electra Cruiser Lux 1 - 2016/2018</v>
          </cell>
          <cell r="C230">
            <v>1</v>
          </cell>
          <cell r="D230">
            <v>3</v>
          </cell>
        </row>
        <row r="231">
          <cell r="A231">
            <v>230</v>
          </cell>
          <cell r="B231" t="str">
            <v>Electra Cruiser Lux 1 Ladies' - 2018</v>
          </cell>
          <cell r="C231">
            <v>1</v>
          </cell>
          <cell r="D231">
            <v>3</v>
          </cell>
        </row>
        <row r="232">
          <cell r="A232">
            <v>231</v>
          </cell>
          <cell r="B232" t="str">
            <v>Electra Cruiser Lux 3i Ladies' - 2018</v>
          </cell>
          <cell r="C232">
            <v>1</v>
          </cell>
          <cell r="D232">
            <v>3</v>
          </cell>
        </row>
        <row r="233">
          <cell r="A233">
            <v>232</v>
          </cell>
          <cell r="B233" t="str">
            <v>Electra Cruiser Lux 7D Ladies' - 2018</v>
          </cell>
          <cell r="C233">
            <v>1</v>
          </cell>
          <cell r="D233">
            <v>3</v>
          </cell>
        </row>
        <row r="234">
          <cell r="A234">
            <v>233</v>
          </cell>
          <cell r="B234" t="str">
            <v>Electra Cruiser Lux Fat Tire 7D - 2018</v>
          </cell>
          <cell r="C234">
            <v>1</v>
          </cell>
          <cell r="D234">
            <v>3</v>
          </cell>
        </row>
        <row r="235">
          <cell r="A235">
            <v>234</v>
          </cell>
          <cell r="B235" t="str">
            <v>Electra Daydreamer 3i Ladies' - 2018</v>
          </cell>
          <cell r="C235">
            <v>1</v>
          </cell>
          <cell r="D235">
            <v>3</v>
          </cell>
        </row>
        <row r="236">
          <cell r="A236">
            <v>235</v>
          </cell>
          <cell r="B236" t="str">
            <v>Electra Koa 3i Ladies' - 2018</v>
          </cell>
          <cell r="C236">
            <v>1</v>
          </cell>
          <cell r="D236">
            <v>3</v>
          </cell>
        </row>
        <row r="237">
          <cell r="A237">
            <v>236</v>
          </cell>
          <cell r="B237" t="str">
            <v>Electra Morningstar 3i Ladies' - 2018</v>
          </cell>
          <cell r="C237">
            <v>1</v>
          </cell>
          <cell r="D237">
            <v>3</v>
          </cell>
        </row>
        <row r="238">
          <cell r="A238">
            <v>237</v>
          </cell>
          <cell r="B238" t="str">
            <v>Electra Relic 3i - 2018</v>
          </cell>
          <cell r="C238">
            <v>1</v>
          </cell>
          <cell r="D238">
            <v>3</v>
          </cell>
        </row>
        <row r="239">
          <cell r="A239">
            <v>238</v>
          </cell>
          <cell r="B239" t="str">
            <v>Electra Townie Balloon 8D EQ - 2016/2017/2018</v>
          </cell>
          <cell r="C239">
            <v>1</v>
          </cell>
          <cell r="D239">
            <v>3</v>
          </cell>
        </row>
        <row r="240">
          <cell r="A240">
            <v>239</v>
          </cell>
          <cell r="B240" t="str">
            <v>Electra Townie Balloon 8D EQ Ladies' - 2016/2017/2018</v>
          </cell>
          <cell r="C240">
            <v>1</v>
          </cell>
          <cell r="D240">
            <v>3</v>
          </cell>
        </row>
        <row r="241">
          <cell r="A241">
            <v>240</v>
          </cell>
          <cell r="B241" t="str">
            <v>Electra Townie Commute 27D Ladies - 2018</v>
          </cell>
          <cell r="C241">
            <v>1</v>
          </cell>
          <cell r="D241">
            <v>3</v>
          </cell>
        </row>
        <row r="242">
          <cell r="A242">
            <v>241</v>
          </cell>
          <cell r="B242" t="str">
            <v>Electra Townie Commute 8D - 2018</v>
          </cell>
          <cell r="C242">
            <v>1</v>
          </cell>
          <cell r="D242">
            <v>3</v>
          </cell>
        </row>
        <row r="243">
          <cell r="A243">
            <v>242</v>
          </cell>
          <cell r="B243" t="str">
            <v>Electra Townie Commute 8D Ladies' - 2018</v>
          </cell>
          <cell r="C243">
            <v>1</v>
          </cell>
          <cell r="D243">
            <v>3</v>
          </cell>
        </row>
        <row r="244">
          <cell r="A244">
            <v>243</v>
          </cell>
          <cell r="B244" t="str">
            <v>Electra Townie Original 21D EQ Ladies' - 2018</v>
          </cell>
          <cell r="C244">
            <v>1</v>
          </cell>
          <cell r="D244">
            <v>3</v>
          </cell>
        </row>
        <row r="245">
          <cell r="A245">
            <v>244</v>
          </cell>
          <cell r="B245" t="str">
            <v>Electra Townie Original 21D Ladies' - 2018</v>
          </cell>
          <cell r="C245">
            <v>1</v>
          </cell>
          <cell r="D245">
            <v>3</v>
          </cell>
        </row>
        <row r="246">
          <cell r="A246">
            <v>245</v>
          </cell>
          <cell r="B246" t="str">
            <v>Electra Townie Original 3i EQ - 2017/2018</v>
          </cell>
          <cell r="C246">
            <v>1</v>
          </cell>
          <cell r="D246">
            <v>3</v>
          </cell>
        </row>
        <row r="247">
          <cell r="A247">
            <v>246</v>
          </cell>
          <cell r="B247" t="str">
            <v>Electra Townie Original 3i EQ Ladies' - 2018</v>
          </cell>
          <cell r="C247">
            <v>1</v>
          </cell>
          <cell r="D247">
            <v>3</v>
          </cell>
        </row>
        <row r="248">
          <cell r="A248">
            <v>247</v>
          </cell>
          <cell r="B248" t="str">
            <v>Electra Townie Original 7D EQ - 2018</v>
          </cell>
          <cell r="C248">
            <v>1</v>
          </cell>
          <cell r="D248">
            <v>3</v>
          </cell>
        </row>
        <row r="249">
          <cell r="A249">
            <v>248</v>
          </cell>
          <cell r="B249" t="str">
            <v>Electra Townie Original 7D EQ Ladies' - 2017/2018</v>
          </cell>
          <cell r="C249">
            <v>1</v>
          </cell>
          <cell r="D249">
            <v>3</v>
          </cell>
        </row>
        <row r="250">
          <cell r="A250">
            <v>249</v>
          </cell>
          <cell r="B250" t="str">
            <v>Electra White Water 3i - 2018</v>
          </cell>
          <cell r="C250">
            <v>1</v>
          </cell>
          <cell r="D250">
            <v>3</v>
          </cell>
        </row>
        <row r="251">
          <cell r="A251">
            <v>250</v>
          </cell>
          <cell r="B251" t="str">
            <v>Electra Townie Go! 8i - 2017/2018</v>
          </cell>
          <cell r="C251">
            <v>1</v>
          </cell>
          <cell r="D251">
            <v>3</v>
          </cell>
        </row>
        <row r="252">
          <cell r="A252">
            <v>251</v>
          </cell>
          <cell r="B252" t="str">
            <v>Electra Townie Commute Go! - 2018</v>
          </cell>
          <cell r="C252">
            <v>1</v>
          </cell>
          <cell r="D252">
            <v>3</v>
          </cell>
        </row>
        <row r="253">
          <cell r="A253">
            <v>252</v>
          </cell>
          <cell r="B253" t="str">
            <v>Electra Townie Commute Go! Ladies' - 2018</v>
          </cell>
          <cell r="C253">
            <v>1</v>
          </cell>
          <cell r="D253">
            <v>3</v>
          </cell>
        </row>
        <row r="254">
          <cell r="A254">
            <v>253</v>
          </cell>
          <cell r="B254" t="str">
            <v>Electra Townie Go! 8i Ladies' - 2018</v>
          </cell>
          <cell r="C254">
            <v>1</v>
          </cell>
          <cell r="D254">
            <v>3</v>
          </cell>
        </row>
        <row r="255">
          <cell r="A255">
            <v>254</v>
          </cell>
          <cell r="B255" t="str">
            <v>Electra Townie Balloon 3i EQ - 2017/2018</v>
          </cell>
          <cell r="C255">
            <v>1</v>
          </cell>
          <cell r="D255">
            <v>3</v>
          </cell>
        </row>
        <row r="256">
          <cell r="A256">
            <v>255</v>
          </cell>
          <cell r="B256" t="str">
            <v>Electra Townie Balloon 7i EQ Ladies' - 2017/2018</v>
          </cell>
          <cell r="C256">
            <v>1</v>
          </cell>
          <cell r="D256">
            <v>3</v>
          </cell>
        </row>
        <row r="257">
          <cell r="A257">
            <v>256</v>
          </cell>
          <cell r="B257" t="str">
            <v>Electra Townie Commute 27D - 2018</v>
          </cell>
          <cell r="C257">
            <v>1</v>
          </cell>
          <cell r="D257">
            <v>3</v>
          </cell>
        </row>
        <row r="258">
          <cell r="A258">
            <v>257</v>
          </cell>
          <cell r="B258" t="str">
            <v>Electra Amsterdam Fashion 3i Ladies' - 2017/2018</v>
          </cell>
          <cell r="C258">
            <v>1</v>
          </cell>
          <cell r="D258">
            <v>3</v>
          </cell>
        </row>
        <row r="259">
          <cell r="A259">
            <v>258</v>
          </cell>
          <cell r="B259" t="str">
            <v>Electra Amsterdam Royal 8i - 2017/2018</v>
          </cell>
          <cell r="C259">
            <v>1</v>
          </cell>
          <cell r="D259">
            <v>3</v>
          </cell>
        </row>
        <row r="260">
          <cell r="A260">
            <v>259</v>
          </cell>
          <cell r="B260" t="str">
            <v>Electra Amsterdam Royal 8i Ladies - 2018</v>
          </cell>
          <cell r="C260">
            <v>1</v>
          </cell>
          <cell r="D260">
            <v>3</v>
          </cell>
        </row>
        <row r="261">
          <cell r="A261">
            <v>260</v>
          </cell>
          <cell r="B261" t="str">
            <v>Electra Townie Balloon 3i EQ Ladies' - 2018</v>
          </cell>
          <cell r="C261">
            <v>1</v>
          </cell>
          <cell r="D261">
            <v>3</v>
          </cell>
        </row>
        <row r="262">
          <cell r="A262">
            <v>261</v>
          </cell>
          <cell r="B262" t="str">
            <v>Electra Townie Balloon 7i EQ - 2018</v>
          </cell>
          <cell r="C262">
            <v>1</v>
          </cell>
          <cell r="D262">
            <v>3</v>
          </cell>
        </row>
        <row r="263">
          <cell r="A263">
            <v>262</v>
          </cell>
          <cell r="B263" t="str">
            <v>Trek MT 201 - 2018</v>
          </cell>
          <cell r="C263">
            <v>9</v>
          </cell>
          <cell r="D263">
            <v>1</v>
          </cell>
        </row>
        <row r="264">
          <cell r="A264">
            <v>263</v>
          </cell>
          <cell r="B264" t="str">
            <v>Strider Classic 12 Balance Bike - 2018</v>
          </cell>
          <cell r="C264">
            <v>6</v>
          </cell>
          <cell r="D264">
            <v>1</v>
          </cell>
        </row>
        <row r="265">
          <cell r="A265">
            <v>264</v>
          </cell>
          <cell r="B265" t="str">
            <v>Strider Sport 16 - 2018</v>
          </cell>
          <cell r="C265">
            <v>6</v>
          </cell>
          <cell r="D265">
            <v>1</v>
          </cell>
        </row>
        <row r="266">
          <cell r="A266">
            <v>265</v>
          </cell>
          <cell r="B266" t="str">
            <v>Strider Strider 20 Sport - 2018</v>
          </cell>
          <cell r="C266">
            <v>6</v>
          </cell>
          <cell r="D266">
            <v>1</v>
          </cell>
        </row>
        <row r="267">
          <cell r="A267">
            <v>266</v>
          </cell>
          <cell r="B267" t="str">
            <v>Trek Superfly 20 - 2018</v>
          </cell>
          <cell r="C267">
            <v>9</v>
          </cell>
          <cell r="D267">
            <v>1</v>
          </cell>
        </row>
        <row r="268">
          <cell r="A268">
            <v>267</v>
          </cell>
          <cell r="B268" t="str">
            <v>Trek Precaliber 12 Girl's - 2018</v>
          </cell>
          <cell r="C268">
            <v>9</v>
          </cell>
          <cell r="D268">
            <v>1</v>
          </cell>
        </row>
        <row r="269">
          <cell r="A269">
            <v>268</v>
          </cell>
          <cell r="B269" t="str">
            <v>Trek Kickster - 2018</v>
          </cell>
          <cell r="C269">
            <v>9</v>
          </cell>
          <cell r="D269">
            <v>1</v>
          </cell>
        </row>
        <row r="270">
          <cell r="A270">
            <v>269</v>
          </cell>
          <cell r="B270" t="str">
            <v>Trek Precaliber 12 Boy's - 2018</v>
          </cell>
          <cell r="C270">
            <v>9</v>
          </cell>
          <cell r="D270">
            <v>1</v>
          </cell>
        </row>
        <row r="271">
          <cell r="A271">
            <v>270</v>
          </cell>
          <cell r="B271" t="str">
            <v>Trek Precaliber 16 Boy's - 2018</v>
          </cell>
          <cell r="C271">
            <v>9</v>
          </cell>
          <cell r="D271">
            <v>1</v>
          </cell>
        </row>
        <row r="272">
          <cell r="A272">
            <v>271</v>
          </cell>
          <cell r="B272" t="str">
            <v>Trek Precaliber 16 Girl's - 2018</v>
          </cell>
          <cell r="C272">
            <v>9</v>
          </cell>
          <cell r="D272">
            <v>1</v>
          </cell>
        </row>
        <row r="273">
          <cell r="A273">
            <v>272</v>
          </cell>
          <cell r="B273" t="str">
            <v>Trek Precaliber 20 6-speed Boy's - 2018</v>
          </cell>
          <cell r="C273">
            <v>9</v>
          </cell>
          <cell r="D273">
            <v>1</v>
          </cell>
        </row>
        <row r="274">
          <cell r="A274">
            <v>273</v>
          </cell>
          <cell r="B274" t="str">
            <v>Trek Precaliber 20 6-speed Girl's - 2018</v>
          </cell>
          <cell r="C274">
            <v>9</v>
          </cell>
          <cell r="D274">
            <v>1</v>
          </cell>
        </row>
        <row r="275">
          <cell r="A275">
            <v>274</v>
          </cell>
          <cell r="B275" t="str">
            <v>Trek Precaliber 20 Boy's - 2018</v>
          </cell>
          <cell r="C275">
            <v>9</v>
          </cell>
          <cell r="D275">
            <v>1</v>
          </cell>
        </row>
        <row r="276">
          <cell r="A276">
            <v>275</v>
          </cell>
          <cell r="B276" t="str">
            <v>Trek Precaliber 20 Girl's - 2018</v>
          </cell>
          <cell r="C276">
            <v>9</v>
          </cell>
          <cell r="D276">
            <v>1</v>
          </cell>
        </row>
        <row r="277">
          <cell r="A277">
            <v>276</v>
          </cell>
          <cell r="B277" t="str">
            <v>Trek Precaliber 24 (7-Speed) - Boys - 2018</v>
          </cell>
          <cell r="C277">
            <v>9</v>
          </cell>
          <cell r="D277">
            <v>1</v>
          </cell>
        </row>
        <row r="278">
          <cell r="A278">
            <v>277</v>
          </cell>
          <cell r="B278" t="str">
            <v>Trek Precaliber 24 21-speed Boy's - 2018</v>
          </cell>
          <cell r="C278">
            <v>9</v>
          </cell>
          <cell r="D278">
            <v>1</v>
          </cell>
        </row>
        <row r="279">
          <cell r="A279">
            <v>278</v>
          </cell>
          <cell r="B279" t="str">
            <v>Trek Precaliber 24 21-speed Girl's - 2018</v>
          </cell>
          <cell r="C279">
            <v>9</v>
          </cell>
          <cell r="D279">
            <v>1</v>
          </cell>
        </row>
        <row r="280">
          <cell r="A280">
            <v>279</v>
          </cell>
          <cell r="B280" t="str">
            <v>Trek Precaliber 24 7-speed Girl's - 2018</v>
          </cell>
          <cell r="C280">
            <v>9</v>
          </cell>
          <cell r="D280">
            <v>1</v>
          </cell>
        </row>
        <row r="281">
          <cell r="A281">
            <v>280</v>
          </cell>
          <cell r="B281" t="str">
            <v>Trek Superfly 24 - 2017/2018</v>
          </cell>
          <cell r="C281">
            <v>9</v>
          </cell>
          <cell r="D281">
            <v>1</v>
          </cell>
        </row>
        <row r="282">
          <cell r="A282">
            <v>281</v>
          </cell>
          <cell r="B282" t="str">
            <v>Electra Cruiser 7D (24-Inch) Ladies' - 2016/2018</v>
          </cell>
          <cell r="C282">
            <v>1</v>
          </cell>
          <cell r="D282">
            <v>1</v>
          </cell>
        </row>
        <row r="283">
          <cell r="A283">
            <v>282</v>
          </cell>
          <cell r="B283" t="str">
            <v>Electra Cyclosaurus 1 (16-inch) - Boy's - 2018</v>
          </cell>
          <cell r="C283">
            <v>1</v>
          </cell>
          <cell r="D283">
            <v>1</v>
          </cell>
        </row>
        <row r="284">
          <cell r="A284">
            <v>283</v>
          </cell>
          <cell r="B284" t="str">
            <v>Electra Heartchya 1 (20-inch) - Girl's - 2018</v>
          </cell>
          <cell r="C284">
            <v>1</v>
          </cell>
          <cell r="D284">
            <v>1</v>
          </cell>
        </row>
        <row r="285">
          <cell r="A285">
            <v>284</v>
          </cell>
          <cell r="B285" t="str">
            <v>Electra Savannah 1 (20-inch) - Girl's - 2018</v>
          </cell>
          <cell r="C285">
            <v>1</v>
          </cell>
          <cell r="D285">
            <v>1</v>
          </cell>
        </row>
        <row r="286">
          <cell r="A286">
            <v>285</v>
          </cell>
          <cell r="B286" t="str">
            <v>Electra Soft Serve 1 (16-inch) - Girl's - 2018</v>
          </cell>
          <cell r="C286">
            <v>1</v>
          </cell>
          <cell r="D286">
            <v>1</v>
          </cell>
        </row>
        <row r="287">
          <cell r="A287">
            <v>286</v>
          </cell>
          <cell r="B287" t="str">
            <v>Electra Starship 1 16" - 2018</v>
          </cell>
          <cell r="C287">
            <v>1</v>
          </cell>
          <cell r="D287">
            <v>1</v>
          </cell>
        </row>
        <row r="288">
          <cell r="A288">
            <v>287</v>
          </cell>
          <cell r="B288" t="str">
            <v>Electra Straight 8 1 (16-inch) - Boy's - 2018</v>
          </cell>
          <cell r="C288">
            <v>1</v>
          </cell>
          <cell r="D288">
            <v>1</v>
          </cell>
        </row>
        <row r="289">
          <cell r="A289">
            <v>288</v>
          </cell>
          <cell r="B289" t="str">
            <v>Electra Straight 8 1 (20-inch) - Boy's - 2018</v>
          </cell>
          <cell r="C289">
            <v>1</v>
          </cell>
          <cell r="D289">
            <v>1</v>
          </cell>
        </row>
        <row r="290">
          <cell r="A290">
            <v>289</v>
          </cell>
          <cell r="B290" t="str">
            <v>Electra Superbolt 1 20" - 2018</v>
          </cell>
          <cell r="C290">
            <v>1</v>
          </cell>
          <cell r="D290">
            <v>1</v>
          </cell>
        </row>
        <row r="291">
          <cell r="A291">
            <v>290</v>
          </cell>
          <cell r="B291" t="str">
            <v>Electra Superbolt 3i 20" - 2018</v>
          </cell>
          <cell r="C291">
            <v>1</v>
          </cell>
          <cell r="D291">
            <v>1</v>
          </cell>
        </row>
        <row r="292">
          <cell r="A292">
            <v>291</v>
          </cell>
          <cell r="B292" t="str">
            <v>Electra Sweet Ride 1 (20-inch) - Girl's - 2018</v>
          </cell>
          <cell r="C292">
            <v>1</v>
          </cell>
          <cell r="D292">
            <v>1</v>
          </cell>
        </row>
        <row r="293">
          <cell r="A293">
            <v>292</v>
          </cell>
          <cell r="B293" t="str">
            <v>Electra Sweet Ride 3i (20-inch) - Girls' - 2018</v>
          </cell>
          <cell r="C293">
            <v>1</v>
          </cell>
          <cell r="D293">
            <v>1</v>
          </cell>
        </row>
        <row r="294">
          <cell r="A294">
            <v>293</v>
          </cell>
          <cell r="B294" t="str">
            <v>Electra Tiger Shark 1 (20-inch) - Boys' - 2018</v>
          </cell>
          <cell r="C294">
            <v>1</v>
          </cell>
          <cell r="D294">
            <v>1</v>
          </cell>
        </row>
        <row r="295">
          <cell r="A295">
            <v>294</v>
          </cell>
          <cell r="B295" t="str">
            <v>Electra Tiger Shark 3i (20-inch) - Boys' - 2018</v>
          </cell>
          <cell r="C295">
            <v>1</v>
          </cell>
          <cell r="D295">
            <v>1</v>
          </cell>
        </row>
        <row r="296">
          <cell r="A296">
            <v>295</v>
          </cell>
          <cell r="B296" t="str">
            <v>Electra Treasure 1 20" - 2018</v>
          </cell>
          <cell r="C296">
            <v>1</v>
          </cell>
          <cell r="D296">
            <v>1</v>
          </cell>
        </row>
        <row r="297">
          <cell r="A297">
            <v>296</v>
          </cell>
          <cell r="B297" t="str">
            <v>Electra Treasure 3i 20" - 2018</v>
          </cell>
          <cell r="C297">
            <v>1</v>
          </cell>
          <cell r="D297">
            <v>1</v>
          </cell>
        </row>
        <row r="298">
          <cell r="A298">
            <v>297</v>
          </cell>
          <cell r="B298" t="str">
            <v>Electra Under-The-Sea 1 16" - 2018</v>
          </cell>
          <cell r="C298">
            <v>1</v>
          </cell>
          <cell r="D298">
            <v>1</v>
          </cell>
        </row>
        <row r="299">
          <cell r="A299">
            <v>298</v>
          </cell>
          <cell r="B299" t="str">
            <v>Electra Water Lily 1 (16-inch) - Girl's - 2018</v>
          </cell>
          <cell r="C299">
            <v>1</v>
          </cell>
          <cell r="D299">
            <v>1</v>
          </cell>
        </row>
        <row r="300">
          <cell r="A300">
            <v>299</v>
          </cell>
          <cell r="B300" t="str">
            <v>Electra Townie Original 21D - 2018</v>
          </cell>
          <cell r="C300">
            <v>1</v>
          </cell>
          <cell r="D300">
            <v>2</v>
          </cell>
        </row>
        <row r="301">
          <cell r="A301">
            <v>300</v>
          </cell>
          <cell r="B301" t="str">
            <v>Electra Townie Balloon 3i EQ Ladies' - 2018</v>
          </cell>
          <cell r="C301">
            <v>1</v>
          </cell>
          <cell r="D301">
            <v>2</v>
          </cell>
        </row>
        <row r="302">
          <cell r="A302">
            <v>301</v>
          </cell>
          <cell r="B302" t="str">
            <v>Electra Townie Balloon 7i EQ - 2018</v>
          </cell>
          <cell r="C302">
            <v>1</v>
          </cell>
          <cell r="D302">
            <v>2</v>
          </cell>
        </row>
        <row r="303">
          <cell r="A303">
            <v>302</v>
          </cell>
          <cell r="B303" t="str">
            <v>Electra Townie Original 1 - 2018</v>
          </cell>
          <cell r="C303">
            <v>1</v>
          </cell>
          <cell r="D303">
            <v>2</v>
          </cell>
        </row>
        <row r="304">
          <cell r="A304">
            <v>303</v>
          </cell>
          <cell r="B304" t="str">
            <v>Electra Townie Go! 8i - 2017/2018</v>
          </cell>
          <cell r="C304">
            <v>1</v>
          </cell>
          <cell r="D304">
            <v>2</v>
          </cell>
        </row>
        <row r="305">
          <cell r="A305">
            <v>304</v>
          </cell>
          <cell r="B305" t="str">
            <v>Electra Townie Original 21D EQ - 2017/2018</v>
          </cell>
          <cell r="C305">
            <v>1</v>
          </cell>
          <cell r="D305">
            <v>2</v>
          </cell>
        </row>
        <row r="306">
          <cell r="A306">
            <v>305</v>
          </cell>
          <cell r="B306" t="str">
            <v>Electra Townie Balloon 3i EQ - 2017/2018</v>
          </cell>
          <cell r="C306">
            <v>1</v>
          </cell>
          <cell r="D306">
            <v>2</v>
          </cell>
        </row>
        <row r="307">
          <cell r="A307">
            <v>306</v>
          </cell>
          <cell r="B307" t="str">
            <v>Electra Townie Balloon 7i EQ Ladies' - 2017/2018</v>
          </cell>
          <cell r="C307">
            <v>1</v>
          </cell>
          <cell r="D307">
            <v>2</v>
          </cell>
        </row>
        <row r="308">
          <cell r="A308">
            <v>307</v>
          </cell>
          <cell r="B308" t="str">
            <v>Electra Townie Balloon 8D EQ - 2016/2017/2018</v>
          </cell>
          <cell r="C308">
            <v>1</v>
          </cell>
          <cell r="D308">
            <v>2</v>
          </cell>
        </row>
        <row r="309">
          <cell r="A309">
            <v>308</v>
          </cell>
          <cell r="B309" t="str">
            <v>Electra Townie Balloon 8D EQ Ladies' - 2016/2017/2018</v>
          </cell>
          <cell r="C309">
            <v>1</v>
          </cell>
          <cell r="D309">
            <v>2</v>
          </cell>
        </row>
        <row r="310">
          <cell r="A310">
            <v>309</v>
          </cell>
          <cell r="B310" t="str">
            <v>Electra Townie Commute 27D - 2018</v>
          </cell>
          <cell r="C310">
            <v>1</v>
          </cell>
          <cell r="D310">
            <v>2</v>
          </cell>
        </row>
        <row r="311">
          <cell r="A311">
            <v>310</v>
          </cell>
          <cell r="B311" t="str">
            <v>Electra Townie Commute 27D Ladies - 2018</v>
          </cell>
          <cell r="C311">
            <v>1</v>
          </cell>
          <cell r="D311">
            <v>2</v>
          </cell>
        </row>
        <row r="312">
          <cell r="A312">
            <v>311</v>
          </cell>
          <cell r="B312" t="str">
            <v>Electra Townie Commute 8D - 2018</v>
          </cell>
          <cell r="C312">
            <v>1</v>
          </cell>
          <cell r="D312">
            <v>2</v>
          </cell>
        </row>
        <row r="313">
          <cell r="A313">
            <v>312</v>
          </cell>
          <cell r="B313" t="str">
            <v>Electra Townie Commute 8D Ladies' - 2018</v>
          </cell>
          <cell r="C313">
            <v>1</v>
          </cell>
          <cell r="D313">
            <v>2</v>
          </cell>
        </row>
        <row r="314">
          <cell r="A314">
            <v>313</v>
          </cell>
          <cell r="B314" t="str">
            <v>Electra Townie Original 1 Ladies' - 2018</v>
          </cell>
          <cell r="C314">
            <v>1</v>
          </cell>
          <cell r="D314">
            <v>2</v>
          </cell>
        </row>
        <row r="315">
          <cell r="A315">
            <v>314</v>
          </cell>
          <cell r="B315" t="str">
            <v>Electra Townie Original 21D EQ Ladies' - 2018</v>
          </cell>
          <cell r="C315">
            <v>1</v>
          </cell>
          <cell r="D315">
            <v>2</v>
          </cell>
        </row>
        <row r="316">
          <cell r="A316">
            <v>315</v>
          </cell>
          <cell r="B316" t="str">
            <v>Electra Townie Original 21D Ladies' - 2018</v>
          </cell>
          <cell r="C316">
            <v>1</v>
          </cell>
          <cell r="D316">
            <v>2</v>
          </cell>
        </row>
        <row r="317">
          <cell r="A317">
            <v>316</v>
          </cell>
          <cell r="B317" t="str">
            <v>Trek Checkpoint ALR 4 Women's - 2019</v>
          </cell>
          <cell r="C317">
            <v>9</v>
          </cell>
          <cell r="D317">
            <v>7</v>
          </cell>
        </row>
        <row r="318">
          <cell r="A318">
            <v>317</v>
          </cell>
          <cell r="B318" t="str">
            <v>Trek Checkpoint ALR 5 - 2019</v>
          </cell>
          <cell r="C318">
            <v>9</v>
          </cell>
          <cell r="D318">
            <v>7</v>
          </cell>
        </row>
        <row r="319">
          <cell r="A319">
            <v>318</v>
          </cell>
          <cell r="B319" t="str">
            <v>Trek Checkpoint ALR 5 Women's - 2019</v>
          </cell>
          <cell r="C319">
            <v>9</v>
          </cell>
          <cell r="D319">
            <v>7</v>
          </cell>
        </row>
        <row r="320">
          <cell r="A320">
            <v>319</v>
          </cell>
          <cell r="B320" t="str">
            <v>Trek Checkpoint SL 5 Women's - 2019</v>
          </cell>
          <cell r="C320">
            <v>9</v>
          </cell>
          <cell r="D320">
            <v>7</v>
          </cell>
        </row>
        <row r="321">
          <cell r="A321">
            <v>320</v>
          </cell>
          <cell r="B321" t="str">
            <v>Trek Checkpoint SL 6 - 2019</v>
          </cell>
          <cell r="C321">
            <v>9</v>
          </cell>
          <cell r="D321">
            <v>7</v>
          </cell>
        </row>
        <row r="322">
          <cell r="A322">
            <v>321</v>
          </cell>
          <cell r="B322" t="str">
            <v>Trek Checkpoint ALR Frameset - 2019</v>
          </cell>
          <cell r="C322">
            <v>9</v>
          </cell>
          <cell r="D322">
            <v>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ategories"/>
    </sheetNames>
    <sheetDataSet>
      <sheetData sheetId="0">
        <row r="1">
          <cell r="A1" t="str">
            <v>category_id</v>
          </cell>
          <cell r="B1" t="str">
            <v>category_name</v>
          </cell>
        </row>
        <row r="2">
          <cell r="A2">
            <v>1</v>
          </cell>
          <cell r="B2" t="str">
            <v>Children Bicycles</v>
          </cell>
        </row>
        <row r="3">
          <cell r="A3">
            <v>2</v>
          </cell>
          <cell r="B3" t="str">
            <v>Comfort Bicycles</v>
          </cell>
        </row>
        <row r="4">
          <cell r="A4">
            <v>3</v>
          </cell>
          <cell r="B4" t="str">
            <v>Cruisers Bicycles</v>
          </cell>
        </row>
        <row r="5">
          <cell r="A5">
            <v>4</v>
          </cell>
          <cell r="B5" t="str">
            <v>Cyclocross Bicycles</v>
          </cell>
        </row>
        <row r="6">
          <cell r="A6">
            <v>5</v>
          </cell>
          <cell r="B6" t="str">
            <v>Electric Bikes</v>
          </cell>
        </row>
        <row r="7">
          <cell r="A7">
            <v>6</v>
          </cell>
          <cell r="B7" t="str">
            <v>Mountain Bikes</v>
          </cell>
        </row>
        <row r="8">
          <cell r="A8">
            <v>7</v>
          </cell>
          <cell r="B8" t="str">
            <v>Road Bikes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9.5189930556" refreshedBy="ELCOT" recordCount="4722">
  <cacheSource type="worksheet">
    <worksheetSource ref="A1:J4723" sheet="order_items"/>
  </cacheSource>
  <cacheFields count="10">
    <cacheField name="order_id" numFmtId="0">
      <sharedItems containsSemiMixedTypes="0" containsString="0" containsNumber="1" containsInteger="1" minValue="0" maxValue="1615" count="16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</sharedItems>
    </cacheField>
    <cacheField name="item_id" numFmtId="0">
      <sharedItems containsSemiMixedTypes="0" containsString="0" containsNumber="1" containsInteger="1" minValue="0" maxValue="5" count="5">
        <n v="1"/>
        <n v="2"/>
        <n v="3"/>
        <n v="4"/>
        <n v="5"/>
      </sharedItems>
    </cacheField>
    <cacheField name="product_id" numFmtId="0">
      <sharedItems containsSemiMixedTypes="0" containsString="0" containsNumber="1" containsInteger="1" minValue="0" maxValue="315" count="307">
        <n v="20"/>
        <n v="8"/>
        <n v="10"/>
        <n v="16"/>
        <n v="4"/>
        <n v="3"/>
        <n v="2"/>
        <n v="17"/>
        <n v="26"/>
        <n v="18"/>
        <n v="12"/>
        <n v="9"/>
        <n v="15"/>
        <n v="22"/>
        <n v="7"/>
        <n v="14"/>
        <n v="11"/>
        <n v="13"/>
        <n v="6"/>
        <n v="23"/>
        <n v="21"/>
        <n v="5"/>
        <n v="25"/>
        <n v="19"/>
        <n v="24"/>
        <n v="85"/>
        <n v="106"/>
        <n v="103"/>
        <n v="56"/>
        <n v="53"/>
        <n v="73"/>
        <n v="72"/>
        <n v="61"/>
        <n v="32"/>
        <n v="30"/>
        <n v="76"/>
        <n v="109"/>
        <n v="62"/>
        <n v="64"/>
        <n v="68"/>
        <n v="99"/>
        <n v="42"/>
        <n v="47"/>
        <n v="95"/>
        <n v="97"/>
        <n v="90"/>
        <n v="78"/>
        <n v="79"/>
        <n v="102"/>
        <n v="94"/>
        <n v="67"/>
        <n v="74"/>
        <n v="43"/>
        <n v="80"/>
        <n v="88"/>
        <n v="110"/>
        <n v="83"/>
        <n v="33"/>
        <n v="52"/>
        <n v="54"/>
        <n v="49"/>
        <n v="29"/>
        <n v="39"/>
        <n v="70"/>
        <n v="59"/>
        <n v="63"/>
        <n v="55"/>
        <n v="41"/>
        <n v="71"/>
        <n v="50"/>
        <n v="101"/>
        <n v="58"/>
        <n v="98"/>
        <n v="84"/>
        <n v="48"/>
        <n v="108"/>
        <n v="28"/>
        <n v="104"/>
        <n v="45"/>
        <n v="69"/>
        <n v="51"/>
        <n v="96"/>
        <n v="66"/>
        <n v="38"/>
        <n v="89"/>
        <n v="75"/>
        <n v="105"/>
        <n v="91"/>
        <n v="37"/>
        <n v="81"/>
        <n v="82"/>
        <n v="60"/>
        <n v="107"/>
        <n v="31"/>
        <n v="57"/>
        <n v="40"/>
        <n v="100"/>
        <n v="27"/>
        <n v="34"/>
        <n v="44"/>
        <n v="35"/>
        <n v="93"/>
        <n v="92"/>
        <n v="111"/>
        <n v="77"/>
        <n v="65"/>
        <n v="86"/>
        <n v="36"/>
        <n v="87"/>
        <n v="46"/>
        <n v="120"/>
        <n v="235"/>
        <n v="139"/>
        <n v="257"/>
        <n v="209"/>
        <n v="190"/>
        <n v="269"/>
        <n v="151"/>
        <n v="180"/>
        <n v="241"/>
        <n v="129"/>
        <n v="228"/>
        <n v="311"/>
        <n v="247"/>
        <n v="143"/>
        <n v="283"/>
        <n v="232"/>
        <n v="243"/>
        <n v="230"/>
        <n v="282"/>
        <n v="253"/>
        <n v="290"/>
        <n v="145"/>
        <n v="300"/>
        <n v="296"/>
        <n v="179"/>
        <n v="298"/>
        <n v="205"/>
        <n v="304"/>
        <n v="203"/>
        <n v="160"/>
        <n v="138"/>
        <n v="157"/>
        <n v="207"/>
        <n v="185"/>
        <n v="153"/>
        <n v="169"/>
        <n v="175"/>
        <n v="237"/>
        <n v="215"/>
        <n v="234"/>
        <n v="270"/>
        <n v="244"/>
        <n v="184"/>
        <n v="206"/>
        <n v="172"/>
        <n v="164"/>
        <n v="134"/>
        <n v="150"/>
        <n v="249"/>
        <n v="263"/>
        <n v="148"/>
        <n v="147"/>
        <n v="168"/>
        <n v="305"/>
        <n v="250"/>
        <n v="159"/>
        <n v="297"/>
        <n v="133"/>
        <n v="136"/>
        <n v="233"/>
        <n v="166"/>
        <n v="149"/>
        <n v="313"/>
        <n v="192"/>
        <n v="199"/>
        <n v="276"/>
        <n v="130"/>
        <n v="307"/>
        <n v="163"/>
        <n v="204"/>
        <n v="155"/>
        <n v="152"/>
        <n v="144"/>
        <n v="236"/>
        <n v="115"/>
        <n v="128"/>
        <n v="200"/>
        <n v="132"/>
        <n v="131"/>
        <n v="124"/>
        <n v="113"/>
        <n v="186"/>
        <n v="213"/>
        <n v="208"/>
        <n v="223"/>
        <n v="181"/>
        <n v="182"/>
        <n v="188"/>
        <n v="142"/>
        <n v="118"/>
        <n v="255"/>
        <n v="229"/>
        <n v="274"/>
        <n v="214"/>
        <n v="225"/>
        <n v="135"/>
        <n v="238"/>
        <n v="292"/>
        <n v="262"/>
        <n v="306"/>
        <n v="251"/>
        <n v="171"/>
        <n v="227"/>
        <n v="295"/>
        <n v="277"/>
        <n v="240"/>
        <n v="268"/>
        <n v="165"/>
        <n v="226"/>
        <n v="127"/>
        <n v="210"/>
        <n v="224"/>
        <n v="217"/>
        <n v="275"/>
        <n v="112"/>
        <n v="254"/>
        <n v="189"/>
        <n v="273"/>
        <n v="220"/>
        <n v="193"/>
        <n v="162"/>
        <n v="266"/>
        <n v="114"/>
        <n v="137"/>
        <n v="301"/>
        <n v="170"/>
        <n v="265"/>
        <n v="222"/>
        <n v="308"/>
        <n v="264"/>
        <n v="245"/>
        <n v="194"/>
        <n v="242"/>
        <n v="219"/>
        <n v="197"/>
        <n v="302"/>
        <n v="140"/>
        <n v="281"/>
        <n v="216"/>
        <n v="126"/>
        <n v="187"/>
        <n v="221"/>
        <n v="252"/>
        <n v="161"/>
        <n v="198"/>
        <n v="286"/>
        <n v="141"/>
        <n v="260"/>
        <n v="116"/>
        <n v="178"/>
        <n v="271"/>
        <n v="123"/>
        <n v="239"/>
        <n v="173"/>
        <n v="299"/>
        <n v="117"/>
        <n v="246"/>
        <n v="272"/>
        <n v="258"/>
        <n v="201"/>
        <n v="167"/>
        <n v="294"/>
        <n v="310"/>
        <n v="278"/>
        <n v="287"/>
        <n v="261"/>
        <n v="248"/>
        <n v="191"/>
        <n v="256"/>
        <n v="280"/>
        <n v="122"/>
        <n v="196"/>
        <n v="218"/>
        <n v="293"/>
        <n v="231"/>
        <n v="259"/>
        <n v="288"/>
        <n v="202"/>
        <n v="158"/>
        <n v="303"/>
        <n v="314"/>
        <n v="156"/>
        <n v="183"/>
        <n v="177"/>
        <n v="119"/>
        <n v="315"/>
        <n v="285"/>
        <n v="174"/>
        <n v="309"/>
        <n v="279"/>
        <n v="146"/>
        <n v="312"/>
        <n v="212"/>
        <n v="211"/>
        <n v="176"/>
        <n v="289"/>
      </sharedItems>
    </cacheField>
    <cacheField name="quantity" numFmtId="0">
      <sharedItems containsSemiMixedTypes="0" containsString="0" containsNumber="1" containsInteger="1" minValue="0" maxValue="2" count="2">
        <n v="1"/>
        <n v="2"/>
      </sharedItems>
    </cacheField>
    <cacheField name="list_price" numFmtId="0">
      <sharedItems containsSemiMixedTypes="0" containsString="0" containsNumber="1" minValue="0" maxValue="11999.99" count="104">
        <n v="599.99"/>
        <n v="1799.99"/>
        <n v="1549"/>
        <n v="2899.99"/>
        <n v="999.99"/>
        <n v="749.99"/>
        <n v="429"/>
        <n v="449"/>
        <n v="549.99"/>
        <n v="2999.99"/>
        <n v="529.99"/>
        <n v="269.99"/>
        <n v="3999.99"/>
        <n v="1680.99"/>
        <n v="469.99"/>
        <n v="299.99"/>
        <n v="1320.99"/>
        <n v="499.99"/>
        <n v="329.99"/>
        <n v="449.99"/>
        <n v="551.99"/>
        <n v="5499.99"/>
        <n v="619.99"/>
        <n v="4999.99"/>
        <n v="416.99"/>
        <n v="3499.99"/>
        <n v="489.99"/>
        <n v="2299.99"/>
        <n v="5299.99"/>
        <n v="349.99"/>
        <n v="209.99"/>
        <n v="647.99"/>
        <n v="402.99"/>
        <n v="249.99"/>
        <n v="250.99"/>
        <n v="439.99"/>
        <n v="761.99"/>
        <n v="189.99"/>
        <n v="470.99"/>
        <n v="149.99"/>
        <n v="875.99"/>
        <n v="3199.99"/>
        <n v="1499.99"/>
        <n v="659.99"/>
        <n v="2599.99"/>
        <n v="2699.99"/>
        <n v="1469.99"/>
        <n v="5999.99"/>
        <n v="339.99"/>
        <n v="109.99"/>
        <n v="2499.99"/>
        <n v="481.99"/>
        <n v="869.99"/>
        <n v="6499.99"/>
        <n v="533.99"/>
        <n v="379.99"/>
        <n v="1099.99"/>
        <n v="1559.99"/>
        <n v="1632.99"/>
        <n v="1999.99"/>
        <n v="539.99"/>
        <n v="832.99"/>
        <n v="799.99"/>
        <n v="346.99"/>
        <n v="1409.99"/>
        <n v="899.99"/>
        <n v="2799.99"/>
        <n v="199.99"/>
        <n v="1549.99"/>
        <n v="919.99"/>
        <n v="319.99"/>
        <n v="479.99"/>
        <n v="679.99"/>
        <n v="429.99"/>
        <n v="279.99"/>
        <n v="369.99"/>
        <n v="4499.99"/>
        <n v="2249.99"/>
        <n v="849.99"/>
        <n v="559.99"/>
        <n v="3299.99"/>
        <n v="89.99"/>
        <n v="639.99"/>
        <n v="7499.99"/>
        <n v="1349"/>
        <n v="3599.99"/>
        <n v="11999.99"/>
        <n v="1899"/>
        <n v="2599"/>
        <n v="1499"/>
        <n v="2199.99"/>
        <n v="229.99"/>
        <n v="959.99"/>
        <n v="159.99"/>
        <n v="909.99"/>
        <n v="289.99"/>
        <n v="399.99"/>
        <n v="579.99"/>
        <n v="1299.99"/>
        <n v="699.99"/>
        <n v="1599.99"/>
        <n v="1259.9"/>
        <n v="1199.99"/>
        <n v="389.99"/>
      </sharedItems>
    </cacheField>
    <cacheField name="discount" numFmtId="0">
      <sharedItems containsSemiMixedTypes="0" containsString="0" containsNumber="1" minValue="0" maxValue="0.2" count="4">
        <n v="0.2"/>
        <n v="0.07"/>
        <n v="0.05"/>
        <n v="0.1"/>
      </sharedItems>
    </cacheField>
    <cacheField name="total_price" numFmtId="0">
      <sharedItems containsSemiMixedTypes="0" containsString="0" containsNumber="1" minValue="0" maxValue="23999.88" count="648">
        <n v="599.79"/>
        <n v="3599.91"/>
        <n v="3097.95"/>
        <n v="1199.93"/>
        <n v="2899.79"/>
        <n v="599.92"/>
        <n v="999.94"/>
        <n v="599.94"/>
        <n v="1499.88"/>
        <n v="428.93"/>
        <n v="448.93"/>
        <n v="1099.93"/>
        <n v="599.89"/>
        <n v="1999.91"/>
        <n v="5999.91"/>
        <n v="529.92"/>
        <n v="999.89"/>
        <n v="857.9"/>
        <n v="269.94"/>
        <n v="1199.91"/>
        <n v="7999.88"/>
        <n v="269.89"/>
        <n v="1799.94"/>
        <n v="539.88"/>
        <n v="1199.78"/>
        <n v="5799.88"/>
        <n v="1680.94"/>
        <n v="857.95"/>
        <n v="1199.88"/>
        <n v="469.92"/>
        <n v="1099.91"/>
        <n v="1799.92"/>
        <n v="897.95"/>
        <n v="599.78"/>
        <n v="1799.79"/>
        <n v="539.91"/>
        <n v="269.92"/>
        <n v="299.89"/>
        <n v="1320.89"/>
        <n v="1499.78"/>
        <n v="3999.89"/>
        <n v="999.93"/>
        <n v="5999.88"/>
        <n v="1548.93"/>
        <n v="5999.78"/>
        <n v="2999.92"/>
        <n v="3097.93"/>
        <n v="428.9"/>
        <n v="1059.78"/>
        <n v="5799.93"/>
        <n v="599.88"/>
        <n v="269.79"/>
        <n v="1999.88"/>
        <n v="897.93"/>
        <n v="3097.8"/>
        <n v="3999.94"/>
        <n v="749.79"/>
        <n v="549.79"/>
        <n v="1320.79"/>
        <n v="448.8"/>
        <n v="1320.94"/>
        <n v="7999.78"/>
        <n v="469.94"/>
        <n v="469.79"/>
        <n v="539.93"/>
        <n v="448.9"/>
        <n v="2899.89"/>
        <n v="3361.93"/>
        <n v="999.88"/>
        <n v="599.91"/>
        <n v="3097.9"/>
        <n v="857.8"/>
        <n v="448.95"/>
        <n v="1999.78"/>
        <n v="7999.93"/>
        <n v="299.92"/>
        <n v="499.79"/>
        <n v="549.92"/>
        <n v="539.78"/>
        <n v="1999.93"/>
        <n v="529.89"/>
        <n v="428.8"/>
        <n v="3599.78"/>
        <n v="897.8"/>
        <n v="5799.78"/>
        <n v="999.91"/>
        <n v="1680.89"/>
        <n v="2641.88"/>
        <n v="499.92"/>
        <n v="599.93"/>
        <n v="999.79"/>
        <n v="999.78"/>
        <n v="749.89"/>
        <n v="499.89"/>
        <n v="1059.93"/>
        <n v="2641.78"/>
        <n v="3599.88"/>
        <n v="1099.88"/>
        <n v="549.89"/>
        <n v="1548.95"/>
        <n v="857.93"/>
        <n v="549.94"/>
        <n v="7999.91"/>
        <n v="529.79"/>
        <n v="3361.88"/>
        <n v="1320.92"/>
        <n v="897.9"/>
        <n v="469.89"/>
        <n v="3361.78"/>
        <n v="1059.91"/>
        <n v="939.88"/>
        <n v="499.94"/>
        <n v="1799.89"/>
        <n v="428.95"/>
        <n v="1680.79"/>
        <n v="299.94"/>
        <n v="749.92"/>
        <n v="939.78"/>
        <n v="1099.78"/>
        <n v="529.94"/>
        <n v="1059.88"/>
        <n v="2999.94"/>
        <n v="299.79"/>
        <n v="2899.92"/>
        <n v="939.93"/>
        <n v="1499.93"/>
        <n v="5999.93"/>
        <n v="5799.91"/>
        <n v="2999.89"/>
        <n v="2641.91"/>
        <n v="1499.91"/>
        <n v="2641.93"/>
        <n v="749.94"/>
        <n v="999.92"/>
        <n v="3599.93"/>
        <n v="1548.8"/>
        <n v="3361.91"/>
        <n v="3999.79"/>
        <n v="939.91"/>
        <n v="1548.9"/>
        <n v="3999.92"/>
        <n v="2999.79"/>
        <n v="1680.92"/>
        <n v="2899.94"/>
        <n v="659.78"/>
        <n v="899.88"/>
        <n v="551.94"/>
        <n v="5499.79"/>
        <n v="619.94"/>
        <n v="9999.88"/>
        <n v="899.93"/>
        <n v="833.78"/>
        <n v="3499.79"/>
        <n v="489.79"/>
        <n v="899.91"/>
        <n v="4599.93"/>
        <n v="10599.91"/>
        <n v="699.88"/>
        <n v="209.92"/>
        <n v="647.94"/>
        <n v="402.89"/>
        <n v="329.94"/>
        <n v="979.93"/>
        <n v="499.93"/>
        <n v="489.89"/>
        <n v="6999.78"/>
        <n v="501.78"/>
        <n v="439.94"/>
        <n v="5299.89"/>
        <n v="761.79"/>
        <n v="379.91"/>
        <n v="941.91"/>
        <n v="699.91"/>
        <n v="250.89"/>
        <n v="149.89"/>
        <n v="875.94"/>
        <n v="6399.93"/>
        <n v="2999.91"/>
        <n v="659.94"/>
        <n v="9999.91"/>
        <n v="5199.91"/>
        <n v="10599.93"/>
        <n v="6999.91"/>
        <n v="5399.88"/>
        <n v="979.91"/>
        <n v="2939.93"/>
        <n v="249.94"/>
        <n v="416.92"/>
        <n v="449.79"/>
        <n v="1751.91"/>
        <n v="5999.79"/>
        <n v="679.78"/>
        <n v="5299.92"/>
        <n v="4999.92"/>
        <n v="4599.78"/>
        <n v="979.78"/>
        <n v="1499.94"/>
        <n v="402.79"/>
        <n v="109.89"/>
        <n v="2999.93"/>
        <n v="619.92"/>
        <n v="449.89"/>
        <n v="2499.92"/>
        <n v="963.78"/>
        <n v="1739.93"/>
        <n v="416.94"/>
        <n v="2699.79"/>
        <n v="833.91"/>
        <n v="12999.91"/>
        <n v="699.78"/>
        <n v="250.79"/>
        <n v="419.93"/>
        <n v="659.79"/>
        <n v="963.91"/>
        <n v="1067.91"/>
        <n v="699.93"/>
        <n v="6399.88"/>
        <n v="1751.93"/>
        <n v="759.91"/>
        <n v="299.93"/>
        <n v="2199.93"/>
        <n v="5999.92"/>
        <n v="3499.92"/>
        <n v="4999.79"/>
        <n v="1499.79"/>
        <n v="3119.78"/>
        <n v="5499.92"/>
        <n v="2599.94"/>
        <n v="10999.93"/>
        <n v="379.78"/>
        <n v="481.79"/>
        <n v="149.92"/>
        <n v="189.94"/>
        <n v="109.79"/>
        <n v="5399.78"/>
        <n v="2599.79"/>
        <n v="10999.88"/>
        <n v="1632.92"/>
        <n v="1103.78"/>
        <n v="1739.88"/>
        <n v="1319.88"/>
        <n v="3999.78"/>
        <n v="869.92"/>
        <n v="349.92"/>
        <n v="9999.93"/>
        <n v="1499.92"/>
        <n v="1632.79"/>
        <n v="1319.78"/>
        <n v="109.94"/>
        <n v="481.89"/>
        <n v="1739.78"/>
        <n v="501.93"/>
        <n v="619.79"/>
        <n v="4999.89"/>
        <n v="1559.79"/>
        <n v="489.92"/>
        <n v="5399.93"/>
        <n v="679.91"/>
        <n v="2299.94"/>
        <n v="2999.78"/>
        <n v="1999.79"/>
        <n v="2499.94"/>
        <n v="1239.93"/>
        <n v="1079.78"/>
        <n v="879.88"/>
        <n v="832.79"/>
        <n v="419.78"/>
        <n v="941.88"/>
        <n v="419.91"/>
        <n v="209.79"/>
        <n v="979.88"/>
        <n v="470.92"/>
        <n v="1739.91"/>
        <n v="963.88"/>
        <n v="449.92"/>
        <n v="489.94"/>
        <n v="209.89"/>
        <n v="349.94"/>
        <n v="1599.91"/>
        <n v="6999.88"/>
        <n v="647.92"/>
        <n v="1319.93"/>
        <n v="5499.89"/>
        <n v="349.89"/>
        <n v="679.88"/>
        <n v="5199.93"/>
        <n v="219.78"/>
        <n v="693.88"/>
        <n v="833.88"/>
        <n v="1319.91"/>
        <n v="1099.94"/>
        <n v="499.78"/>
        <n v="4999.94"/>
        <n v="833.93"/>
        <n v="761.94"/>
        <n v="647.89"/>
        <n v="149.79"/>
        <n v="1099.92"/>
        <n v="1469.92"/>
        <n v="1665.78"/>
        <n v="1295.88"/>
        <n v="3265.93"/>
        <n v="1665.88"/>
        <n v="879.91"/>
        <n v="1523.91"/>
        <n v="3999.88"/>
        <n v="693.91"/>
        <n v="416.79"/>
        <n v="1751.78"/>
        <n v="551.89"/>
        <n v="2699.92"/>
        <n v="2199.91"/>
        <n v="4999.78"/>
        <n v="346.94"/>
        <n v="470.79"/>
        <n v="3499.89"/>
        <n v="1599.93"/>
        <n v="1665.91"/>
        <n v="470.94"/>
        <n v="2299.79"/>
        <n v="551.79"/>
        <n v="189.79"/>
        <n v="551.92"/>
        <n v="1665.93"/>
        <n v="2499.79"/>
        <n v="416.89"/>
        <n v="832.89"/>
        <n v="339.94"/>
        <n v="5299.79"/>
        <n v="329.79"/>
        <n v="1999.92"/>
        <n v="1239.88"/>
        <n v="5199.78"/>
        <n v="501.88"/>
        <n v="3199.79"/>
        <n v="1559.94"/>
        <n v="2499.89"/>
        <n v="439.89"/>
        <n v="209.94"/>
        <n v="3199.92"/>
        <n v="875.89"/>
        <n v="339.92"/>
        <n v="11999.93"/>
        <n v="419.88"/>
        <n v="349.79"/>
        <n v="1599.88"/>
        <n v="1103.93"/>
        <n v="5499.94"/>
        <n v="659.92"/>
        <n v="346.79"/>
        <n v="1067.78"/>
        <n v="379.88"/>
        <n v="1079.91"/>
        <n v="249.79"/>
        <n v="10999.91"/>
        <n v="299.78"/>
        <n v="1099.79"/>
        <n v="5299.94"/>
        <n v="1469.79"/>
        <n v="5399.91"/>
        <n v="1067.88"/>
        <n v="3199.94"/>
        <n v="869.79"/>
        <n v="647.79"/>
        <n v="899.78"/>
        <n v="6499.94"/>
        <n v="329.89"/>
        <n v="2299.89"/>
        <n v="619.89"/>
        <n v="1099.89"/>
        <n v="805.91"/>
        <n v="6999.93"/>
        <n v="2819.93"/>
        <n v="1103.91"/>
        <n v="2939.91"/>
        <n v="379.92"/>
        <n v="2819.91"/>
        <n v="9999.78"/>
        <n v="189.89"/>
        <n v="379.89"/>
        <n v="693.93"/>
        <n v="501.91"/>
        <n v="761.92"/>
        <n v="1409.92"/>
        <n v="693.78"/>
        <n v="3999.91"/>
        <n v="539.94"/>
        <n v="2819.78"/>
        <n v="659.89"/>
        <n v="5999.89"/>
        <n v="11999.91"/>
        <n v="533.94"/>
        <n v="5199.88"/>
        <n v="4999.91"/>
        <n v="3265.91"/>
        <n v="1409.94"/>
        <n v="219.91"/>
        <n v="346.92"/>
        <n v="249.89"/>
        <n v="449.94"/>
        <n v="1409.89"/>
        <n v="1632.89"/>
        <n v="539.89"/>
        <n v="799.79"/>
        <n v="1499.89"/>
        <n v="879.93"/>
        <n v="759.78"/>
        <n v="1559.89"/>
        <n v="12999.88"/>
        <n v="799.92"/>
        <n v="10999.78"/>
        <n v="539.92"/>
        <n v="1079.88"/>
        <n v="3499.94"/>
        <n v="4599.91"/>
        <n v="339.79"/>
        <n v="1239.78"/>
        <n v="2599.89"/>
        <n v="10599.88"/>
        <n v="1999.94"/>
        <n v="805.88"/>
        <n v="250.92"/>
        <n v="6499.89"/>
        <n v="1469.94"/>
        <n v="299.88"/>
        <n v="533.89"/>
        <n v="10599.78"/>
        <n v="439.79"/>
        <n v="2999.88"/>
        <n v="4999.88"/>
        <n v="941.78"/>
        <n v="1751.88"/>
        <n v="1523.93"/>
        <n v="2699.94"/>
        <n v="875.79"/>
        <n v="875.92"/>
        <n v="2199.78"/>
        <n v="1295.93"/>
        <n v="759.88"/>
        <n v="339.89"/>
        <n v="299.91"/>
        <n v="533.79"/>
        <n v="470.89"/>
        <n v="12999.93"/>
        <n v="2199.88"/>
        <n v="346.89"/>
        <n v="659.88"/>
        <n v="3119.93"/>
        <n v="379.94"/>
        <n v="4999.93"/>
        <n v="2699.89"/>
        <n v="3119.88"/>
        <n v="219.93"/>
        <n v="149.94"/>
        <n v="499.88"/>
        <n v="963.93"/>
        <n v="1559.92"/>
        <n v="402.92"/>
        <n v="2939.88"/>
        <n v="832.94"/>
        <n v="1409.79"/>
        <n v="189.92"/>
        <n v="941.93"/>
        <n v="5999.94"/>
        <n v="533.92"/>
        <n v="2939.78"/>
        <n v="2299.92"/>
        <n v="379.79"/>
        <n v="6399.78"/>
        <n v="3119.91"/>
        <n v="679.93"/>
        <n v="1067.93"/>
        <n v="832.92"/>
        <n v="3265.88"/>
        <n v="439.92"/>
        <n v="1469.89"/>
        <n v="1079.93"/>
        <n v="6499.92"/>
        <n v="1295.91"/>
        <n v="379.93"/>
        <n v="1523.78"/>
        <n v="499.91"/>
        <n v="481.94"/>
        <n v="4599.88"/>
        <n v="1295.78"/>
        <n v="3999.93"/>
        <n v="1239.91"/>
        <n v="869.89"/>
        <n v="1103.88"/>
        <n v="11999.78"/>
        <n v="1999.89"/>
        <n v="1599.78"/>
        <n v="899.89"/>
        <n v="899.94"/>
        <n v="5599.91"/>
        <n v="399.91"/>
        <n v="3099.91"/>
        <n v="1799.88"/>
        <n v="919.79"/>
        <n v="1839.88"/>
        <n v="319.92"/>
        <n v="639.78"/>
        <n v="479.79"/>
        <n v="1359.93"/>
        <n v="859.78"/>
        <n v="279.89"/>
        <n v="369.94"/>
        <n v="369.79"/>
        <n v="1839.91"/>
        <n v="1359.88"/>
        <n v="8999.91"/>
        <n v="219.88"/>
        <n v="4499.93"/>
        <n v="2799.89"/>
        <n v="1699.93"/>
        <n v="1799.93"/>
        <n v="559.94"/>
        <n v="3299.89"/>
        <n v="4499.94"/>
        <n v="179.78"/>
        <n v="2599.92"/>
        <n v="559.78"/>
        <n v="559.88"/>
        <n v="639.92"/>
        <n v="7499.79"/>
        <n v="639.88"/>
        <n v="1799.78"/>
        <n v="279.94"/>
        <n v="1632.94"/>
        <n v="2697.8"/>
        <n v="7199.91"/>
        <n v="23999.88"/>
        <n v="1549.92"/>
        <n v="3199.89"/>
        <n v="3797.8"/>
        <n v="5197.8"/>
        <n v="1498.93"/>
        <n v="4499.79"/>
        <n v="4399.93"/>
        <n v="919.94"/>
        <n v="6399.91"/>
        <n v="1839.78"/>
        <n v="179.88"/>
        <n v="859.91"/>
        <n v="459.78"/>
        <n v="959.89"/>
        <n v="4499.92"/>
        <n v="319.93"/>
        <n v="3599.79"/>
        <n v="679.89"/>
        <n v="2199.79"/>
        <n v="479.94"/>
        <n v="1819.78"/>
        <n v="229.89"/>
        <n v="429.94"/>
        <n v="5599.78"/>
        <n v="289.92"/>
        <n v="759.93"/>
        <n v="859.93"/>
        <n v="799.94"/>
        <n v="399.89"/>
        <n v="579.92"/>
        <n v="1799.91"/>
        <n v="1299.92"/>
        <n v="289.94"/>
        <n v="559.93"/>
        <n v="739.93"/>
        <n v="1399.88"/>
        <n v="1279.78"/>
        <n v="1898.9"/>
        <n v="679.94"/>
        <n v="639.93"/>
        <n v="89.92"/>
        <n v="319.94"/>
        <n v="1898.8"/>
        <n v="249.92"/>
        <n v="3199.91"/>
        <n v="1119.91"/>
        <n v="3199.93"/>
        <n v="959.79"/>
        <n v="2598.9"/>
        <n v="89.79"/>
        <n v="7499.94"/>
        <n v="4499.89"/>
        <n v="1399.78"/>
        <n v="1279.88"/>
        <n v="1279.93"/>
        <n v="559.79"/>
        <n v="899.79"/>
        <n v="1498.8"/>
        <n v="5599.93"/>
        <n v="319.88"/>
        <n v="289.89"/>
        <n v="159.79"/>
        <n v="1259.8"/>
        <n v="369.89"/>
        <n v="3099.93"/>
        <n v="739.88"/>
        <n v="199.94"/>
        <n v="3797.95"/>
        <n v="579.88"/>
        <n v="1919.91"/>
        <n v="919.89"/>
        <n v="1359.91"/>
        <n v="639.91"/>
        <n v="319.79"/>
        <n v="199.89"/>
        <n v="3099.78"/>
        <n v="429.89"/>
        <n v="859.88"/>
        <n v="899.92"/>
        <n v="959.93"/>
        <n v="1919.78"/>
        <n v="3199.78"/>
        <n v="909.89"/>
        <n v="14999.93"/>
        <n v="1199.92"/>
        <n v="2598.95"/>
        <n v="389.92"/>
        <n v="2997.8"/>
        <n v="909.92"/>
        <n v="2399.78"/>
        <n v="2997.93"/>
        <n v="579.93"/>
        <n v="1359.78"/>
        <n v="1599.92"/>
        <n v="2697.93"/>
        <n v="2799.92"/>
        <n v="11999.88"/>
        <n v="459.88"/>
        <n v="399.78"/>
        <n v="3299.92"/>
        <n v="279.79"/>
        <n v="5599.88"/>
        <n v="1119.93"/>
        <n v="319.89"/>
        <n v="4399.91"/>
        <n v="11999.92"/>
        <n v="559.92"/>
        <n v="919.92"/>
        <n v="5197.93"/>
        <n v="279.92"/>
        <n v="289.79"/>
        <n v="579.78"/>
        <n v="369.92"/>
        <n v="1159.78"/>
        <n v="459.93"/>
        <n v="699.89"/>
      </sharedItems>
    </cacheField>
    <cacheField name="product_names" numFmtId="0">
      <sharedItems count="278">
        <s v="Electra Townie Original 7D EQ - Women's - 2016"/>
        <s v="Trek Remedy 29 Carbon Frameset - 2016"/>
        <s v="Surly Straggler - 2016"/>
        <s v="Electra Townie Original 7D EQ - 2016"/>
        <s v="Trek Fuel EX 8 29 - 2016"/>
        <s v="Surly Wednesday Frameset - 2016"/>
        <s v="Ritchey Timberwolf Frameset - 2016"/>
        <s v="Pure Cycles Vine 8-Speed - 2016"/>
        <s v="Pure Cycles Western 3-Speed - Women's - 2015/2016"/>
        <s v="Electra Townie Original 21D - 2016"/>
        <s v="Trek Conduit+ - 2016"/>
        <s v="Electra Moto 1 - 2016"/>
        <s v="Electra Girl's Hawaii 1 (16-inch) - 2015/2016"/>
        <s v="Trek Slash 8 27.5 - 2016"/>
        <s v="Surly Straggler 650b - 2016"/>
        <s v="Electra Cruiser 1 (24-Inch) - 2016"/>
        <s v="Surly Ice Cream Truck Frameset - 2016"/>
        <s v="Electra Girl's Hawaii 1 (20-inch) - 2015/2016"/>
        <s v="Heller Shagamaw Frame - 2016"/>
        <s v="Electra Townie Original 7D - 2015/2016"/>
        <s v="Pure Cycles William 3-Speed - 2016"/>
        <s v="Haro Downtown 16 - 2017"/>
        <s v="Sun Bicycles Cruz 3 - 2017"/>
        <s v="Sun Bicycles Streamway 3 - 2017"/>
        <s v="Trek Domane SLR 6 Disc - 2017"/>
        <s v="Surly Ogre Frameset - 2017"/>
        <s v="Sun Bicycles Brickell Tandem 7 - 2017"/>
        <s v="Sun Bicycles Biscayne Tandem 7 - 2017"/>
        <s v="Trek Powerfly 8 FS Plus - 2017"/>
        <s v="Trek Farley Alloy Frameset - 2017"/>
        <s v="Surly Ice Cream Truck Frameset - 2017"/>
        <s v="Electra Girl's Hawaii 1 16&quot; - 2017"/>
        <s v="Sun Bicycles Cruz 7 - Women's - 2017"/>
        <s v="Trek Boone 7 - 2017"/>
        <s v="Electra Townie Original 7D - 2017"/>
        <s v="Electra Sugar Skulls 1 (20-inch) - Girl's - 2017"/>
        <s v="Trek Fuel EX 5 27.5 Plus - 2017"/>
        <s v="Trek Remedy 9.8 - 2017"/>
        <s v="Electra Savannah 3i (20-inch) - Girl's - 2017"/>
        <s v="Trek Precaliber 16 Girls - 2017"/>
        <s v="Sun Bicycles Biscayne Tandem CB - 2017"/>
        <s v="Sun Bicycles Boardwalk (24-inch Wheels) - 2017"/>
        <s v="Haro Shredder Pro 20 - 2017"/>
        <s v="Sun Bicycles Revolutions 24 - Girl's - 2017"/>
        <s v="Electra Cruiser Lux 1 - 2017"/>
        <s v="Trek Fuel EX 9.8 27.5 Plus - 2017"/>
        <s v="Sun Bicycles Brickell Tandem CB - 2017"/>
        <s v="Trek Precaliber 12 Girls - 2017"/>
        <s v="Sun Bicycles Drifter 7 - 2017"/>
        <s v="Trek Boy's Kickster - 2015/2017"/>
        <s v="Surly Wednesday Frameset - 2017"/>
        <s v="Surly Steamroller - 2017"/>
        <s v="Trek Domane SL Disc Frameset - 2017"/>
        <s v="Trek Domane SL 6 - 2017"/>
        <s v="Trek X-Caliber 8 - 2017"/>
        <s v="Trek Stache 5 - 2017"/>
        <s v="Electra Amsterdam Original 3i - 2015/2017"/>
        <s v="Trek Domane S 5 Disc - 2017"/>
        <s v="Trek Boone Race Shop Limited - 2017"/>
        <s v="Trek Domane S 6 - 2017"/>
        <s v="Haro Shift R3 - 2017"/>
        <s v="Sun Bicycles Atlas X-Type - 2017"/>
        <s v="Trek Silque SLR 7 Women's - 2017"/>
        <s v="Electra Townie 7D (20-inch) - Boys' - 2017"/>
        <s v="Trek Madone 9.2 - 2017"/>
        <s v="Electra Straight 8 3i (20-inch) - Boy's - 2017"/>
        <s v="Sun Bicycles Lil Kitt'n - 2017"/>
        <s v="Trek Emonda S 4 - 2017"/>
        <s v="Sun Bicycles Cruz 3 - Women's - 2017"/>
        <s v="Surly Karate Monkey 27.5+ Frameset - 2017"/>
        <s v="Sun Bicycles Streamway - 2017"/>
        <s v="Haro SR 1.2 - 2017"/>
        <s v="Sun Bicycles Cruz 7 - 2017"/>
        <s v="Trek Silque SLR 8 Women's - 2017"/>
        <s v="Electra Moto 3i (20-inch) - Boy's - 2017"/>
        <s v="Sun Bicycles Revolutions 24 - 2017"/>
        <s v="Haro Flightline Two 26 Plus - 2017"/>
        <s v="Trek Precaliber 16 Boys - 2017"/>
        <s v="Electra Cruiser Lux Fat Tire 1 Ladies - 2017"/>
        <s v="Sun Bicycles Streamway 7 - 2017"/>
        <s v="Trek Precaliber 24 (21-Speed) - Girls - 2017"/>
        <s v="Haro Flightline One ST - 2017"/>
        <s v="Electra Amsterdam Fashion 7i Ladies' - 2017"/>
        <s v="Electra Amsterdam Original 3i Ladies' - 2017"/>
        <s v="Sun Bicycles ElectroLite - 2017"/>
        <s v="Surly Wednesday - 2017"/>
        <s v="Trek Emonda S 5 - 2017"/>
        <s v="Trek Fuel EX 9.8 29 - 2017"/>
        <s v="Electra Townie 3i EQ (20-inch) - Boys' - 2017"/>
        <s v="Surly Big Dummy Frameset - 2017"/>
        <s v="Trek Session DH 27.5 Carbon Frameset - 2017"/>
        <s v="Haro SR 1.1 - 2017"/>
        <s v="Sun Bicycles Spider 3i - 2017"/>
        <s v="Haro Shredder 20 Girls - 2017"/>
        <s v="Haro Shredder 20 - 2017"/>
        <s v="Sun Bicycles Drifter 7 - Women's - 2017"/>
        <s v="Electra Glam Punk 3i Ladies' - 2017"/>
        <s v="Sun Bicycles Lil Bolt Type-R - 2017"/>
        <s v="Trek Girl's Kickster - 2017"/>
        <s v="Surly Troll Frameset - 2017"/>
        <s v="Trek Precaliber 12 Boys - 2017"/>
        <s v="Haro SR 1.3 - 2017"/>
        <s v="Trek Fuel EX 7 29 - 2018"/>
        <s v="Electra Koa 3i Ladies' - 2018"/>
        <s v="Trek Remedy 7 27.5 - 2018"/>
        <s v="Electra Amsterdam Fashion 3i Ladies' - 2017/2018"/>
        <s v="Trek Crockett 7 Disc - 2018"/>
        <s v="Trek Dual Sport+ - 2018"/>
        <s v="Trek Precaliber 12 Boy's - 2018"/>
        <s v="Trek Domane ALR 4 Disc Women's - 2018"/>
        <s v="Trek Domane AL 3 Women's - 2018"/>
        <s v="Electra Townie Commute 8D - 2018"/>
        <s v="Trek X-Caliber 7 - 2018"/>
        <s v="Electra Cruiser 7D Tall - 2016/2018"/>
        <s v="Electra Townie Original 7D EQ - 2018"/>
        <s v="Trek Domane ALR 3 - 2018"/>
        <s v="Electra Heartchya 1 (20-inch) - Girl's - 2018"/>
        <s v="Electra Cruiser Lux 7D Ladies' - 2018"/>
        <s v="Electra Townie Original 21D EQ Ladies' - 2018"/>
        <s v="Electra Cruiser Lux 1 Ladies' - 2018"/>
        <s v="Electra Cyclosaurus 1 (16-inch) - Boy's - 2018"/>
        <s v="Electra Townie Go! 8i Ladies' - 2018"/>
        <s v="Electra Superbolt 3i 20&quot; - 2018"/>
        <s v="Trek Domane ALR 5 Disc - 2018"/>
        <s v="Electra Townie Balloon 3i EQ Ladies' - 2018"/>
        <s v="Electra Treasure 3i 20&quot; - 2018"/>
        <s v="Trek Domane AL 3 - 2018"/>
        <s v="Electra Water Lily 1 (16-inch) - Girl's - 2018"/>
        <s v="Trek Super Commuter+ 8S - 2018"/>
        <s v="Electra Townie Original 21D EQ - 2017/2018"/>
        <s v="Trek Powerfly 7 FS - 2018"/>
        <s v="Trek Emonda SLR 6 - 2018"/>
        <s v="Trek Fuel EX 5 Plus - 2018"/>
        <s v="Trek Domane SL Frameset Women's - 2018"/>
        <s v="Trek Boone 7 Disc - 2018"/>
        <s v="Trek Conduit+ - 2018"/>
        <s v="Trek Domane SL 7 Women's - 2018"/>
        <s v="Trek Emonda SLR 8 - 2018"/>
        <s v="Trek Domane SLR Frameset - 2018"/>
        <s v="Electra Relic 3i - 2018"/>
        <s v="Electra Queen of Hearts 3i - 2018"/>
        <s v="Electra Daydreamer 3i Ladies' - 2018"/>
        <s v="Trek Precaliber 16 Boy's - 2018"/>
        <s v="Electra Townie Original 21D Ladies' - 2018"/>
        <s v="Trek Domane SL 6 Disc - 2018"/>
        <s v="Trek Boone 5 Disc - 2018"/>
        <s v="Trek Domane ALR Disc Frameset - 2018"/>
        <s v="Surly Straggler 650b - 2018"/>
        <s v="Trek Remedy 27.5 C Frameset - 2018"/>
        <s v="Trek Emonda SL 7 - 2018"/>
        <s v="Electra White Water 3i - 2018"/>
        <s v="Strider Classic 12 Balance Bike - 2018"/>
        <s v="Trek Domane SL 8 Disc - 2018"/>
        <s v="Trek Domane ALR 5 Gravel - 2018"/>
        <s v="Surly Straggler - 2018"/>
        <s v="Electra Townie Balloon 3i EQ - 2017/2018"/>
        <s v="Electra Townie Go! 8i - 2017/2018"/>
        <s v="Trek Emonda ALR 6 - 2018"/>
        <s v="Electra Under-The-Sea 1 16&quot; - 2018"/>
        <s v="Trek Procaliber Frameset - 2018"/>
        <s v="Trek Procaliber 6 - 2018"/>
        <s v="Electra Cruiser Lux Fat Tire 7D - 2018"/>
        <s v="Trek Domane AL 2 Women's - 2018"/>
        <s v="Trek Domane SLR 8 Disc - 2018"/>
        <s v="Electra Townie Original 1 Ladies' - 2018"/>
        <s v="Electra Townie Commute Go! Ladies' - 2018"/>
        <s v="Trek Precaliber 24 (7-Speed) - Boys - 2018"/>
        <s v="Trek Stache Carbon Frameset - 2018"/>
        <s v="Electra Townie Balloon 8D EQ - 2016/2017/2018"/>
        <s v="Surly Pack Rat - 2018"/>
        <s v="Trek Super Commuter+ 7 - 2018"/>
        <s v="Trek Domane SLR 9 Disc - 2018"/>
        <s v="Trek Domane SL 5 Disc Women's - 2018"/>
        <s v="Trek Domane ALR 4 Disc - 2018"/>
        <s v="Electra Morningstar 3i Ladies' - 2018"/>
        <s v="Trek Fuel EX 8 29 - 2018"/>
        <s v="Surly ECR 27.5 - 2018"/>
        <s v="Trek Powerfly 5 - 2018"/>
        <s v="Trek Procal AL Frameset - 2018"/>
        <s v="Heller Bloodhound Trail - 2018"/>
        <s v="Surly Krampus - 2018"/>
        <s v="Trek Marlin 5 - 2018"/>
        <s v="Trek CrossRip+ - 2018"/>
        <s v="Electra Cruiser 1 - 2016/2017/2018"/>
        <s v="Trek Crockett 5 Disc - 2018"/>
        <s v="Electra Cruiser Lux 3i - 2018"/>
        <s v="Trek Domane SL 5 - 2018"/>
        <s v="Trek Domane SL 5 Disc - 2018"/>
        <s v="Trek XM700+ Lowstep - 2018"/>
        <s v="Trek Fuel EX 8 29 XT - 2018"/>
        <s v="Trek X-Caliber 8 - 2018"/>
        <s v="Electra Townie Balloon 7i EQ Ladies' - 2017/2018"/>
        <s v="Electra Cruiser Lux 1 - 2016/2018"/>
        <s v="Trek Precaliber 20 Boy's - 2018"/>
        <s v="Electra Tiger Shark 3i - 2018"/>
        <s v="Electra Delivery 3i - 2016/2017/2018"/>
        <s v="Trek X-Caliber Frameset - 2018"/>
        <s v="Electra Sweet Ride 3i (20-inch) - Girls' - 2018"/>
        <s v="Trek MT 201 - 2018"/>
        <s v="Electra Townie Commute Go! - 2018"/>
        <s v="Trek Domane SL 6 - 2018"/>
        <s v="Electra Cruiser 7D (24-Inch) Ladies' - 2016/2018"/>
        <s v="Electra Treasure 1 20&quot; - 2018"/>
        <s v="Trek Precaliber 24 21-speed Boy's - 2018"/>
        <s v="Electra Townie Commute 27D Ladies - 2018"/>
        <s v="Trek Kickster - 2018"/>
        <s v="Trek 1120 - 2018"/>
        <s v="Surly Pack Rat Frameset - 2018"/>
        <s v="Electra Cruiser Lux 7D - 2018"/>
        <s v="Electra Straight 8 3i - 2018"/>
        <s v="Trek Precaliber 20 Girl's - 2018"/>
        <s v="Trek 820 - 2018"/>
        <s v="Trek Lift+ Lowstep - 2018"/>
        <s v="Trek Precaliber 20 6-speed Girl's - 2018"/>
        <s v="Electra Cruiser 1 Ladies' - 2018"/>
        <s v="Trek Lift+ - 2018"/>
        <s v="Trek Emonda SL 6 Disc - 2018"/>
        <s v="Trek Superfly 20 - 2018"/>
        <s v="Trek Marlin 6 - 2018"/>
        <s v="Heller Shagamaw GX1 - 2018"/>
        <s v="Electra Townie Balloon 7i EQ - 2018"/>
        <s v="Trek CrossRip 2 - 2018"/>
        <s v="Strider Strider 20 Sport - 2018"/>
        <s v="Electra Cruiser 1 Tall - 2016/2018"/>
        <s v="Electra Townie Balloon 8D EQ Ladies' - 2016/2017/2018"/>
        <s v="Strider Sport 16 - 2018"/>
        <s v="Electra Townie Original 3i EQ - 2017/2018"/>
        <s v="Trek XM700+ - 2018"/>
        <s v="Electra Townie Commute 8D Ladies' - 2018"/>
        <s v="Electra Moto 3i - 2018"/>
        <s v="Trek Verve+ Lowstep - 2018"/>
        <s v="Electra Townie Original 1 - 2018"/>
        <s v="Trek Remedy 9.8 27.5 - 2018"/>
        <s v="Electra Super Moto 8i - 2018"/>
        <s v="Surly Big Fat Dummy Frameset - 2018"/>
        <s v="Trek Neko+ - 2018"/>
        <s v="Electra Cruiser 7D Ladies' - 2016/2018"/>
        <s v="Surly ECR - 2018"/>
        <s v="Electra Starship 1 16&quot; - 2018"/>
        <s v="Trek Stache 5 - 2018"/>
        <s v="Trek Marlin 7 - 2017/2018"/>
        <s v="Trek Domane AL 2 - 2018"/>
        <s v="Trek Precaliber 16 Girl's - 2018"/>
        <s v="Trek Farley Carbon Frameset - 2018"/>
        <s v="Trek Domane ALR Frameset - 2018"/>
        <s v="Electra Townie Original 21D - 2018"/>
        <s v="Trek Ticket S Frame - 2018"/>
        <s v="Electra Townie Original 3i EQ Ladies' - 2018"/>
        <s v="Trek Precaliber 20 6-speed Boy's - 2018"/>
        <s v="Electra Amsterdam Royal 8i - 2017/2018"/>
        <s v="Trek Powerfly 5 FS - 2018"/>
        <s v="Surly ECR Frameset - 2018"/>
        <s v="Electra Tiger Shark 3i (20-inch) - Boys' - 2018"/>
        <s v="Trek Precaliber 24 21-speed Girl's - 2018"/>
        <s v="Electra Straight 8 1 (16-inch) - Boy's - 2018"/>
        <s v="Electra Townie Original 7D EQ Ladies' - 2017/2018"/>
        <s v="Electra Loft Go! 8i - 2018"/>
        <s v="Electra Townie Commute 27D - 2018"/>
        <s v="Trek Superfly 24 - 2017/2018"/>
        <s v="Surly Troll Frameset - 2018"/>
        <s v="Trek Verve+ - 2018"/>
        <s v="Electra Cruiser 7D - 2016/2017/2018"/>
        <s v="Electra Tiger Shark 1 (20-inch) - Boys' - 2018"/>
        <s v="Electra Cruiser Lux 3i Ladies' - 2018"/>
        <s v="Electra Amsterdam Royal 8i Ladies - 2018"/>
        <s v="Electra Straight 8 1 (20-inch) - Boy's - 2018"/>
        <s v="Trek Powerfly 5 Women's - 2018"/>
        <s v="Trek CrossRip 1 - 2018"/>
        <s v="Trek Domane SL Frameset - 2018"/>
        <s v="Trek Domane SL 5 Women's - 2018"/>
        <s v="Trek Domane SLR 6 Disc - 2018"/>
        <s v="Trek Kids' Neko - 2018"/>
        <s v="Electra Soft Serve 1 (16-inch) - Girl's - 2018"/>
        <s v="Trek Domane SLR Disc Frameset - 2018"/>
        <s v="Trek Precaliber 24 7-speed Girl's - 2018"/>
        <s v="Trek Domane SLR 6 - 2018"/>
        <s v="Trek Madone 9 Frameset - 2018"/>
        <s v="Electra Superbolt 1 20&quot; - 2018"/>
      </sharedItems>
    </cacheField>
    <cacheField name="category_id" numFmtId="0">
      <sharedItems containsSemiMixedTypes="0" containsString="0" containsNumber="1" containsInteger="1" minValue="0" maxValue="7" count="7">
        <n v="3"/>
        <n v="6"/>
        <n v="4"/>
        <n v="2"/>
        <n v="5"/>
        <n v="1"/>
        <n v="7"/>
      </sharedItems>
    </cacheField>
    <cacheField name="category_name" numFmtId="0">
      <sharedItems count="7">
        <s v="Cruisers Bicycles"/>
        <s v="Mountain Bikes"/>
        <s v="Cyclocross Bicycles"/>
        <s v="Comfort Bicycles"/>
        <s v="Electric Bikes"/>
        <s v="Children Bicycles"/>
        <s v="Road Bik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22">
  <r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</r>
  <r>
    <x v="0"/>
    <x v="2"/>
    <x v="2"/>
    <x v="1"/>
    <x v="2"/>
    <x v="2"/>
    <x v="2"/>
    <x v="2"/>
    <x v="2"/>
    <x v="2"/>
  </r>
  <r>
    <x v="0"/>
    <x v="3"/>
    <x v="3"/>
    <x v="1"/>
    <x v="0"/>
    <x v="2"/>
    <x v="3"/>
    <x v="3"/>
    <x v="0"/>
    <x v="0"/>
  </r>
  <r>
    <x v="0"/>
    <x v="4"/>
    <x v="4"/>
    <x v="0"/>
    <x v="3"/>
    <x v="0"/>
    <x v="4"/>
    <x v="4"/>
    <x v="1"/>
    <x v="1"/>
  </r>
  <r>
    <x v="1"/>
    <x v="0"/>
    <x v="0"/>
    <x v="0"/>
    <x v="0"/>
    <x v="1"/>
    <x v="5"/>
    <x v="0"/>
    <x v="0"/>
    <x v="0"/>
  </r>
  <r>
    <x v="1"/>
    <x v="1"/>
    <x v="3"/>
    <x v="1"/>
    <x v="0"/>
    <x v="2"/>
    <x v="3"/>
    <x v="3"/>
    <x v="0"/>
    <x v="0"/>
  </r>
  <r>
    <x v="2"/>
    <x v="0"/>
    <x v="5"/>
    <x v="0"/>
    <x v="4"/>
    <x v="2"/>
    <x v="6"/>
    <x v="5"/>
    <x v="1"/>
    <x v="1"/>
  </r>
  <r>
    <x v="2"/>
    <x v="1"/>
    <x v="0"/>
    <x v="0"/>
    <x v="0"/>
    <x v="2"/>
    <x v="7"/>
    <x v="0"/>
    <x v="0"/>
    <x v="0"/>
  </r>
  <r>
    <x v="3"/>
    <x v="0"/>
    <x v="6"/>
    <x v="1"/>
    <x v="5"/>
    <x v="3"/>
    <x v="8"/>
    <x v="6"/>
    <x v="1"/>
    <x v="1"/>
  </r>
  <r>
    <x v="4"/>
    <x v="0"/>
    <x v="2"/>
    <x v="1"/>
    <x v="2"/>
    <x v="2"/>
    <x v="2"/>
    <x v="2"/>
    <x v="2"/>
    <x v="2"/>
  </r>
  <r>
    <x v="4"/>
    <x v="1"/>
    <x v="7"/>
    <x v="0"/>
    <x v="6"/>
    <x v="1"/>
    <x v="9"/>
    <x v="7"/>
    <x v="0"/>
    <x v="0"/>
  </r>
  <r>
    <x v="4"/>
    <x v="2"/>
    <x v="8"/>
    <x v="0"/>
    <x v="0"/>
    <x v="1"/>
    <x v="5"/>
    <x v="3"/>
    <x v="3"/>
    <x v="3"/>
  </r>
  <r>
    <x v="5"/>
    <x v="0"/>
    <x v="9"/>
    <x v="0"/>
    <x v="7"/>
    <x v="1"/>
    <x v="10"/>
    <x v="8"/>
    <x v="0"/>
    <x v="0"/>
  </r>
  <r>
    <x v="5"/>
    <x v="1"/>
    <x v="10"/>
    <x v="1"/>
    <x v="8"/>
    <x v="2"/>
    <x v="11"/>
    <x v="9"/>
    <x v="0"/>
    <x v="0"/>
  </r>
  <r>
    <x v="5"/>
    <x v="2"/>
    <x v="0"/>
    <x v="0"/>
    <x v="0"/>
    <x v="3"/>
    <x v="12"/>
    <x v="0"/>
    <x v="0"/>
    <x v="0"/>
  </r>
  <r>
    <x v="5"/>
    <x v="3"/>
    <x v="5"/>
    <x v="1"/>
    <x v="4"/>
    <x v="1"/>
    <x v="13"/>
    <x v="5"/>
    <x v="1"/>
    <x v="1"/>
  </r>
  <r>
    <x v="5"/>
    <x v="4"/>
    <x v="11"/>
    <x v="1"/>
    <x v="9"/>
    <x v="1"/>
    <x v="14"/>
    <x v="10"/>
    <x v="4"/>
    <x v="4"/>
  </r>
  <r>
    <x v="6"/>
    <x v="0"/>
    <x v="12"/>
    <x v="0"/>
    <x v="10"/>
    <x v="1"/>
    <x v="15"/>
    <x v="11"/>
    <x v="0"/>
    <x v="0"/>
  </r>
  <r>
    <x v="6"/>
    <x v="1"/>
    <x v="5"/>
    <x v="0"/>
    <x v="4"/>
    <x v="3"/>
    <x v="16"/>
    <x v="5"/>
    <x v="1"/>
    <x v="1"/>
  </r>
  <r>
    <x v="6"/>
    <x v="2"/>
    <x v="7"/>
    <x v="1"/>
    <x v="6"/>
    <x v="3"/>
    <x v="17"/>
    <x v="7"/>
    <x v="0"/>
    <x v="0"/>
  </r>
  <r>
    <x v="7"/>
    <x v="0"/>
    <x v="13"/>
    <x v="0"/>
    <x v="11"/>
    <x v="2"/>
    <x v="18"/>
    <x v="12"/>
    <x v="5"/>
    <x v="5"/>
  </r>
  <r>
    <x v="7"/>
    <x v="1"/>
    <x v="0"/>
    <x v="1"/>
    <x v="0"/>
    <x v="1"/>
    <x v="19"/>
    <x v="0"/>
    <x v="0"/>
    <x v="0"/>
  </r>
  <r>
    <x v="8"/>
    <x v="0"/>
    <x v="14"/>
    <x v="1"/>
    <x v="12"/>
    <x v="3"/>
    <x v="20"/>
    <x v="13"/>
    <x v="1"/>
    <x v="1"/>
  </r>
  <r>
    <x v="9"/>
    <x v="0"/>
    <x v="15"/>
    <x v="0"/>
    <x v="11"/>
    <x v="3"/>
    <x v="21"/>
    <x v="12"/>
    <x v="0"/>
    <x v="0"/>
  </r>
  <r>
    <x v="10"/>
    <x v="0"/>
    <x v="1"/>
    <x v="0"/>
    <x v="1"/>
    <x v="2"/>
    <x v="22"/>
    <x v="1"/>
    <x v="1"/>
    <x v="1"/>
  </r>
  <r>
    <x v="10"/>
    <x v="1"/>
    <x v="13"/>
    <x v="1"/>
    <x v="11"/>
    <x v="3"/>
    <x v="23"/>
    <x v="12"/>
    <x v="5"/>
    <x v="5"/>
  </r>
  <r>
    <x v="10"/>
    <x v="2"/>
    <x v="3"/>
    <x v="1"/>
    <x v="0"/>
    <x v="0"/>
    <x v="24"/>
    <x v="3"/>
    <x v="0"/>
    <x v="0"/>
  </r>
  <r>
    <x v="11"/>
    <x v="0"/>
    <x v="4"/>
    <x v="1"/>
    <x v="3"/>
    <x v="3"/>
    <x v="25"/>
    <x v="4"/>
    <x v="1"/>
    <x v="1"/>
  </r>
  <r>
    <x v="11"/>
    <x v="1"/>
    <x v="16"/>
    <x v="0"/>
    <x v="13"/>
    <x v="2"/>
    <x v="26"/>
    <x v="14"/>
    <x v="2"/>
    <x v="2"/>
  </r>
  <r>
    <x v="12"/>
    <x v="0"/>
    <x v="17"/>
    <x v="0"/>
    <x v="11"/>
    <x v="3"/>
    <x v="21"/>
    <x v="15"/>
    <x v="0"/>
    <x v="0"/>
  </r>
  <r>
    <x v="12"/>
    <x v="1"/>
    <x v="7"/>
    <x v="1"/>
    <x v="6"/>
    <x v="2"/>
    <x v="27"/>
    <x v="7"/>
    <x v="0"/>
    <x v="0"/>
  </r>
  <r>
    <x v="12"/>
    <x v="2"/>
    <x v="0"/>
    <x v="1"/>
    <x v="0"/>
    <x v="3"/>
    <x v="28"/>
    <x v="0"/>
    <x v="0"/>
    <x v="0"/>
  </r>
  <r>
    <x v="12"/>
    <x v="3"/>
    <x v="3"/>
    <x v="1"/>
    <x v="0"/>
    <x v="2"/>
    <x v="3"/>
    <x v="3"/>
    <x v="0"/>
    <x v="0"/>
  </r>
  <r>
    <x v="13"/>
    <x v="0"/>
    <x v="18"/>
    <x v="0"/>
    <x v="14"/>
    <x v="1"/>
    <x v="29"/>
    <x v="16"/>
    <x v="1"/>
    <x v="1"/>
  </r>
  <r>
    <x v="14"/>
    <x v="0"/>
    <x v="10"/>
    <x v="1"/>
    <x v="8"/>
    <x v="1"/>
    <x v="30"/>
    <x v="9"/>
    <x v="0"/>
    <x v="0"/>
  </r>
  <r>
    <x v="14"/>
    <x v="1"/>
    <x v="1"/>
    <x v="0"/>
    <x v="1"/>
    <x v="1"/>
    <x v="31"/>
    <x v="1"/>
    <x v="1"/>
    <x v="1"/>
  </r>
  <r>
    <x v="14"/>
    <x v="2"/>
    <x v="9"/>
    <x v="1"/>
    <x v="7"/>
    <x v="2"/>
    <x v="32"/>
    <x v="8"/>
    <x v="0"/>
    <x v="0"/>
  </r>
  <r>
    <x v="14"/>
    <x v="3"/>
    <x v="19"/>
    <x v="1"/>
    <x v="15"/>
    <x v="0"/>
    <x v="33"/>
    <x v="17"/>
    <x v="5"/>
    <x v="5"/>
  </r>
  <r>
    <x v="15"/>
    <x v="0"/>
    <x v="1"/>
    <x v="0"/>
    <x v="1"/>
    <x v="0"/>
    <x v="34"/>
    <x v="1"/>
    <x v="1"/>
    <x v="1"/>
  </r>
  <r>
    <x v="15"/>
    <x v="1"/>
    <x v="20"/>
    <x v="0"/>
    <x v="11"/>
    <x v="2"/>
    <x v="18"/>
    <x v="15"/>
    <x v="5"/>
    <x v="5"/>
  </r>
  <r>
    <x v="15"/>
    <x v="2"/>
    <x v="17"/>
    <x v="1"/>
    <x v="11"/>
    <x v="1"/>
    <x v="35"/>
    <x v="15"/>
    <x v="0"/>
    <x v="0"/>
  </r>
  <r>
    <x v="15"/>
    <x v="3"/>
    <x v="15"/>
    <x v="0"/>
    <x v="11"/>
    <x v="1"/>
    <x v="36"/>
    <x v="12"/>
    <x v="0"/>
    <x v="0"/>
  </r>
  <r>
    <x v="16"/>
    <x v="0"/>
    <x v="1"/>
    <x v="0"/>
    <x v="1"/>
    <x v="1"/>
    <x v="31"/>
    <x v="1"/>
    <x v="1"/>
    <x v="1"/>
  </r>
  <r>
    <x v="16"/>
    <x v="1"/>
    <x v="19"/>
    <x v="0"/>
    <x v="15"/>
    <x v="3"/>
    <x v="37"/>
    <x v="17"/>
    <x v="5"/>
    <x v="5"/>
  </r>
  <r>
    <x v="16"/>
    <x v="2"/>
    <x v="21"/>
    <x v="0"/>
    <x v="16"/>
    <x v="3"/>
    <x v="38"/>
    <x v="18"/>
    <x v="1"/>
    <x v="1"/>
  </r>
  <r>
    <x v="16"/>
    <x v="3"/>
    <x v="0"/>
    <x v="1"/>
    <x v="0"/>
    <x v="0"/>
    <x v="24"/>
    <x v="0"/>
    <x v="0"/>
    <x v="0"/>
  </r>
  <r>
    <x v="17"/>
    <x v="0"/>
    <x v="6"/>
    <x v="1"/>
    <x v="5"/>
    <x v="0"/>
    <x v="39"/>
    <x v="6"/>
    <x v="1"/>
    <x v="1"/>
  </r>
  <r>
    <x v="17"/>
    <x v="1"/>
    <x v="13"/>
    <x v="0"/>
    <x v="11"/>
    <x v="2"/>
    <x v="18"/>
    <x v="12"/>
    <x v="5"/>
    <x v="5"/>
  </r>
  <r>
    <x v="17"/>
    <x v="2"/>
    <x v="14"/>
    <x v="0"/>
    <x v="12"/>
    <x v="3"/>
    <x v="40"/>
    <x v="13"/>
    <x v="1"/>
    <x v="1"/>
  </r>
  <r>
    <x v="17"/>
    <x v="3"/>
    <x v="22"/>
    <x v="1"/>
    <x v="17"/>
    <x v="2"/>
    <x v="41"/>
    <x v="19"/>
    <x v="3"/>
    <x v="3"/>
  </r>
  <r>
    <x v="17"/>
    <x v="4"/>
    <x v="11"/>
    <x v="1"/>
    <x v="9"/>
    <x v="3"/>
    <x v="42"/>
    <x v="10"/>
    <x v="4"/>
    <x v="4"/>
  </r>
  <r>
    <x v="18"/>
    <x v="0"/>
    <x v="2"/>
    <x v="0"/>
    <x v="2"/>
    <x v="1"/>
    <x v="43"/>
    <x v="2"/>
    <x v="2"/>
    <x v="2"/>
  </r>
  <r>
    <x v="18"/>
    <x v="1"/>
    <x v="11"/>
    <x v="1"/>
    <x v="9"/>
    <x v="0"/>
    <x v="44"/>
    <x v="10"/>
    <x v="4"/>
    <x v="4"/>
  </r>
  <r>
    <x v="19"/>
    <x v="0"/>
    <x v="11"/>
    <x v="0"/>
    <x v="9"/>
    <x v="1"/>
    <x v="45"/>
    <x v="10"/>
    <x v="4"/>
    <x v="4"/>
  </r>
  <r>
    <x v="19"/>
    <x v="1"/>
    <x v="2"/>
    <x v="1"/>
    <x v="2"/>
    <x v="1"/>
    <x v="46"/>
    <x v="2"/>
    <x v="2"/>
    <x v="2"/>
  </r>
  <r>
    <x v="20"/>
    <x v="0"/>
    <x v="15"/>
    <x v="0"/>
    <x v="11"/>
    <x v="2"/>
    <x v="18"/>
    <x v="12"/>
    <x v="0"/>
    <x v="0"/>
  </r>
  <r>
    <x v="20"/>
    <x v="1"/>
    <x v="7"/>
    <x v="0"/>
    <x v="6"/>
    <x v="3"/>
    <x v="47"/>
    <x v="7"/>
    <x v="0"/>
    <x v="0"/>
  </r>
  <r>
    <x v="20"/>
    <x v="2"/>
    <x v="2"/>
    <x v="0"/>
    <x v="2"/>
    <x v="1"/>
    <x v="43"/>
    <x v="2"/>
    <x v="2"/>
    <x v="2"/>
  </r>
  <r>
    <x v="21"/>
    <x v="0"/>
    <x v="12"/>
    <x v="1"/>
    <x v="10"/>
    <x v="0"/>
    <x v="48"/>
    <x v="11"/>
    <x v="0"/>
    <x v="0"/>
  </r>
  <r>
    <x v="21"/>
    <x v="1"/>
    <x v="13"/>
    <x v="0"/>
    <x v="11"/>
    <x v="2"/>
    <x v="18"/>
    <x v="12"/>
    <x v="5"/>
    <x v="5"/>
  </r>
  <r>
    <x v="22"/>
    <x v="0"/>
    <x v="4"/>
    <x v="1"/>
    <x v="3"/>
    <x v="2"/>
    <x v="49"/>
    <x v="4"/>
    <x v="1"/>
    <x v="1"/>
  </r>
  <r>
    <x v="22"/>
    <x v="1"/>
    <x v="19"/>
    <x v="1"/>
    <x v="15"/>
    <x v="3"/>
    <x v="50"/>
    <x v="17"/>
    <x v="5"/>
    <x v="5"/>
  </r>
  <r>
    <x v="22"/>
    <x v="2"/>
    <x v="17"/>
    <x v="0"/>
    <x v="11"/>
    <x v="0"/>
    <x v="51"/>
    <x v="15"/>
    <x v="0"/>
    <x v="0"/>
  </r>
  <r>
    <x v="23"/>
    <x v="0"/>
    <x v="5"/>
    <x v="1"/>
    <x v="4"/>
    <x v="3"/>
    <x v="52"/>
    <x v="5"/>
    <x v="1"/>
    <x v="1"/>
  </r>
  <r>
    <x v="23"/>
    <x v="1"/>
    <x v="9"/>
    <x v="1"/>
    <x v="7"/>
    <x v="1"/>
    <x v="53"/>
    <x v="8"/>
    <x v="0"/>
    <x v="0"/>
  </r>
  <r>
    <x v="24"/>
    <x v="0"/>
    <x v="19"/>
    <x v="1"/>
    <x v="15"/>
    <x v="0"/>
    <x v="33"/>
    <x v="17"/>
    <x v="5"/>
    <x v="5"/>
  </r>
  <r>
    <x v="24"/>
    <x v="1"/>
    <x v="2"/>
    <x v="1"/>
    <x v="2"/>
    <x v="0"/>
    <x v="54"/>
    <x v="2"/>
    <x v="2"/>
    <x v="2"/>
  </r>
  <r>
    <x v="24"/>
    <x v="2"/>
    <x v="13"/>
    <x v="0"/>
    <x v="11"/>
    <x v="0"/>
    <x v="51"/>
    <x v="12"/>
    <x v="5"/>
    <x v="5"/>
  </r>
  <r>
    <x v="24"/>
    <x v="3"/>
    <x v="15"/>
    <x v="0"/>
    <x v="11"/>
    <x v="0"/>
    <x v="51"/>
    <x v="12"/>
    <x v="0"/>
    <x v="0"/>
  </r>
  <r>
    <x v="24"/>
    <x v="4"/>
    <x v="20"/>
    <x v="0"/>
    <x v="11"/>
    <x v="3"/>
    <x v="21"/>
    <x v="15"/>
    <x v="5"/>
    <x v="5"/>
  </r>
  <r>
    <x v="25"/>
    <x v="0"/>
    <x v="14"/>
    <x v="0"/>
    <x v="12"/>
    <x v="2"/>
    <x v="55"/>
    <x v="13"/>
    <x v="1"/>
    <x v="1"/>
  </r>
  <r>
    <x v="25"/>
    <x v="1"/>
    <x v="6"/>
    <x v="0"/>
    <x v="5"/>
    <x v="0"/>
    <x v="56"/>
    <x v="6"/>
    <x v="1"/>
    <x v="1"/>
  </r>
  <r>
    <x v="25"/>
    <x v="2"/>
    <x v="10"/>
    <x v="0"/>
    <x v="8"/>
    <x v="0"/>
    <x v="57"/>
    <x v="9"/>
    <x v="0"/>
    <x v="0"/>
  </r>
  <r>
    <x v="25"/>
    <x v="3"/>
    <x v="20"/>
    <x v="1"/>
    <x v="11"/>
    <x v="1"/>
    <x v="35"/>
    <x v="15"/>
    <x v="5"/>
    <x v="5"/>
  </r>
  <r>
    <x v="26"/>
    <x v="0"/>
    <x v="21"/>
    <x v="0"/>
    <x v="16"/>
    <x v="0"/>
    <x v="58"/>
    <x v="18"/>
    <x v="1"/>
    <x v="1"/>
  </r>
  <r>
    <x v="26"/>
    <x v="1"/>
    <x v="23"/>
    <x v="0"/>
    <x v="7"/>
    <x v="0"/>
    <x v="59"/>
    <x v="20"/>
    <x v="0"/>
    <x v="0"/>
  </r>
  <r>
    <x v="26"/>
    <x v="2"/>
    <x v="8"/>
    <x v="1"/>
    <x v="0"/>
    <x v="1"/>
    <x v="19"/>
    <x v="3"/>
    <x v="3"/>
    <x v="3"/>
  </r>
  <r>
    <x v="26"/>
    <x v="3"/>
    <x v="1"/>
    <x v="0"/>
    <x v="1"/>
    <x v="1"/>
    <x v="31"/>
    <x v="1"/>
    <x v="1"/>
    <x v="1"/>
  </r>
  <r>
    <x v="27"/>
    <x v="0"/>
    <x v="21"/>
    <x v="0"/>
    <x v="16"/>
    <x v="2"/>
    <x v="60"/>
    <x v="18"/>
    <x v="1"/>
    <x v="1"/>
  </r>
  <r>
    <x v="27"/>
    <x v="1"/>
    <x v="14"/>
    <x v="1"/>
    <x v="12"/>
    <x v="0"/>
    <x v="61"/>
    <x v="13"/>
    <x v="1"/>
    <x v="1"/>
  </r>
  <r>
    <x v="27"/>
    <x v="2"/>
    <x v="15"/>
    <x v="1"/>
    <x v="11"/>
    <x v="3"/>
    <x v="23"/>
    <x v="12"/>
    <x v="0"/>
    <x v="0"/>
  </r>
  <r>
    <x v="27"/>
    <x v="3"/>
    <x v="18"/>
    <x v="0"/>
    <x v="14"/>
    <x v="2"/>
    <x v="62"/>
    <x v="16"/>
    <x v="1"/>
    <x v="1"/>
  </r>
  <r>
    <x v="28"/>
    <x v="0"/>
    <x v="24"/>
    <x v="1"/>
    <x v="8"/>
    <x v="2"/>
    <x v="11"/>
    <x v="9"/>
    <x v="3"/>
    <x v="3"/>
  </r>
  <r>
    <x v="28"/>
    <x v="1"/>
    <x v="18"/>
    <x v="0"/>
    <x v="14"/>
    <x v="0"/>
    <x v="63"/>
    <x v="16"/>
    <x v="1"/>
    <x v="1"/>
  </r>
  <r>
    <x v="28"/>
    <x v="2"/>
    <x v="20"/>
    <x v="1"/>
    <x v="11"/>
    <x v="3"/>
    <x v="23"/>
    <x v="15"/>
    <x v="5"/>
    <x v="5"/>
  </r>
  <r>
    <x v="28"/>
    <x v="3"/>
    <x v="1"/>
    <x v="0"/>
    <x v="1"/>
    <x v="0"/>
    <x v="34"/>
    <x v="1"/>
    <x v="1"/>
    <x v="1"/>
  </r>
  <r>
    <x v="28"/>
    <x v="4"/>
    <x v="15"/>
    <x v="1"/>
    <x v="11"/>
    <x v="2"/>
    <x v="64"/>
    <x v="12"/>
    <x v="0"/>
    <x v="0"/>
  </r>
  <r>
    <x v="29"/>
    <x v="0"/>
    <x v="8"/>
    <x v="0"/>
    <x v="0"/>
    <x v="2"/>
    <x v="7"/>
    <x v="3"/>
    <x v="3"/>
    <x v="3"/>
  </r>
  <r>
    <x v="29"/>
    <x v="1"/>
    <x v="7"/>
    <x v="0"/>
    <x v="6"/>
    <x v="1"/>
    <x v="9"/>
    <x v="7"/>
    <x v="0"/>
    <x v="0"/>
  </r>
  <r>
    <x v="29"/>
    <x v="2"/>
    <x v="23"/>
    <x v="0"/>
    <x v="7"/>
    <x v="3"/>
    <x v="65"/>
    <x v="20"/>
    <x v="0"/>
    <x v="0"/>
  </r>
  <r>
    <x v="29"/>
    <x v="3"/>
    <x v="4"/>
    <x v="0"/>
    <x v="3"/>
    <x v="3"/>
    <x v="66"/>
    <x v="4"/>
    <x v="1"/>
    <x v="1"/>
  </r>
  <r>
    <x v="29"/>
    <x v="4"/>
    <x v="14"/>
    <x v="1"/>
    <x v="12"/>
    <x v="3"/>
    <x v="20"/>
    <x v="13"/>
    <x v="1"/>
    <x v="1"/>
  </r>
  <r>
    <x v="30"/>
    <x v="0"/>
    <x v="16"/>
    <x v="1"/>
    <x v="13"/>
    <x v="2"/>
    <x v="67"/>
    <x v="14"/>
    <x v="2"/>
    <x v="2"/>
  </r>
  <r>
    <x v="30"/>
    <x v="1"/>
    <x v="11"/>
    <x v="1"/>
    <x v="9"/>
    <x v="0"/>
    <x v="44"/>
    <x v="10"/>
    <x v="4"/>
    <x v="4"/>
  </r>
  <r>
    <x v="31"/>
    <x v="0"/>
    <x v="1"/>
    <x v="1"/>
    <x v="1"/>
    <x v="1"/>
    <x v="1"/>
    <x v="1"/>
    <x v="1"/>
    <x v="1"/>
  </r>
  <r>
    <x v="31"/>
    <x v="1"/>
    <x v="10"/>
    <x v="1"/>
    <x v="8"/>
    <x v="1"/>
    <x v="30"/>
    <x v="9"/>
    <x v="0"/>
    <x v="0"/>
  </r>
  <r>
    <x v="31"/>
    <x v="2"/>
    <x v="22"/>
    <x v="1"/>
    <x v="17"/>
    <x v="3"/>
    <x v="68"/>
    <x v="19"/>
    <x v="3"/>
    <x v="3"/>
  </r>
  <r>
    <x v="32"/>
    <x v="0"/>
    <x v="19"/>
    <x v="1"/>
    <x v="15"/>
    <x v="1"/>
    <x v="69"/>
    <x v="17"/>
    <x v="5"/>
    <x v="5"/>
  </r>
  <r>
    <x v="32"/>
    <x v="1"/>
    <x v="14"/>
    <x v="0"/>
    <x v="12"/>
    <x v="3"/>
    <x v="40"/>
    <x v="13"/>
    <x v="1"/>
    <x v="1"/>
  </r>
  <r>
    <x v="33"/>
    <x v="0"/>
    <x v="1"/>
    <x v="1"/>
    <x v="1"/>
    <x v="1"/>
    <x v="1"/>
    <x v="1"/>
    <x v="1"/>
    <x v="1"/>
  </r>
  <r>
    <x v="33"/>
    <x v="1"/>
    <x v="2"/>
    <x v="1"/>
    <x v="2"/>
    <x v="3"/>
    <x v="70"/>
    <x v="2"/>
    <x v="2"/>
    <x v="2"/>
  </r>
  <r>
    <x v="33"/>
    <x v="2"/>
    <x v="7"/>
    <x v="1"/>
    <x v="6"/>
    <x v="0"/>
    <x v="71"/>
    <x v="7"/>
    <x v="0"/>
    <x v="0"/>
  </r>
  <r>
    <x v="34"/>
    <x v="0"/>
    <x v="9"/>
    <x v="0"/>
    <x v="7"/>
    <x v="2"/>
    <x v="72"/>
    <x v="8"/>
    <x v="0"/>
    <x v="0"/>
  </r>
  <r>
    <x v="34"/>
    <x v="1"/>
    <x v="0"/>
    <x v="1"/>
    <x v="0"/>
    <x v="2"/>
    <x v="3"/>
    <x v="0"/>
    <x v="0"/>
    <x v="0"/>
  </r>
  <r>
    <x v="34"/>
    <x v="2"/>
    <x v="21"/>
    <x v="0"/>
    <x v="16"/>
    <x v="0"/>
    <x v="58"/>
    <x v="18"/>
    <x v="1"/>
    <x v="1"/>
  </r>
  <r>
    <x v="34"/>
    <x v="3"/>
    <x v="20"/>
    <x v="1"/>
    <x v="11"/>
    <x v="1"/>
    <x v="35"/>
    <x v="15"/>
    <x v="5"/>
    <x v="5"/>
  </r>
  <r>
    <x v="34"/>
    <x v="4"/>
    <x v="13"/>
    <x v="0"/>
    <x v="11"/>
    <x v="1"/>
    <x v="36"/>
    <x v="12"/>
    <x v="5"/>
    <x v="5"/>
  </r>
  <r>
    <x v="35"/>
    <x v="0"/>
    <x v="11"/>
    <x v="0"/>
    <x v="9"/>
    <x v="1"/>
    <x v="45"/>
    <x v="10"/>
    <x v="4"/>
    <x v="4"/>
  </r>
  <r>
    <x v="35"/>
    <x v="1"/>
    <x v="21"/>
    <x v="0"/>
    <x v="16"/>
    <x v="2"/>
    <x v="60"/>
    <x v="18"/>
    <x v="1"/>
    <x v="1"/>
  </r>
  <r>
    <x v="35"/>
    <x v="2"/>
    <x v="5"/>
    <x v="1"/>
    <x v="4"/>
    <x v="0"/>
    <x v="73"/>
    <x v="5"/>
    <x v="1"/>
    <x v="1"/>
  </r>
  <r>
    <x v="36"/>
    <x v="0"/>
    <x v="3"/>
    <x v="1"/>
    <x v="0"/>
    <x v="2"/>
    <x v="3"/>
    <x v="3"/>
    <x v="0"/>
    <x v="0"/>
  </r>
  <r>
    <x v="37"/>
    <x v="0"/>
    <x v="14"/>
    <x v="1"/>
    <x v="12"/>
    <x v="2"/>
    <x v="74"/>
    <x v="13"/>
    <x v="1"/>
    <x v="1"/>
  </r>
  <r>
    <x v="37"/>
    <x v="1"/>
    <x v="19"/>
    <x v="0"/>
    <x v="15"/>
    <x v="1"/>
    <x v="75"/>
    <x v="17"/>
    <x v="5"/>
    <x v="5"/>
  </r>
  <r>
    <x v="37"/>
    <x v="2"/>
    <x v="22"/>
    <x v="0"/>
    <x v="17"/>
    <x v="0"/>
    <x v="76"/>
    <x v="19"/>
    <x v="3"/>
    <x v="3"/>
  </r>
  <r>
    <x v="37"/>
    <x v="3"/>
    <x v="2"/>
    <x v="1"/>
    <x v="2"/>
    <x v="3"/>
    <x v="70"/>
    <x v="2"/>
    <x v="2"/>
    <x v="2"/>
  </r>
  <r>
    <x v="37"/>
    <x v="4"/>
    <x v="24"/>
    <x v="0"/>
    <x v="8"/>
    <x v="1"/>
    <x v="77"/>
    <x v="9"/>
    <x v="3"/>
    <x v="3"/>
  </r>
  <r>
    <x v="38"/>
    <x v="0"/>
    <x v="13"/>
    <x v="1"/>
    <x v="11"/>
    <x v="0"/>
    <x v="78"/>
    <x v="12"/>
    <x v="5"/>
    <x v="5"/>
  </r>
  <r>
    <x v="38"/>
    <x v="1"/>
    <x v="3"/>
    <x v="1"/>
    <x v="0"/>
    <x v="0"/>
    <x v="24"/>
    <x v="3"/>
    <x v="0"/>
    <x v="0"/>
  </r>
  <r>
    <x v="38"/>
    <x v="2"/>
    <x v="5"/>
    <x v="1"/>
    <x v="4"/>
    <x v="2"/>
    <x v="79"/>
    <x v="5"/>
    <x v="1"/>
    <x v="1"/>
  </r>
  <r>
    <x v="38"/>
    <x v="3"/>
    <x v="12"/>
    <x v="0"/>
    <x v="10"/>
    <x v="3"/>
    <x v="80"/>
    <x v="11"/>
    <x v="0"/>
    <x v="0"/>
  </r>
  <r>
    <x v="39"/>
    <x v="0"/>
    <x v="7"/>
    <x v="0"/>
    <x v="6"/>
    <x v="0"/>
    <x v="81"/>
    <x v="7"/>
    <x v="0"/>
    <x v="0"/>
  </r>
  <r>
    <x v="39"/>
    <x v="1"/>
    <x v="1"/>
    <x v="1"/>
    <x v="1"/>
    <x v="0"/>
    <x v="82"/>
    <x v="1"/>
    <x v="1"/>
    <x v="1"/>
  </r>
  <r>
    <x v="40"/>
    <x v="0"/>
    <x v="21"/>
    <x v="0"/>
    <x v="16"/>
    <x v="3"/>
    <x v="38"/>
    <x v="18"/>
    <x v="1"/>
    <x v="1"/>
  </r>
  <r>
    <x v="40"/>
    <x v="1"/>
    <x v="23"/>
    <x v="1"/>
    <x v="7"/>
    <x v="0"/>
    <x v="83"/>
    <x v="20"/>
    <x v="0"/>
    <x v="0"/>
  </r>
  <r>
    <x v="40"/>
    <x v="2"/>
    <x v="8"/>
    <x v="1"/>
    <x v="0"/>
    <x v="0"/>
    <x v="24"/>
    <x v="3"/>
    <x v="3"/>
    <x v="3"/>
  </r>
  <r>
    <x v="41"/>
    <x v="0"/>
    <x v="23"/>
    <x v="0"/>
    <x v="7"/>
    <x v="2"/>
    <x v="72"/>
    <x v="20"/>
    <x v="0"/>
    <x v="0"/>
  </r>
  <r>
    <x v="42"/>
    <x v="0"/>
    <x v="17"/>
    <x v="1"/>
    <x v="11"/>
    <x v="3"/>
    <x v="23"/>
    <x v="15"/>
    <x v="0"/>
    <x v="0"/>
  </r>
  <r>
    <x v="42"/>
    <x v="1"/>
    <x v="10"/>
    <x v="1"/>
    <x v="8"/>
    <x v="2"/>
    <x v="11"/>
    <x v="9"/>
    <x v="0"/>
    <x v="0"/>
  </r>
  <r>
    <x v="43"/>
    <x v="0"/>
    <x v="14"/>
    <x v="0"/>
    <x v="12"/>
    <x v="3"/>
    <x v="40"/>
    <x v="13"/>
    <x v="1"/>
    <x v="1"/>
  </r>
  <r>
    <x v="43"/>
    <x v="1"/>
    <x v="3"/>
    <x v="0"/>
    <x v="0"/>
    <x v="2"/>
    <x v="7"/>
    <x v="3"/>
    <x v="0"/>
    <x v="0"/>
  </r>
  <r>
    <x v="44"/>
    <x v="0"/>
    <x v="4"/>
    <x v="1"/>
    <x v="3"/>
    <x v="0"/>
    <x v="84"/>
    <x v="4"/>
    <x v="1"/>
    <x v="1"/>
  </r>
  <r>
    <x v="44"/>
    <x v="1"/>
    <x v="13"/>
    <x v="0"/>
    <x v="11"/>
    <x v="1"/>
    <x v="36"/>
    <x v="12"/>
    <x v="5"/>
    <x v="5"/>
  </r>
  <r>
    <x v="44"/>
    <x v="2"/>
    <x v="20"/>
    <x v="1"/>
    <x v="11"/>
    <x v="2"/>
    <x v="64"/>
    <x v="15"/>
    <x v="5"/>
    <x v="5"/>
  </r>
  <r>
    <x v="45"/>
    <x v="0"/>
    <x v="7"/>
    <x v="0"/>
    <x v="6"/>
    <x v="3"/>
    <x v="47"/>
    <x v="7"/>
    <x v="0"/>
    <x v="0"/>
  </r>
  <r>
    <x v="46"/>
    <x v="0"/>
    <x v="18"/>
    <x v="0"/>
    <x v="14"/>
    <x v="2"/>
    <x v="62"/>
    <x v="16"/>
    <x v="1"/>
    <x v="1"/>
  </r>
  <r>
    <x v="46"/>
    <x v="1"/>
    <x v="12"/>
    <x v="0"/>
    <x v="10"/>
    <x v="3"/>
    <x v="80"/>
    <x v="11"/>
    <x v="0"/>
    <x v="0"/>
  </r>
  <r>
    <x v="46"/>
    <x v="2"/>
    <x v="22"/>
    <x v="1"/>
    <x v="17"/>
    <x v="1"/>
    <x v="85"/>
    <x v="19"/>
    <x v="3"/>
    <x v="3"/>
  </r>
  <r>
    <x v="46"/>
    <x v="3"/>
    <x v="17"/>
    <x v="0"/>
    <x v="11"/>
    <x v="0"/>
    <x v="51"/>
    <x v="15"/>
    <x v="0"/>
    <x v="0"/>
  </r>
  <r>
    <x v="47"/>
    <x v="0"/>
    <x v="16"/>
    <x v="0"/>
    <x v="13"/>
    <x v="3"/>
    <x v="86"/>
    <x v="14"/>
    <x v="2"/>
    <x v="2"/>
  </r>
  <r>
    <x v="47"/>
    <x v="1"/>
    <x v="4"/>
    <x v="0"/>
    <x v="3"/>
    <x v="0"/>
    <x v="4"/>
    <x v="4"/>
    <x v="1"/>
    <x v="1"/>
  </r>
  <r>
    <x v="47"/>
    <x v="2"/>
    <x v="21"/>
    <x v="1"/>
    <x v="16"/>
    <x v="3"/>
    <x v="87"/>
    <x v="18"/>
    <x v="1"/>
    <x v="1"/>
  </r>
  <r>
    <x v="47"/>
    <x v="3"/>
    <x v="15"/>
    <x v="1"/>
    <x v="11"/>
    <x v="1"/>
    <x v="35"/>
    <x v="12"/>
    <x v="0"/>
    <x v="0"/>
  </r>
  <r>
    <x v="48"/>
    <x v="0"/>
    <x v="17"/>
    <x v="1"/>
    <x v="11"/>
    <x v="1"/>
    <x v="35"/>
    <x v="15"/>
    <x v="0"/>
    <x v="0"/>
  </r>
  <r>
    <x v="49"/>
    <x v="0"/>
    <x v="5"/>
    <x v="0"/>
    <x v="4"/>
    <x v="2"/>
    <x v="6"/>
    <x v="5"/>
    <x v="1"/>
    <x v="1"/>
  </r>
  <r>
    <x v="49"/>
    <x v="1"/>
    <x v="8"/>
    <x v="1"/>
    <x v="0"/>
    <x v="1"/>
    <x v="19"/>
    <x v="3"/>
    <x v="3"/>
    <x v="3"/>
  </r>
  <r>
    <x v="49"/>
    <x v="2"/>
    <x v="17"/>
    <x v="1"/>
    <x v="11"/>
    <x v="0"/>
    <x v="78"/>
    <x v="15"/>
    <x v="0"/>
    <x v="0"/>
  </r>
  <r>
    <x v="50"/>
    <x v="0"/>
    <x v="17"/>
    <x v="0"/>
    <x v="11"/>
    <x v="2"/>
    <x v="18"/>
    <x v="15"/>
    <x v="0"/>
    <x v="0"/>
  </r>
  <r>
    <x v="50"/>
    <x v="1"/>
    <x v="0"/>
    <x v="0"/>
    <x v="0"/>
    <x v="2"/>
    <x v="7"/>
    <x v="0"/>
    <x v="0"/>
    <x v="0"/>
  </r>
  <r>
    <x v="50"/>
    <x v="2"/>
    <x v="8"/>
    <x v="1"/>
    <x v="0"/>
    <x v="0"/>
    <x v="24"/>
    <x v="3"/>
    <x v="3"/>
    <x v="3"/>
  </r>
  <r>
    <x v="51"/>
    <x v="0"/>
    <x v="22"/>
    <x v="0"/>
    <x v="17"/>
    <x v="1"/>
    <x v="88"/>
    <x v="19"/>
    <x v="3"/>
    <x v="3"/>
  </r>
  <r>
    <x v="52"/>
    <x v="0"/>
    <x v="1"/>
    <x v="1"/>
    <x v="1"/>
    <x v="0"/>
    <x v="82"/>
    <x v="1"/>
    <x v="1"/>
    <x v="1"/>
  </r>
  <r>
    <x v="52"/>
    <x v="1"/>
    <x v="19"/>
    <x v="1"/>
    <x v="15"/>
    <x v="2"/>
    <x v="89"/>
    <x v="17"/>
    <x v="5"/>
    <x v="5"/>
  </r>
  <r>
    <x v="52"/>
    <x v="2"/>
    <x v="15"/>
    <x v="1"/>
    <x v="11"/>
    <x v="0"/>
    <x v="78"/>
    <x v="12"/>
    <x v="0"/>
    <x v="0"/>
  </r>
  <r>
    <x v="52"/>
    <x v="3"/>
    <x v="22"/>
    <x v="1"/>
    <x v="17"/>
    <x v="3"/>
    <x v="68"/>
    <x v="19"/>
    <x v="3"/>
    <x v="3"/>
  </r>
  <r>
    <x v="53"/>
    <x v="0"/>
    <x v="8"/>
    <x v="1"/>
    <x v="0"/>
    <x v="0"/>
    <x v="24"/>
    <x v="3"/>
    <x v="3"/>
    <x v="3"/>
  </r>
  <r>
    <x v="53"/>
    <x v="1"/>
    <x v="5"/>
    <x v="0"/>
    <x v="4"/>
    <x v="0"/>
    <x v="90"/>
    <x v="5"/>
    <x v="1"/>
    <x v="1"/>
  </r>
  <r>
    <x v="54"/>
    <x v="0"/>
    <x v="20"/>
    <x v="0"/>
    <x v="11"/>
    <x v="2"/>
    <x v="18"/>
    <x v="15"/>
    <x v="5"/>
    <x v="5"/>
  </r>
  <r>
    <x v="54"/>
    <x v="1"/>
    <x v="22"/>
    <x v="1"/>
    <x v="17"/>
    <x v="0"/>
    <x v="91"/>
    <x v="19"/>
    <x v="3"/>
    <x v="3"/>
  </r>
  <r>
    <x v="54"/>
    <x v="2"/>
    <x v="12"/>
    <x v="1"/>
    <x v="10"/>
    <x v="0"/>
    <x v="48"/>
    <x v="11"/>
    <x v="0"/>
    <x v="0"/>
  </r>
  <r>
    <x v="55"/>
    <x v="0"/>
    <x v="0"/>
    <x v="1"/>
    <x v="0"/>
    <x v="1"/>
    <x v="19"/>
    <x v="0"/>
    <x v="0"/>
    <x v="0"/>
  </r>
  <r>
    <x v="56"/>
    <x v="0"/>
    <x v="19"/>
    <x v="1"/>
    <x v="15"/>
    <x v="3"/>
    <x v="50"/>
    <x v="17"/>
    <x v="5"/>
    <x v="5"/>
  </r>
  <r>
    <x v="56"/>
    <x v="1"/>
    <x v="23"/>
    <x v="1"/>
    <x v="7"/>
    <x v="0"/>
    <x v="83"/>
    <x v="20"/>
    <x v="0"/>
    <x v="0"/>
  </r>
  <r>
    <x v="56"/>
    <x v="2"/>
    <x v="17"/>
    <x v="0"/>
    <x v="11"/>
    <x v="1"/>
    <x v="36"/>
    <x v="15"/>
    <x v="0"/>
    <x v="0"/>
  </r>
  <r>
    <x v="57"/>
    <x v="0"/>
    <x v="15"/>
    <x v="1"/>
    <x v="11"/>
    <x v="2"/>
    <x v="64"/>
    <x v="12"/>
    <x v="0"/>
    <x v="0"/>
  </r>
  <r>
    <x v="57"/>
    <x v="1"/>
    <x v="9"/>
    <x v="0"/>
    <x v="7"/>
    <x v="1"/>
    <x v="10"/>
    <x v="8"/>
    <x v="0"/>
    <x v="0"/>
  </r>
  <r>
    <x v="57"/>
    <x v="2"/>
    <x v="19"/>
    <x v="0"/>
    <x v="15"/>
    <x v="3"/>
    <x v="37"/>
    <x v="17"/>
    <x v="5"/>
    <x v="5"/>
  </r>
  <r>
    <x v="58"/>
    <x v="0"/>
    <x v="20"/>
    <x v="0"/>
    <x v="11"/>
    <x v="2"/>
    <x v="18"/>
    <x v="15"/>
    <x v="5"/>
    <x v="5"/>
  </r>
  <r>
    <x v="58"/>
    <x v="1"/>
    <x v="6"/>
    <x v="0"/>
    <x v="5"/>
    <x v="3"/>
    <x v="92"/>
    <x v="6"/>
    <x v="1"/>
    <x v="1"/>
  </r>
  <r>
    <x v="58"/>
    <x v="2"/>
    <x v="7"/>
    <x v="1"/>
    <x v="6"/>
    <x v="3"/>
    <x v="17"/>
    <x v="7"/>
    <x v="0"/>
    <x v="0"/>
  </r>
  <r>
    <x v="59"/>
    <x v="0"/>
    <x v="15"/>
    <x v="1"/>
    <x v="11"/>
    <x v="2"/>
    <x v="64"/>
    <x v="12"/>
    <x v="0"/>
    <x v="0"/>
  </r>
  <r>
    <x v="59"/>
    <x v="1"/>
    <x v="4"/>
    <x v="0"/>
    <x v="3"/>
    <x v="3"/>
    <x v="66"/>
    <x v="4"/>
    <x v="1"/>
    <x v="1"/>
  </r>
  <r>
    <x v="59"/>
    <x v="2"/>
    <x v="12"/>
    <x v="0"/>
    <x v="10"/>
    <x v="1"/>
    <x v="15"/>
    <x v="11"/>
    <x v="0"/>
    <x v="0"/>
  </r>
  <r>
    <x v="59"/>
    <x v="3"/>
    <x v="13"/>
    <x v="0"/>
    <x v="11"/>
    <x v="0"/>
    <x v="51"/>
    <x v="12"/>
    <x v="5"/>
    <x v="5"/>
  </r>
  <r>
    <x v="60"/>
    <x v="0"/>
    <x v="22"/>
    <x v="0"/>
    <x v="17"/>
    <x v="3"/>
    <x v="93"/>
    <x v="19"/>
    <x v="3"/>
    <x v="3"/>
  </r>
  <r>
    <x v="60"/>
    <x v="1"/>
    <x v="12"/>
    <x v="1"/>
    <x v="10"/>
    <x v="2"/>
    <x v="94"/>
    <x v="11"/>
    <x v="0"/>
    <x v="0"/>
  </r>
  <r>
    <x v="60"/>
    <x v="2"/>
    <x v="21"/>
    <x v="1"/>
    <x v="16"/>
    <x v="0"/>
    <x v="95"/>
    <x v="18"/>
    <x v="1"/>
    <x v="1"/>
  </r>
  <r>
    <x v="61"/>
    <x v="0"/>
    <x v="15"/>
    <x v="0"/>
    <x v="11"/>
    <x v="1"/>
    <x v="36"/>
    <x v="12"/>
    <x v="0"/>
    <x v="0"/>
  </r>
  <r>
    <x v="61"/>
    <x v="1"/>
    <x v="1"/>
    <x v="1"/>
    <x v="1"/>
    <x v="3"/>
    <x v="96"/>
    <x v="1"/>
    <x v="1"/>
    <x v="1"/>
  </r>
  <r>
    <x v="61"/>
    <x v="2"/>
    <x v="13"/>
    <x v="1"/>
    <x v="11"/>
    <x v="3"/>
    <x v="23"/>
    <x v="12"/>
    <x v="5"/>
    <x v="5"/>
  </r>
  <r>
    <x v="62"/>
    <x v="0"/>
    <x v="22"/>
    <x v="1"/>
    <x v="17"/>
    <x v="3"/>
    <x v="68"/>
    <x v="19"/>
    <x v="3"/>
    <x v="3"/>
  </r>
  <r>
    <x v="62"/>
    <x v="1"/>
    <x v="23"/>
    <x v="1"/>
    <x v="7"/>
    <x v="2"/>
    <x v="32"/>
    <x v="20"/>
    <x v="0"/>
    <x v="0"/>
  </r>
  <r>
    <x v="62"/>
    <x v="2"/>
    <x v="5"/>
    <x v="0"/>
    <x v="4"/>
    <x v="3"/>
    <x v="16"/>
    <x v="5"/>
    <x v="1"/>
    <x v="1"/>
  </r>
  <r>
    <x v="63"/>
    <x v="0"/>
    <x v="22"/>
    <x v="1"/>
    <x v="17"/>
    <x v="3"/>
    <x v="68"/>
    <x v="19"/>
    <x v="3"/>
    <x v="3"/>
  </r>
  <r>
    <x v="63"/>
    <x v="1"/>
    <x v="13"/>
    <x v="1"/>
    <x v="11"/>
    <x v="0"/>
    <x v="78"/>
    <x v="12"/>
    <x v="5"/>
    <x v="5"/>
  </r>
  <r>
    <x v="63"/>
    <x v="2"/>
    <x v="19"/>
    <x v="1"/>
    <x v="15"/>
    <x v="0"/>
    <x v="33"/>
    <x v="17"/>
    <x v="5"/>
    <x v="5"/>
  </r>
  <r>
    <x v="63"/>
    <x v="3"/>
    <x v="24"/>
    <x v="1"/>
    <x v="8"/>
    <x v="3"/>
    <x v="97"/>
    <x v="9"/>
    <x v="3"/>
    <x v="3"/>
  </r>
  <r>
    <x v="64"/>
    <x v="0"/>
    <x v="10"/>
    <x v="0"/>
    <x v="8"/>
    <x v="3"/>
    <x v="98"/>
    <x v="9"/>
    <x v="0"/>
    <x v="0"/>
  </r>
  <r>
    <x v="65"/>
    <x v="0"/>
    <x v="6"/>
    <x v="0"/>
    <x v="5"/>
    <x v="0"/>
    <x v="56"/>
    <x v="6"/>
    <x v="1"/>
    <x v="1"/>
  </r>
  <r>
    <x v="65"/>
    <x v="1"/>
    <x v="19"/>
    <x v="0"/>
    <x v="15"/>
    <x v="1"/>
    <x v="75"/>
    <x v="17"/>
    <x v="5"/>
    <x v="5"/>
  </r>
  <r>
    <x v="65"/>
    <x v="2"/>
    <x v="10"/>
    <x v="0"/>
    <x v="8"/>
    <x v="1"/>
    <x v="77"/>
    <x v="9"/>
    <x v="0"/>
    <x v="0"/>
  </r>
  <r>
    <x v="66"/>
    <x v="0"/>
    <x v="19"/>
    <x v="1"/>
    <x v="15"/>
    <x v="0"/>
    <x v="33"/>
    <x v="17"/>
    <x v="5"/>
    <x v="5"/>
  </r>
  <r>
    <x v="66"/>
    <x v="1"/>
    <x v="10"/>
    <x v="1"/>
    <x v="8"/>
    <x v="3"/>
    <x v="97"/>
    <x v="9"/>
    <x v="0"/>
    <x v="0"/>
  </r>
  <r>
    <x v="66"/>
    <x v="2"/>
    <x v="20"/>
    <x v="0"/>
    <x v="11"/>
    <x v="0"/>
    <x v="51"/>
    <x v="15"/>
    <x v="5"/>
    <x v="5"/>
  </r>
  <r>
    <x v="66"/>
    <x v="3"/>
    <x v="21"/>
    <x v="1"/>
    <x v="16"/>
    <x v="3"/>
    <x v="87"/>
    <x v="18"/>
    <x v="1"/>
    <x v="1"/>
  </r>
  <r>
    <x v="66"/>
    <x v="4"/>
    <x v="23"/>
    <x v="0"/>
    <x v="7"/>
    <x v="0"/>
    <x v="59"/>
    <x v="20"/>
    <x v="0"/>
    <x v="0"/>
  </r>
  <r>
    <x v="67"/>
    <x v="0"/>
    <x v="17"/>
    <x v="1"/>
    <x v="11"/>
    <x v="1"/>
    <x v="35"/>
    <x v="15"/>
    <x v="0"/>
    <x v="0"/>
  </r>
  <r>
    <x v="67"/>
    <x v="1"/>
    <x v="7"/>
    <x v="0"/>
    <x v="6"/>
    <x v="3"/>
    <x v="47"/>
    <x v="7"/>
    <x v="0"/>
    <x v="0"/>
  </r>
  <r>
    <x v="68"/>
    <x v="0"/>
    <x v="13"/>
    <x v="1"/>
    <x v="11"/>
    <x v="3"/>
    <x v="23"/>
    <x v="12"/>
    <x v="5"/>
    <x v="5"/>
  </r>
  <r>
    <x v="68"/>
    <x v="1"/>
    <x v="21"/>
    <x v="0"/>
    <x v="16"/>
    <x v="0"/>
    <x v="58"/>
    <x v="18"/>
    <x v="1"/>
    <x v="1"/>
  </r>
  <r>
    <x v="68"/>
    <x v="2"/>
    <x v="2"/>
    <x v="0"/>
    <x v="2"/>
    <x v="2"/>
    <x v="99"/>
    <x v="2"/>
    <x v="2"/>
    <x v="2"/>
  </r>
  <r>
    <x v="69"/>
    <x v="0"/>
    <x v="5"/>
    <x v="1"/>
    <x v="4"/>
    <x v="2"/>
    <x v="79"/>
    <x v="5"/>
    <x v="1"/>
    <x v="1"/>
  </r>
  <r>
    <x v="69"/>
    <x v="1"/>
    <x v="9"/>
    <x v="0"/>
    <x v="7"/>
    <x v="0"/>
    <x v="59"/>
    <x v="8"/>
    <x v="0"/>
    <x v="0"/>
  </r>
  <r>
    <x v="69"/>
    <x v="2"/>
    <x v="0"/>
    <x v="0"/>
    <x v="0"/>
    <x v="2"/>
    <x v="7"/>
    <x v="0"/>
    <x v="0"/>
    <x v="0"/>
  </r>
  <r>
    <x v="70"/>
    <x v="0"/>
    <x v="8"/>
    <x v="1"/>
    <x v="0"/>
    <x v="2"/>
    <x v="3"/>
    <x v="3"/>
    <x v="3"/>
    <x v="3"/>
  </r>
  <r>
    <x v="70"/>
    <x v="1"/>
    <x v="24"/>
    <x v="0"/>
    <x v="8"/>
    <x v="0"/>
    <x v="57"/>
    <x v="9"/>
    <x v="3"/>
    <x v="3"/>
  </r>
  <r>
    <x v="70"/>
    <x v="2"/>
    <x v="9"/>
    <x v="0"/>
    <x v="7"/>
    <x v="3"/>
    <x v="65"/>
    <x v="8"/>
    <x v="0"/>
    <x v="0"/>
  </r>
  <r>
    <x v="71"/>
    <x v="0"/>
    <x v="7"/>
    <x v="1"/>
    <x v="6"/>
    <x v="1"/>
    <x v="100"/>
    <x v="7"/>
    <x v="0"/>
    <x v="0"/>
  </r>
  <r>
    <x v="71"/>
    <x v="1"/>
    <x v="10"/>
    <x v="0"/>
    <x v="8"/>
    <x v="2"/>
    <x v="101"/>
    <x v="9"/>
    <x v="0"/>
    <x v="0"/>
  </r>
  <r>
    <x v="71"/>
    <x v="2"/>
    <x v="17"/>
    <x v="1"/>
    <x v="11"/>
    <x v="3"/>
    <x v="23"/>
    <x v="15"/>
    <x v="0"/>
    <x v="0"/>
  </r>
  <r>
    <x v="72"/>
    <x v="0"/>
    <x v="13"/>
    <x v="0"/>
    <x v="11"/>
    <x v="1"/>
    <x v="36"/>
    <x v="12"/>
    <x v="5"/>
    <x v="5"/>
  </r>
  <r>
    <x v="72"/>
    <x v="1"/>
    <x v="8"/>
    <x v="1"/>
    <x v="0"/>
    <x v="2"/>
    <x v="3"/>
    <x v="3"/>
    <x v="3"/>
    <x v="3"/>
  </r>
  <r>
    <x v="72"/>
    <x v="2"/>
    <x v="5"/>
    <x v="1"/>
    <x v="4"/>
    <x v="1"/>
    <x v="13"/>
    <x v="5"/>
    <x v="1"/>
    <x v="1"/>
  </r>
  <r>
    <x v="72"/>
    <x v="3"/>
    <x v="22"/>
    <x v="0"/>
    <x v="17"/>
    <x v="1"/>
    <x v="88"/>
    <x v="19"/>
    <x v="3"/>
    <x v="3"/>
  </r>
  <r>
    <x v="72"/>
    <x v="4"/>
    <x v="19"/>
    <x v="1"/>
    <x v="15"/>
    <x v="0"/>
    <x v="33"/>
    <x v="17"/>
    <x v="5"/>
    <x v="5"/>
  </r>
  <r>
    <x v="73"/>
    <x v="0"/>
    <x v="3"/>
    <x v="1"/>
    <x v="0"/>
    <x v="2"/>
    <x v="3"/>
    <x v="3"/>
    <x v="0"/>
    <x v="0"/>
  </r>
  <r>
    <x v="73"/>
    <x v="1"/>
    <x v="18"/>
    <x v="0"/>
    <x v="14"/>
    <x v="1"/>
    <x v="29"/>
    <x v="16"/>
    <x v="1"/>
    <x v="1"/>
  </r>
  <r>
    <x v="74"/>
    <x v="0"/>
    <x v="5"/>
    <x v="0"/>
    <x v="4"/>
    <x v="3"/>
    <x v="16"/>
    <x v="5"/>
    <x v="1"/>
    <x v="1"/>
  </r>
  <r>
    <x v="74"/>
    <x v="1"/>
    <x v="14"/>
    <x v="1"/>
    <x v="12"/>
    <x v="1"/>
    <x v="102"/>
    <x v="13"/>
    <x v="1"/>
    <x v="1"/>
  </r>
  <r>
    <x v="74"/>
    <x v="2"/>
    <x v="12"/>
    <x v="0"/>
    <x v="10"/>
    <x v="0"/>
    <x v="103"/>
    <x v="11"/>
    <x v="0"/>
    <x v="0"/>
  </r>
  <r>
    <x v="75"/>
    <x v="0"/>
    <x v="10"/>
    <x v="0"/>
    <x v="8"/>
    <x v="2"/>
    <x v="101"/>
    <x v="9"/>
    <x v="0"/>
    <x v="0"/>
  </r>
  <r>
    <x v="75"/>
    <x v="1"/>
    <x v="16"/>
    <x v="1"/>
    <x v="13"/>
    <x v="3"/>
    <x v="104"/>
    <x v="14"/>
    <x v="2"/>
    <x v="2"/>
  </r>
  <r>
    <x v="75"/>
    <x v="2"/>
    <x v="21"/>
    <x v="0"/>
    <x v="16"/>
    <x v="1"/>
    <x v="105"/>
    <x v="18"/>
    <x v="1"/>
    <x v="1"/>
  </r>
  <r>
    <x v="76"/>
    <x v="0"/>
    <x v="0"/>
    <x v="0"/>
    <x v="0"/>
    <x v="1"/>
    <x v="5"/>
    <x v="0"/>
    <x v="0"/>
    <x v="0"/>
  </r>
  <r>
    <x v="76"/>
    <x v="1"/>
    <x v="24"/>
    <x v="1"/>
    <x v="8"/>
    <x v="3"/>
    <x v="97"/>
    <x v="9"/>
    <x v="3"/>
    <x v="3"/>
  </r>
  <r>
    <x v="76"/>
    <x v="2"/>
    <x v="8"/>
    <x v="0"/>
    <x v="0"/>
    <x v="0"/>
    <x v="0"/>
    <x v="3"/>
    <x v="3"/>
    <x v="3"/>
  </r>
  <r>
    <x v="76"/>
    <x v="3"/>
    <x v="22"/>
    <x v="0"/>
    <x v="17"/>
    <x v="0"/>
    <x v="76"/>
    <x v="19"/>
    <x v="3"/>
    <x v="3"/>
  </r>
  <r>
    <x v="77"/>
    <x v="0"/>
    <x v="7"/>
    <x v="0"/>
    <x v="6"/>
    <x v="1"/>
    <x v="9"/>
    <x v="7"/>
    <x v="0"/>
    <x v="0"/>
  </r>
  <r>
    <x v="77"/>
    <x v="1"/>
    <x v="23"/>
    <x v="0"/>
    <x v="7"/>
    <x v="0"/>
    <x v="59"/>
    <x v="20"/>
    <x v="0"/>
    <x v="0"/>
  </r>
  <r>
    <x v="77"/>
    <x v="2"/>
    <x v="9"/>
    <x v="1"/>
    <x v="7"/>
    <x v="3"/>
    <x v="106"/>
    <x v="8"/>
    <x v="0"/>
    <x v="0"/>
  </r>
  <r>
    <x v="77"/>
    <x v="3"/>
    <x v="15"/>
    <x v="1"/>
    <x v="11"/>
    <x v="3"/>
    <x v="23"/>
    <x v="12"/>
    <x v="0"/>
    <x v="0"/>
  </r>
  <r>
    <x v="78"/>
    <x v="0"/>
    <x v="11"/>
    <x v="1"/>
    <x v="9"/>
    <x v="3"/>
    <x v="42"/>
    <x v="10"/>
    <x v="4"/>
    <x v="4"/>
  </r>
  <r>
    <x v="78"/>
    <x v="1"/>
    <x v="7"/>
    <x v="1"/>
    <x v="6"/>
    <x v="2"/>
    <x v="27"/>
    <x v="7"/>
    <x v="0"/>
    <x v="0"/>
  </r>
  <r>
    <x v="78"/>
    <x v="2"/>
    <x v="18"/>
    <x v="0"/>
    <x v="14"/>
    <x v="3"/>
    <x v="107"/>
    <x v="16"/>
    <x v="1"/>
    <x v="1"/>
  </r>
  <r>
    <x v="78"/>
    <x v="3"/>
    <x v="22"/>
    <x v="1"/>
    <x v="17"/>
    <x v="1"/>
    <x v="85"/>
    <x v="19"/>
    <x v="3"/>
    <x v="3"/>
  </r>
  <r>
    <x v="79"/>
    <x v="0"/>
    <x v="8"/>
    <x v="0"/>
    <x v="0"/>
    <x v="3"/>
    <x v="12"/>
    <x v="3"/>
    <x v="3"/>
    <x v="3"/>
  </r>
  <r>
    <x v="79"/>
    <x v="1"/>
    <x v="24"/>
    <x v="0"/>
    <x v="8"/>
    <x v="3"/>
    <x v="98"/>
    <x v="9"/>
    <x v="3"/>
    <x v="3"/>
  </r>
  <r>
    <x v="79"/>
    <x v="2"/>
    <x v="7"/>
    <x v="0"/>
    <x v="6"/>
    <x v="0"/>
    <x v="81"/>
    <x v="7"/>
    <x v="0"/>
    <x v="0"/>
  </r>
  <r>
    <x v="80"/>
    <x v="0"/>
    <x v="2"/>
    <x v="1"/>
    <x v="2"/>
    <x v="0"/>
    <x v="54"/>
    <x v="2"/>
    <x v="2"/>
    <x v="2"/>
  </r>
  <r>
    <x v="80"/>
    <x v="1"/>
    <x v="19"/>
    <x v="1"/>
    <x v="15"/>
    <x v="2"/>
    <x v="89"/>
    <x v="17"/>
    <x v="5"/>
    <x v="5"/>
  </r>
  <r>
    <x v="80"/>
    <x v="2"/>
    <x v="22"/>
    <x v="1"/>
    <x v="17"/>
    <x v="2"/>
    <x v="41"/>
    <x v="19"/>
    <x v="3"/>
    <x v="3"/>
  </r>
  <r>
    <x v="81"/>
    <x v="0"/>
    <x v="22"/>
    <x v="1"/>
    <x v="17"/>
    <x v="3"/>
    <x v="68"/>
    <x v="19"/>
    <x v="3"/>
    <x v="3"/>
  </r>
  <r>
    <x v="81"/>
    <x v="1"/>
    <x v="16"/>
    <x v="1"/>
    <x v="13"/>
    <x v="0"/>
    <x v="108"/>
    <x v="14"/>
    <x v="2"/>
    <x v="2"/>
  </r>
  <r>
    <x v="82"/>
    <x v="0"/>
    <x v="0"/>
    <x v="0"/>
    <x v="0"/>
    <x v="0"/>
    <x v="0"/>
    <x v="0"/>
    <x v="0"/>
    <x v="0"/>
  </r>
  <r>
    <x v="82"/>
    <x v="1"/>
    <x v="5"/>
    <x v="1"/>
    <x v="4"/>
    <x v="2"/>
    <x v="79"/>
    <x v="5"/>
    <x v="1"/>
    <x v="1"/>
  </r>
  <r>
    <x v="83"/>
    <x v="0"/>
    <x v="19"/>
    <x v="1"/>
    <x v="15"/>
    <x v="1"/>
    <x v="69"/>
    <x v="17"/>
    <x v="5"/>
    <x v="5"/>
  </r>
  <r>
    <x v="83"/>
    <x v="1"/>
    <x v="12"/>
    <x v="1"/>
    <x v="10"/>
    <x v="1"/>
    <x v="109"/>
    <x v="11"/>
    <x v="0"/>
    <x v="0"/>
  </r>
  <r>
    <x v="84"/>
    <x v="0"/>
    <x v="4"/>
    <x v="1"/>
    <x v="3"/>
    <x v="2"/>
    <x v="49"/>
    <x v="4"/>
    <x v="1"/>
    <x v="1"/>
  </r>
  <r>
    <x v="84"/>
    <x v="1"/>
    <x v="9"/>
    <x v="0"/>
    <x v="7"/>
    <x v="1"/>
    <x v="10"/>
    <x v="8"/>
    <x v="0"/>
    <x v="0"/>
  </r>
  <r>
    <x v="85"/>
    <x v="0"/>
    <x v="11"/>
    <x v="1"/>
    <x v="9"/>
    <x v="3"/>
    <x v="42"/>
    <x v="10"/>
    <x v="4"/>
    <x v="4"/>
  </r>
  <r>
    <x v="85"/>
    <x v="1"/>
    <x v="19"/>
    <x v="1"/>
    <x v="15"/>
    <x v="1"/>
    <x v="69"/>
    <x v="17"/>
    <x v="5"/>
    <x v="5"/>
  </r>
  <r>
    <x v="85"/>
    <x v="2"/>
    <x v="20"/>
    <x v="1"/>
    <x v="11"/>
    <x v="0"/>
    <x v="78"/>
    <x v="15"/>
    <x v="5"/>
    <x v="5"/>
  </r>
  <r>
    <x v="85"/>
    <x v="3"/>
    <x v="12"/>
    <x v="0"/>
    <x v="10"/>
    <x v="3"/>
    <x v="80"/>
    <x v="11"/>
    <x v="0"/>
    <x v="0"/>
  </r>
  <r>
    <x v="86"/>
    <x v="0"/>
    <x v="0"/>
    <x v="1"/>
    <x v="0"/>
    <x v="0"/>
    <x v="24"/>
    <x v="0"/>
    <x v="0"/>
    <x v="0"/>
  </r>
  <r>
    <x v="86"/>
    <x v="1"/>
    <x v="19"/>
    <x v="1"/>
    <x v="15"/>
    <x v="3"/>
    <x v="50"/>
    <x v="17"/>
    <x v="5"/>
    <x v="5"/>
  </r>
  <r>
    <x v="87"/>
    <x v="0"/>
    <x v="2"/>
    <x v="0"/>
    <x v="2"/>
    <x v="1"/>
    <x v="43"/>
    <x v="2"/>
    <x v="2"/>
    <x v="2"/>
  </r>
  <r>
    <x v="87"/>
    <x v="1"/>
    <x v="1"/>
    <x v="1"/>
    <x v="1"/>
    <x v="3"/>
    <x v="96"/>
    <x v="1"/>
    <x v="1"/>
    <x v="1"/>
  </r>
  <r>
    <x v="87"/>
    <x v="2"/>
    <x v="14"/>
    <x v="0"/>
    <x v="12"/>
    <x v="3"/>
    <x v="40"/>
    <x v="13"/>
    <x v="1"/>
    <x v="1"/>
  </r>
  <r>
    <x v="88"/>
    <x v="0"/>
    <x v="21"/>
    <x v="0"/>
    <x v="16"/>
    <x v="2"/>
    <x v="60"/>
    <x v="18"/>
    <x v="1"/>
    <x v="1"/>
  </r>
  <r>
    <x v="88"/>
    <x v="1"/>
    <x v="18"/>
    <x v="1"/>
    <x v="14"/>
    <x v="3"/>
    <x v="110"/>
    <x v="16"/>
    <x v="1"/>
    <x v="1"/>
  </r>
  <r>
    <x v="89"/>
    <x v="0"/>
    <x v="5"/>
    <x v="0"/>
    <x v="4"/>
    <x v="3"/>
    <x v="16"/>
    <x v="5"/>
    <x v="1"/>
    <x v="1"/>
  </r>
  <r>
    <x v="89"/>
    <x v="1"/>
    <x v="18"/>
    <x v="0"/>
    <x v="14"/>
    <x v="1"/>
    <x v="29"/>
    <x v="16"/>
    <x v="1"/>
    <x v="1"/>
  </r>
  <r>
    <x v="90"/>
    <x v="0"/>
    <x v="16"/>
    <x v="0"/>
    <x v="13"/>
    <x v="3"/>
    <x v="86"/>
    <x v="14"/>
    <x v="2"/>
    <x v="2"/>
  </r>
  <r>
    <x v="90"/>
    <x v="1"/>
    <x v="22"/>
    <x v="0"/>
    <x v="17"/>
    <x v="2"/>
    <x v="111"/>
    <x v="19"/>
    <x v="3"/>
    <x v="3"/>
  </r>
  <r>
    <x v="90"/>
    <x v="2"/>
    <x v="12"/>
    <x v="1"/>
    <x v="10"/>
    <x v="1"/>
    <x v="109"/>
    <x v="11"/>
    <x v="0"/>
    <x v="0"/>
  </r>
  <r>
    <x v="90"/>
    <x v="3"/>
    <x v="17"/>
    <x v="1"/>
    <x v="11"/>
    <x v="1"/>
    <x v="35"/>
    <x v="15"/>
    <x v="0"/>
    <x v="0"/>
  </r>
  <r>
    <x v="91"/>
    <x v="0"/>
    <x v="1"/>
    <x v="0"/>
    <x v="1"/>
    <x v="3"/>
    <x v="112"/>
    <x v="1"/>
    <x v="1"/>
    <x v="1"/>
  </r>
  <r>
    <x v="92"/>
    <x v="0"/>
    <x v="13"/>
    <x v="1"/>
    <x v="11"/>
    <x v="1"/>
    <x v="35"/>
    <x v="12"/>
    <x v="5"/>
    <x v="5"/>
  </r>
  <r>
    <x v="92"/>
    <x v="1"/>
    <x v="7"/>
    <x v="0"/>
    <x v="6"/>
    <x v="2"/>
    <x v="113"/>
    <x v="7"/>
    <x v="0"/>
    <x v="0"/>
  </r>
  <r>
    <x v="92"/>
    <x v="2"/>
    <x v="20"/>
    <x v="0"/>
    <x v="11"/>
    <x v="3"/>
    <x v="21"/>
    <x v="15"/>
    <x v="5"/>
    <x v="5"/>
  </r>
  <r>
    <x v="92"/>
    <x v="3"/>
    <x v="6"/>
    <x v="0"/>
    <x v="5"/>
    <x v="0"/>
    <x v="56"/>
    <x v="6"/>
    <x v="1"/>
    <x v="1"/>
  </r>
  <r>
    <x v="92"/>
    <x v="4"/>
    <x v="2"/>
    <x v="1"/>
    <x v="2"/>
    <x v="1"/>
    <x v="46"/>
    <x v="2"/>
    <x v="2"/>
    <x v="2"/>
  </r>
  <r>
    <x v="93"/>
    <x v="0"/>
    <x v="10"/>
    <x v="0"/>
    <x v="8"/>
    <x v="2"/>
    <x v="101"/>
    <x v="9"/>
    <x v="0"/>
    <x v="0"/>
  </r>
  <r>
    <x v="93"/>
    <x v="1"/>
    <x v="4"/>
    <x v="0"/>
    <x v="3"/>
    <x v="0"/>
    <x v="4"/>
    <x v="4"/>
    <x v="1"/>
    <x v="1"/>
  </r>
  <r>
    <x v="93"/>
    <x v="2"/>
    <x v="16"/>
    <x v="0"/>
    <x v="13"/>
    <x v="0"/>
    <x v="114"/>
    <x v="14"/>
    <x v="2"/>
    <x v="2"/>
  </r>
  <r>
    <x v="93"/>
    <x v="3"/>
    <x v="20"/>
    <x v="1"/>
    <x v="11"/>
    <x v="1"/>
    <x v="35"/>
    <x v="15"/>
    <x v="5"/>
    <x v="5"/>
  </r>
  <r>
    <x v="94"/>
    <x v="0"/>
    <x v="2"/>
    <x v="1"/>
    <x v="2"/>
    <x v="0"/>
    <x v="54"/>
    <x v="2"/>
    <x v="2"/>
    <x v="2"/>
  </r>
  <r>
    <x v="94"/>
    <x v="1"/>
    <x v="23"/>
    <x v="0"/>
    <x v="7"/>
    <x v="3"/>
    <x v="65"/>
    <x v="20"/>
    <x v="0"/>
    <x v="0"/>
  </r>
  <r>
    <x v="94"/>
    <x v="2"/>
    <x v="1"/>
    <x v="1"/>
    <x v="1"/>
    <x v="0"/>
    <x v="82"/>
    <x v="1"/>
    <x v="1"/>
    <x v="1"/>
  </r>
  <r>
    <x v="94"/>
    <x v="3"/>
    <x v="0"/>
    <x v="1"/>
    <x v="0"/>
    <x v="2"/>
    <x v="3"/>
    <x v="0"/>
    <x v="0"/>
    <x v="0"/>
  </r>
  <r>
    <x v="95"/>
    <x v="0"/>
    <x v="8"/>
    <x v="0"/>
    <x v="0"/>
    <x v="3"/>
    <x v="12"/>
    <x v="3"/>
    <x v="3"/>
    <x v="3"/>
  </r>
  <r>
    <x v="95"/>
    <x v="1"/>
    <x v="19"/>
    <x v="0"/>
    <x v="15"/>
    <x v="2"/>
    <x v="115"/>
    <x v="17"/>
    <x v="5"/>
    <x v="5"/>
  </r>
  <r>
    <x v="96"/>
    <x v="0"/>
    <x v="0"/>
    <x v="1"/>
    <x v="0"/>
    <x v="0"/>
    <x v="24"/>
    <x v="0"/>
    <x v="0"/>
    <x v="0"/>
  </r>
  <r>
    <x v="96"/>
    <x v="1"/>
    <x v="6"/>
    <x v="0"/>
    <x v="5"/>
    <x v="1"/>
    <x v="116"/>
    <x v="6"/>
    <x v="1"/>
    <x v="1"/>
  </r>
  <r>
    <x v="96"/>
    <x v="2"/>
    <x v="18"/>
    <x v="1"/>
    <x v="14"/>
    <x v="0"/>
    <x v="117"/>
    <x v="16"/>
    <x v="1"/>
    <x v="1"/>
  </r>
  <r>
    <x v="96"/>
    <x v="3"/>
    <x v="23"/>
    <x v="0"/>
    <x v="7"/>
    <x v="3"/>
    <x v="65"/>
    <x v="20"/>
    <x v="0"/>
    <x v="0"/>
  </r>
  <r>
    <x v="97"/>
    <x v="0"/>
    <x v="23"/>
    <x v="0"/>
    <x v="7"/>
    <x v="1"/>
    <x v="10"/>
    <x v="20"/>
    <x v="0"/>
    <x v="0"/>
  </r>
  <r>
    <x v="97"/>
    <x v="1"/>
    <x v="20"/>
    <x v="0"/>
    <x v="11"/>
    <x v="3"/>
    <x v="21"/>
    <x v="15"/>
    <x v="5"/>
    <x v="5"/>
  </r>
  <r>
    <x v="97"/>
    <x v="2"/>
    <x v="6"/>
    <x v="0"/>
    <x v="5"/>
    <x v="0"/>
    <x v="56"/>
    <x v="6"/>
    <x v="1"/>
    <x v="1"/>
  </r>
  <r>
    <x v="97"/>
    <x v="3"/>
    <x v="13"/>
    <x v="1"/>
    <x v="11"/>
    <x v="0"/>
    <x v="78"/>
    <x v="12"/>
    <x v="5"/>
    <x v="5"/>
  </r>
  <r>
    <x v="98"/>
    <x v="0"/>
    <x v="17"/>
    <x v="0"/>
    <x v="11"/>
    <x v="0"/>
    <x v="51"/>
    <x v="15"/>
    <x v="0"/>
    <x v="0"/>
  </r>
  <r>
    <x v="98"/>
    <x v="1"/>
    <x v="20"/>
    <x v="0"/>
    <x v="11"/>
    <x v="0"/>
    <x v="51"/>
    <x v="15"/>
    <x v="5"/>
    <x v="5"/>
  </r>
  <r>
    <x v="98"/>
    <x v="2"/>
    <x v="22"/>
    <x v="1"/>
    <x v="17"/>
    <x v="2"/>
    <x v="41"/>
    <x v="19"/>
    <x v="3"/>
    <x v="3"/>
  </r>
  <r>
    <x v="98"/>
    <x v="3"/>
    <x v="14"/>
    <x v="1"/>
    <x v="12"/>
    <x v="1"/>
    <x v="102"/>
    <x v="13"/>
    <x v="1"/>
    <x v="1"/>
  </r>
  <r>
    <x v="98"/>
    <x v="4"/>
    <x v="19"/>
    <x v="1"/>
    <x v="15"/>
    <x v="0"/>
    <x v="33"/>
    <x v="17"/>
    <x v="5"/>
    <x v="5"/>
  </r>
  <r>
    <x v="99"/>
    <x v="0"/>
    <x v="10"/>
    <x v="1"/>
    <x v="8"/>
    <x v="2"/>
    <x v="11"/>
    <x v="9"/>
    <x v="0"/>
    <x v="0"/>
  </r>
  <r>
    <x v="99"/>
    <x v="1"/>
    <x v="16"/>
    <x v="1"/>
    <x v="13"/>
    <x v="3"/>
    <x v="104"/>
    <x v="14"/>
    <x v="2"/>
    <x v="2"/>
  </r>
  <r>
    <x v="99"/>
    <x v="2"/>
    <x v="14"/>
    <x v="1"/>
    <x v="12"/>
    <x v="0"/>
    <x v="61"/>
    <x v="13"/>
    <x v="1"/>
    <x v="1"/>
  </r>
  <r>
    <x v="99"/>
    <x v="3"/>
    <x v="3"/>
    <x v="1"/>
    <x v="0"/>
    <x v="0"/>
    <x v="24"/>
    <x v="3"/>
    <x v="0"/>
    <x v="0"/>
  </r>
  <r>
    <x v="99"/>
    <x v="4"/>
    <x v="24"/>
    <x v="1"/>
    <x v="8"/>
    <x v="3"/>
    <x v="97"/>
    <x v="9"/>
    <x v="3"/>
    <x v="3"/>
  </r>
  <r>
    <x v="100"/>
    <x v="0"/>
    <x v="10"/>
    <x v="1"/>
    <x v="8"/>
    <x v="0"/>
    <x v="118"/>
    <x v="9"/>
    <x v="0"/>
    <x v="0"/>
  </r>
  <r>
    <x v="101"/>
    <x v="0"/>
    <x v="12"/>
    <x v="0"/>
    <x v="10"/>
    <x v="2"/>
    <x v="119"/>
    <x v="11"/>
    <x v="0"/>
    <x v="0"/>
  </r>
  <r>
    <x v="101"/>
    <x v="1"/>
    <x v="13"/>
    <x v="0"/>
    <x v="11"/>
    <x v="1"/>
    <x v="36"/>
    <x v="12"/>
    <x v="5"/>
    <x v="5"/>
  </r>
  <r>
    <x v="102"/>
    <x v="0"/>
    <x v="7"/>
    <x v="0"/>
    <x v="6"/>
    <x v="1"/>
    <x v="9"/>
    <x v="7"/>
    <x v="0"/>
    <x v="0"/>
  </r>
  <r>
    <x v="102"/>
    <x v="1"/>
    <x v="5"/>
    <x v="0"/>
    <x v="4"/>
    <x v="2"/>
    <x v="6"/>
    <x v="5"/>
    <x v="1"/>
    <x v="1"/>
  </r>
  <r>
    <x v="102"/>
    <x v="2"/>
    <x v="9"/>
    <x v="0"/>
    <x v="7"/>
    <x v="0"/>
    <x v="59"/>
    <x v="8"/>
    <x v="0"/>
    <x v="0"/>
  </r>
  <r>
    <x v="102"/>
    <x v="3"/>
    <x v="12"/>
    <x v="1"/>
    <x v="10"/>
    <x v="3"/>
    <x v="120"/>
    <x v="11"/>
    <x v="0"/>
    <x v="0"/>
  </r>
  <r>
    <x v="102"/>
    <x v="4"/>
    <x v="11"/>
    <x v="1"/>
    <x v="9"/>
    <x v="3"/>
    <x v="42"/>
    <x v="10"/>
    <x v="4"/>
    <x v="4"/>
  </r>
  <r>
    <x v="103"/>
    <x v="0"/>
    <x v="23"/>
    <x v="1"/>
    <x v="7"/>
    <x v="3"/>
    <x v="106"/>
    <x v="20"/>
    <x v="0"/>
    <x v="0"/>
  </r>
  <r>
    <x v="103"/>
    <x v="1"/>
    <x v="8"/>
    <x v="0"/>
    <x v="0"/>
    <x v="2"/>
    <x v="7"/>
    <x v="3"/>
    <x v="3"/>
    <x v="3"/>
  </r>
  <r>
    <x v="104"/>
    <x v="0"/>
    <x v="16"/>
    <x v="1"/>
    <x v="13"/>
    <x v="0"/>
    <x v="108"/>
    <x v="14"/>
    <x v="2"/>
    <x v="2"/>
  </r>
  <r>
    <x v="104"/>
    <x v="1"/>
    <x v="5"/>
    <x v="0"/>
    <x v="4"/>
    <x v="2"/>
    <x v="6"/>
    <x v="5"/>
    <x v="1"/>
    <x v="1"/>
  </r>
  <r>
    <x v="104"/>
    <x v="2"/>
    <x v="11"/>
    <x v="0"/>
    <x v="9"/>
    <x v="2"/>
    <x v="121"/>
    <x v="10"/>
    <x v="4"/>
    <x v="4"/>
  </r>
  <r>
    <x v="105"/>
    <x v="0"/>
    <x v="7"/>
    <x v="0"/>
    <x v="6"/>
    <x v="3"/>
    <x v="47"/>
    <x v="7"/>
    <x v="0"/>
    <x v="0"/>
  </r>
  <r>
    <x v="105"/>
    <x v="1"/>
    <x v="17"/>
    <x v="1"/>
    <x v="11"/>
    <x v="3"/>
    <x v="23"/>
    <x v="15"/>
    <x v="0"/>
    <x v="0"/>
  </r>
  <r>
    <x v="106"/>
    <x v="0"/>
    <x v="23"/>
    <x v="0"/>
    <x v="7"/>
    <x v="0"/>
    <x v="59"/>
    <x v="20"/>
    <x v="0"/>
    <x v="0"/>
  </r>
  <r>
    <x v="106"/>
    <x v="1"/>
    <x v="17"/>
    <x v="1"/>
    <x v="11"/>
    <x v="3"/>
    <x v="23"/>
    <x v="15"/>
    <x v="0"/>
    <x v="0"/>
  </r>
  <r>
    <x v="107"/>
    <x v="0"/>
    <x v="16"/>
    <x v="0"/>
    <x v="13"/>
    <x v="3"/>
    <x v="86"/>
    <x v="14"/>
    <x v="2"/>
    <x v="2"/>
  </r>
  <r>
    <x v="107"/>
    <x v="1"/>
    <x v="13"/>
    <x v="1"/>
    <x v="11"/>
    <x v="1"/>
    <x v="35"/>
    <x v="12"/>
    <x v="5"/>
    <x v="5"/>
  </r>
  <r>
    <x v="107"/>
    <x v="2"/>
    <x v="3"/>
    <x v="1"/>
    <x v="0"/>
    <x v="2"/>
    <x v="3"/>
    <x v="3"/>
    <x v="0"/>
    <x v="0"/>
  </r>
  <r>
    <x v="108"/>
    <x v="0"/>
    <x v="13"/>
    <x v="1"/>
    <x v="11"/>
    <x v="3"/>
    <x v="23"/>
    <x v="12"/>
    <x v="5"/>
    <x v="5"/>
  </r>
  <r>
    <x v="108"/>
    <x v="1"/>
    <x v="18"/>
    <x v="0"/>
    <x v="14"/>
    <x v="1"/>
    <x v="29"/>
    <x v="16"/>
    <x v="1"/>
    <x v="1"/>
  </r>
  <r>
    <x v="109"/>
    <x v="0"/>
    <x v="15"/>
    <x v="0"/>
    <x v="11"/>
    <x v="3"/>
    <x v="21"/>
    <x v="12"/>
    <x v="0"/>
    <x v="0"/>
  </r>
  <r>
    <x v="110"/>
    <x v="0"/>
    <x v="15"/>
    <x v="0"/>
    <x v="11"/>
    <x v="3"/>
    <x v="21"/>
    <x v="12"/>
    <x v="0"/>
    <x v="0"/>
  </r>
  <r>
    <x v="110"/>
    <x v="1"/>
    <x v="10"/>
    <x v="1"/>
    <x v="8"/>
    <x v="1"/>
    <x v="30"/>
    <x v="9"/>
    <x v="0"/>
    <x v="0"/>
  </r>
  <r>
    <x v="111"/>
    <x v="0"/>
    <x v="19"/>
    <x v="1"/>
    <x v="15"/>
    <x v="0"/>
    <x v="33"/>
    <x v="17"/>
    <x v="5"/>
    <x v="5"/>
  </r>
  <r>
    <x v="111"/>
    <x v="1"/>
    <x v="22"/>
    <x v="1"/>
    <x v="17"/>
    <x v="1"/>
    <x v="85"/>
    <x v="19"/>
    <x v="3"/>
    <x v="3"/>
  </r>
  <r>
    <x v="111"/>
    <x v="2"/>
    <x v="24"/>
    <x v="1"/>
    <x v="8"/>
    <x v="2"/>
    <x v="11"/>
    <x v="9"/>
    <x v="3"/>
    <x v="3"/>
  </r>
  <r>
    <x v="111"/>
    <x v="3"/>
    <x v="21"/>
    <x v="0"/>
    <x v="16"/>
    <x v="0"/>
    <x v="58"/>
    <x v="18"/>
    <x v="1"/>
    <x v="1"/>
  </r>
  <r>
    <x v="112"/>
    <x v="0"/>
    <x v="10"/>
    <x v="1"/>
    <x v="8"/>
    <x v="1"/>
    <x v="30"/>
    <x v="9"/>
    <x v="0"/>
    <x v="0"/>
  </r>
  <r>
    <x v="112"/>
    <x v="1"/>
    <x v="24"/>
    <x v="1"/>
    <x v="8"/>
    <x v="3"/>
    <x v="97"/>
    <x v="9"/>
    <x v="3"/>
    <x v="3"/>
  </r>
  <r>
    <x v="112"/>
    <x v="2"/>
    <x v="18"/>
    <x v="0"/>
    <x v="14"/>
    <x v="1"/>
    <x v="29"/>
    <x v="16"/>
    <x v="1"/>
    <x v="1"/>
  </r>
  <r>
    <x v="112"/>
    <x v="3"/>
    <x v="19"/>
    <x v="0"/>
    <x v="15"/>
    <x v="0"/>
    <x v="122"/>
    <x v="17"/>
    <x v="5"/>
    <x v="5"/>
  </r>
  <r>
    <x v="112"/>
    <x v="4"/>
    <x v="21"/>
    <x v="1"/>
    <x v="16"/>
    <x v="0"/>
    <x v="95"/>
    <x v="18"/>
    <x v="1"/>
    <x v="1"/>
  </r>
  <r>
    <x v="113"/>
    <x v="0"/>
    <x v="10"/>
    <x v="0"/>
    <x v="8"/>
    <x v="2"/>
    <x v="101"/>
    <x v="9"/>
    <x v="0"/>
    <x v="0"/>
  </r>
  <r>
    <x v="113"/>
    <x v="1"/>
    <x v="6"/>
    <x v="0"/>
    <x v="5"/>
    <x v="1"/>
    <x v="116"/>
    <x v="6"/>
    <x v="1"/>
    <x v="1"/>
  </r>
  <r>
    <x v="113"/>
    <x v="2"/>
    <x v="17"/>
    <x v="1"/>
    <x v="11"/>
    <x v="3"/>
    <x v="23"/>
    <x v="15"/>
    <x v="0"/>
    <x v="0"/>
  </r>
  <r>
    <x v="114"/>
    <x v="0"/>
    <x v="13"/>
    <x v="0"/>
    <x v="11"/>
    <x v="0"/>
    <x v="51"/>
    <x v="12"/>
    <x v="5"/>
    <x v="5"/>
  </r>
  <r>
    <x v="114"/>
    <x v="1"/>
    <x v="23"/>
    <x v="0"/>
    <x v="7"/>
    <x v="3"/>
    <x v="65"/>
    <x v="20"/>
    <x v="0"/>
    <x v="0"/>
  </r>
  <r>
    <x v="115"/>
    <x v="0"/>
    <x v="8"/>
    <x v="0"/>
    <x v="0"/>
    <x v="2"/>
    <x v="7"/>
    <x v="3"/>
    <x v="3"/>
    <x v="3"/>
  </r>
  <r>
    <x v="116"/>
    <x v="0"/>
    <x v="13"/>
    <x v="1"/>
    <x v="11"/>
    <x v="0"/>
    <x v="78"/>
    <x v="12"/>
    <x v="5"/>
    <x v="5"/>
  </r>
  <r>
    <x v="116"/>
    <x v="1"/>
    <x v="8"/>
    <x v="0"/>
    <x v="0"/>
    <x v="2"/>
    <x v="7"/>
    <x v="3"/>
    <x v="3"/>
    <x v="3"/>
  </r>
  <r>
    <x v="116"/>
    <x v="2"/>
    <x v="15"/>
    <x v="0"/>
    <x v="11"/>
    <x v="0"/>
    <x v="51"/>
    <x v="12"/>
    <x v="0"/>
    <x v="0"/>
  </r>
  <r>
    <x v="116"/>
    <x v="3"/>
    <x v="23"/>
    <x v="0"/>
    <x v="7"/>
    <x v="2"/>
    <x v="72"/>
    <x v="20"/>
    <x v="0"/>
    <x v="0"/>
  </r>
  <r>
    <x v="117"/>
    <x v="0"/>
    <x v="9"/>
    <x v="0"/>
    <x v="7"/>
    <x v="1"/>
    <x v="10"/>
    <x v="8"/>
    <x v="0"/>
    <x v="0"/>
  </r>
  <r>
    <x v="117"/>
    <x v="1"/>
    <x v="4"/>
    <x v="0"/>
    <x v="3"/>
    <x v="1"/>
    <x v="123"/>
    <x v="4"/>
    <x v="1"/>
    <x v="1"/>
  </r>
  <r>
    <x v="117"/>
    <x v="2"/>
    <x v="18"/>
    <x v="0"/>
    <x v="14"/>
    <x v="1"/>
    <x v="29"/>
    <x v="16"/>
    <x v="1"/>
    <x v="1"/>
  </r>
  <r>
    <x v="117"/>
    <x v="3"/>
    <x v="5"/>
    <x v="1"/>
    <x v="4"/>
    <x v="3"/>
    <x v="52"/>
    <x v="5"/>
    <x v="1"/>
    <x v="1"/>
  </r>
  <r>
    <x v="117"/>
    <x v="4"/>
    <x v="19"/>
    <x v="1"/>
    <x v="15"/>
    <x v="1"/>
    <x v="69"/>
    <x v="17"/>
    <x v="5"/>
    <x v="5"/>
  </r>
  <r>
    <x v="118"/>
    <x v="0"/>
    <x v="22"/>
    <x v="0"/>
    <x v="17"/>
    <x v="2"/>
    <x v="111"/>
    <x v="19"/>
    <x v="3"/>
    <x v="3"/>
  </r>
  <r>
    <x v="119"/>
    <x v="0"/>
    <x v="17"/>
    <x v="1"/>
    <x v="11"/>
    <x v="2"/>
    <x v="64"/>
    <x v="15"/>
    <x v="0"/>
    <x v="0"/>
  </r>
  <r>
    <x v="119"/>
    <x v="1"/>
    <x v="18"/>
    <x v="1"/>
    <x v="14"/>
    <x v="2"/>
    <x v="124"/>
    <x v="16"/>
    <x v="1"/>
    <x v="1"/>
  </r>
  <r>
    <x v="119"/>
    <x v="2"/>
    <x v="2"/>
    <x v="1"/>
    <x v="2"/>
    <x v="2"/>
    <x v="2"/>
    <x v="2"/>
    <x v="2"/>
    <x v="2"/>
  </r>
  <r>
    <x v="119"/>
    <x v="3"/>
    <x v="7"/>
    <x v="0"/>
    <x v="6"/>
    <x v="2"/>
    <x v="113"/>
    <x v="7"/>
    <x v="0"/>
    <x v="0"/>
  </r>
  <r>
    <x v="119"/>
    <x v="4"/>
    <x v="3"/>
    <x v="1"/>
    <x v="0"/>
    <x v="0"/>
    <x v="24"/>
    <x v="3"/>
    <x v="0"/>
    <x v="0"/>
  </r>
  <r>
    <x v="120"/>
    <x v="0"/>
    <x v="21"/>
    <x v="0"/>
    <x v="16"/>
    <x v="0"/>
    <x v="58"/>
    <x v="18"/>
    <x v="1"/>
    <x v="1"/>
  </r>
  <r>
    <x v="120"/>
    <x v="1"/>
    <x v="15"/>
    <x v="1"/>
    <x v="11"/>
    <x v="3"/>
    <x v="23"/>
    <x v="12"/>
    <x v="0"/>
    <x v="0"/>
  </r>
  <r>
    <x v="120"/>
    <x v="2"/>
    <x v="4"/>
    <x v="1"/>
    <x v="3"/>
    <x v="3"/>
    <x v="25"/>
    <x v="4"/>
    <x v="1"/>
    <x v="1"/>
  </r>
  <r>
    <x v="120"/>
    <x v="3"/>
    <x v="24"/>
    <x v="1"/>
    <x v="8"/>
    <x v="1"/>
    <x v="30"/>
    <x v="9"/>
    <x v="3"/>
    <x v="3"/>
  </r>
  <r>
    <x v="120"/>
    <x v="4"/>
    <x v="6"/>
    <x v="1"/>
    <x v="5"/>
    <x v="2"/>
    <x v="125"/>
    <x v="6"/>
    <x v="1"/>
    <x v="1"/>
  </r>
  <r>
    <x v="121"/>
    <x v="0"/>
    <x v="3"/>
    <x v="0"/>
    <x v="0"/>
    <x v="3"/>
    <x v="12"/>
    <x v="3"/>
    <x v="0"/>
    <x v="0"/>
  </r>
  <r>
    <x v="122"/>
    <x v="0"/>
    <x v="10"/>
    <x v="1"/>
    <x v="8"/>
    <x v="3"/>
    <x v="97"/>
    <x v="9"/>
    <x v="0"/>
    <x v="0"/>
  </r>
  <r>
    <x v="123"/>
    <x v="0"/>
    <x v="3"/>
    <x v="0"/>
    <x v="0"/>
    <x v="2"/>
    <x v="7"/>
    <x v="3"/>
    <x v="0"/>
    <x v="0"/>
  </r>
  <r>
    <x v="123"/>
    <x v="1"/>
    <x v="4"/>
    <x v="0"/>
    <x v="3"/>
    <x v="1"/>
    <x v="123"/>
    <x v="4"/>
    <x v="1"/>
    <x v="1"/>
  </r>
  <r>
    <x v="123"/>
    <x v="2"/>
    <x v="14"/>
    <x v="1"/>
    <x v="12"/>
    <x v="2"/>
    <x v="74"/>
    <x v="13"/>
    <x v="1"/>
    <x v="1"/>
  </r>
  <r>
    <x v="124"/>
    <x v="0"/>
    <x v="7"/>
    <x v="0"/>
    <x v="6"/>
    <x v="3"/>
    <x v="47"/>
    <x v="7"/>
    <x v="0"/>
    <x v="0"/>
  </r>
  <r>
    <x v="125"/>
    <x v="0"/>
    <x v="11"/>
    <x v="1"/>
    <x v="9"/>
    <x v="2"/>
    <x v="126"/>
    <x v="10"/>
    <x v="4"/>
    <x v="4"/>
  </r>
  <r>
    <x v="126"/>
    <x v="0"/>
    <x v="7"/>
    <x v="0"/>
    <x v="6"/>
    <x v="1"/>
    <x v="9"/>
    <x v="7"/>
    <x v="0"/>
    <x v="0"/>
  </r>
  <r>
    <x v="126"/>
    <x v="1"/>
    <x v="0"/>
    <x v="0"/>
    <x v="0"/>
    <x v="3"/>
    <x v="12"/>
    <x v="0"/>
    <x v="0"/>
    <x v="0"/>
  </r>
  <r>
    <x v="126"/>
    <x v="2"/>
    <x v="4"/>
    <x v="1"/>
    <x v="3"/>
    <x v="1"/>
    <x v="127"/>
    <x v="4"/>
    <x v="1"/>
    <x v="1"/>
  </r>
  <r>
    <x v="127"/>
    <x v="0"/>
    <x v="24"/>
    <x v="1"/>
    <x v="8"/>
    <x v="3"/>
    <x v="97"/>
    <x v="9"/>
    <x v="3"/>
    <x v="3"/>
  </r>
  <r>
    <x v="127"/>
    <x v="1"/>
    <x v="3"/>
    <x v="1"/>
    <x v="0"/>
    <x v="3"/>
    <x v="28"/>
    <x v="3"/>
    <x v="0"/>
    <x v="0"/>
  </r>
  <r>
    <x v="127"/>
    <x v="2"/>
    <x v="4"/>
    <x v="1"/>
    <x v="3"/>
    <x v="0"/>
    <x v="84"/>
    <x v="4"/>
    <x v="1"/>
    <x v="1"/>
  </r>
  <r>
    <x v="127"/>
    <x v="3"/>
    <x v="5"/>
    <x v="1"/>
    <x v="4"/>
    <x v="0"/>
    <x v="73"/>
    <x v="5"/>
    <x v="1"/>
    <x v="1"/>
  </r>
  <r>
    <x v="128"/>
    <x v="0"/>
    <x v="9"/>
    <x v="0"/>
    <x v="7"/>
    <x v="3"/>
    <x v="65"/>
    <x v="8"/>
    <x v="0"/>
    <x v="0"/>
  </r>
  <r>
    <x v="128"/>
    <x v="1"/>
    <x v="11"/>
    <x v="0"/>
    <x v="9"/>
    <x v="3"/>
    <x v="128"/>
    <x v="10"/>
    <x v="4"/>
    <x v="4"/>
  </r>
  <r>
    <x v="129"/>
    <x v="0"/>
    <x v="8"/>
    <x v="0"/>
    <x v="0"/>
    <x v="2"/>
    <x v="7"/>
    <x v="3"/>
    <x v="3"/>
    <x v="3"/>
  </r>
  <r>
    <x v="129"/>
    <x v="1"/>
    <x v="21"/>
    <x v="1"/>
    <x v="16"/>
    <x v="1"/>
    <x v="129"/>
    <x v="18"/>
    <x v="1"/>
    <x v="1"/>
  </r>
  <r>
    <x v="130"/>
    <x v="0"/>
    <x v="13"/>
    <x v="1"/>
    <x v="11"/>
    <x v="0"/>
    <x v="78"/>
    <x v="12"/>
    <x v="5"/>
    <x v="5"/>
  </r>
  <r>
    <x v="130"/>
    <x v="1"/>
    <x v="4"/>
    <x v="1"/>
    <x v="3"/>
    <x v="1"/>
    <x v="127"/>
    <x v="4"/>
    <x v="1"/>
    <x v="1"/>
  </r>
  <r>
    <x v="130"/>
    <x v="2"/>
    <x v="24"/>
    <x v="1"/>
    <x v="8"/>
    <x v="3"/>
    <x v="97"/>
    <x v="9"/>
    <x v="3"/>
    <x v="3"/>
  </r>
  <r>
    <x v="131"/>
    <x v="0"/>
    <x v="6"/>
    <x v="1"/>
    <x v="5"/>
    <x v="2"/>
    <x v="125"/>
    <x v="6"/>
    <x v="1"/>
    <x v="1"/>
  </r>
  <r>
    <x v="131"/>
    <x v="1"/>
    <x v="0"/>
    <x v="0"/>
    <x v="0"/>
    <x v="2"/>
    <x v="7"/>
    <x v="0"/>
    <x v="0"/>
    <x v="0"/>
  </r>
  <r>
    <x v="131"/>
    <x v="2"/>
    <x v="11"/>
    <x v="0"/>
    <x v="9"/>
    <x v="3"/>
    <x v="128"/>
    <x v="10"/>
    <x v="4"/>
    <x v="4"/>
  </r>
  <r>
    <x v="132"/>
    <x v="0"/>
    <x v="17"/>
    <x v="1"/>
    <x v="11"/>
    <x v="2"/>
    <x v="64"/>
    <x v="15"/>
    <x v="0"/>
    <x v="0"/>
  </r>
  <r>
    <x v="132"/>
    <x v="1"/>
    <x v="13"/>
    <x v="0"/>
    <x v="11"/>
    <x v="0"/>
    <x v="51"/>
    <x v="12"/>
    <x v="5"/>
    <x v="5"/>
  </r>
  <r>
    <x v="133"/>
    <x v="0"/>
    <x v="23"/>
    <x v="1"/>
    <x v="7"/>
    <x v="3"/>
    <x v="106"/>
    <x v="20"/>
    <x v="0"/>
    <x v="0"/>
  </r>
  <r>
    <x v="133"/>
    <x v="1"/>
    <x v="6"/>
    <x v="1"/>
    <x v="5"/>
    <x v="1"/>
    <x v="130"/>
    <x v="6"/>
    <x v="1"/>
    <x v="1"/>
  </r>
  <r>
    <x v="133"/>
    <x v="2"/>
    <x v="9"/>
    <x v="1"/>
    <x v="7"/>
    <x v="1"/>
    <x v="53"/>
    <x v="8"/>
    <x v="0"/>
    <x v="0"/>
  </r>
  <r>
    <x v="134"/>
    <x v="0"/>
    <x v="21"/>
    <x v="1"/>
    <x v="16"/>
    <x v="2"/>
    <x v="131"/>
    <x v="18"/>
    <x v="1"/>
    <x v="1"/>
  </r>
  <r>
    <x v="134"/>
    <x v="1"/>
    <x v="9"/>
    <x v="1"/>
    <x v="7"/>
    <x v="2"/>
    <x v="32"/>
    <x v="8"/>
    <x v="0"/>
    <x v="0"/>
  </r>
  <r>
    <x v="134"/>
    <x v="2"/>
    <x v="22"/>
    <x v="0"/>
    <x v="17"/>
    <x v="0"/>
    <x v="76"/>
    <x v="19"/>
    <x v="3"/>
    <x v="3"/>
  </r>
  <r>
    <x v="134"/>
    <x v="3"/>
    <x v="6"/>
    <x v="0"/>
    <x v="5"/>
    <x v="2"/>
    <x v="132"/>
    <x v="6"/>
    <x v="1"/>
    <x v="1"/>
  </r>
  <r>
    <x v="135"/>
    <x v="0"/>
    <x v="14"/>
    <x v="1"/>
    <x v="12"/>
    <x v="0"/>
    <x v="61"/>
    <x v="13"/>
    <x v="1"/>
    <x v="1"/>
  </r>
  <r>
    <x v="135"/>
    <x v="1"/>
    <x v="5"/>
    <x v="1"/>
    <x v="4"/>
    <x v="2"/>
    <x v="79"/>
    <x v="5"/>
    <x v="1"/>
    <x v="1"/>
  </r>
  <r>
    <x v="136"/>
    <x v="0"/>
    <x v="19"/>
    <x v="0"/>
    <x v="15"/>
    <x v="1"/>
    <x v="75"/>
    <x v="17"/>
    <x v="5"/>
    <x v="5"/>
  </r>
  <r>
    <x v="136"/>
    <x v="1"/>
    <x v="13"/>
    <x v="0"/>
    <x v="11"/>
    <x v="3"/>
    <x v="21"/>
    <x v="12"/>
    <x v="5"/>
    <x v="5"/>
  </r>
  <r>
    <x v="137"/>
    <x v="0"/>
    <x v="3"/>
    <x v="1"/>
    <x v="0"/>
    <x v="3"/>
    <x v="28"/>
    <x v="3"/>
    <x v="0"/>
    <x v="0"/>
  </r>
  <r>
    <x v="137"/>
    <x v="1"/>
    <x v="18"/>
    <x v="0"/>
    <x v="14"/>
    <x v="0"/>
    <x v="63"/>
    <x v="16"/>
    <x v="1"/>
    <x v="1"/>
  </r>
  <r>
    <x v="138"/>
    <x v="0"/>
    <x v="23"/>
    <x v="1"/>
    <x v="7"/>
    <x v="1"/>
    <x v="53"/>
    <x v="20"/>
    <x v="0"/>
    <x v="0"/>
  </r>
  <r>
    <x v="138"/>
    <x v="1"/>
    <x v="5"/>
    <x v="0"/>
    <x v="4"/>
    <x v="1"/>
    <x v="133"/>
    <x v="5"/>
    <x v="1"/>
    <x v="1"/>
  </r>
  <r>
    <x v="139"/>
    <x v="0"/>
    <x v="12"/>
    <x v="0"/>
    <x v="10"/>
    <x v="0"/>
    <x v="103"/>
    <x v="11"/>
    <x v="0"/>
    <x v="0"/>
  </r>
  <r>
    <x v="139"/>
    <x v="1"/>
    <x v="20"/>
    <x v="0"/>
    <x v="11"/>
    <x v="0"/>
    <x v="51"/>
    <x v="15"/>
    <x v="5"/>
    <x v="5"/>
  </r>
  <r>
    <x v="139"/>
    <x v="2"/>
    <x v="10"/>
    <x v="1"/>
    <x v="8"/>
    <x v="0"/>
    <x v="118"/>
    <x v="9"/>
    <x v="0"/>
    <x v="0"/>
  </r>
  <r>
    <x v="139"/>
    <x v="3"/>
    <x v="5"/>
    <x v="0"/>
    <x v="4"/>
    <x v="2"/>
    <x v="6"/>
    <x v="5"/>
    <x v="1"/>
    <x v="1"/>
  </r>
  <r>
    <x v="140"/>
    <x v="0"/>
    <x v="9"/>
    <x v="0"/>
    <x v="7"/>
    <x v="0"/>
    <x v="59"/>
    <x v="8"/>
    <x v="0"/>
    <x v="0"/>
  </r>
  <r>
    <x v="141"/>
    <x v="0"/>
    <x v="3"/>
    <x v="1"/>
    <x v="0"/>
    <x v="3"/>
    <x v="28"/>
    <x v="3"/>
    <x v="0"/>
    <x v="0"/>
  </r>
  <r>
    <x v="141"/>
    <x v="1"/>
    <x v="16"/>
    <x v="1"/>
    <x v="13"/>
    <x v="3"/>
    <x v="104"/>
    <x v="14"/>
    <x v="2"/>
    <x v="2"/>
  </r>
  <r>
    <x v="141"/>
    <x v="2"/>
    <x v="23"/>
    <x v="0"/>
    <x v="7"/>
    <x v="1"/>
    <x v="10"/>
    <x v="20"/>
    <x v="0"/>
    <x v="0"/>
  </r>
  <r>
    <x v="142"/>
    <x v="0"/>
    <x v="18"/>
    <x v="0"/>
    <x v="14"/>
    <x v="0"/>
    <x v="63"/>
    <x v="16"/>
    <x v="1"/>
    <x v="1"/>
  </r>
  <r>
    <x v="143"/>
    <x v="0"/>
    <x v="1"/>
    <x v="1"/>
    <x v="1"/>
    <x v="2"/>
    <x v="134"/>
    <x v="1"/>
    <x v="1"/>
    <x v="1"/>
  </r>
  <r>
    <x v="144"/>
    <x v="0"/>
    <x v="16"/>
    <x v="0"/>
    <x v="13"/>
    <x v="0"/>
    <x v="114"/>
    <x v="14"/>
    <x v="2"/>
    <x v="2"/>
  </r>
  <r>
    <x v="144"/>
    <x v="1"/>
    <x v="11"/>
    <x v="1"/>
    <x v="9"/>
    <x v="3"/>
    <x v="42"/>
    <x v="10"/>
    <x v="4"/>
    <x v="4"/>
  </r>
  <r>
    <x v="145"/>
    <x v="0"/>
    <x v="5"/>
    <x v="1"/>
    <x v="4"/>
    <x v="0"/>
    <x v="73"/>
    <x v="5"/>
    <x v="1"/>
    <x v="1"/>
  </r>
  <r>
    <x v="145"/>
    <x v="1"/>
    <x v="10"/>
    <x v="0"/>
    <x v="8"/>
    <x v="3"/>
    <x v="98"/>
    <x v="9"/>
    <x v="0"/>
    <x v="0"/>
  </r>
  <r>
    <x v="145"/>
    <x v="2"/>
    <x v="0"/>
    <x v="1"/>
    <x v="0"/>
    <x v="3"/>
    <x v="28"/>
    <x v="0"/>
    <x v="0"/>
    <x v="0"/>
  </r>
  <r>
    <x v="145"/>
    <x v="3"/>
    <x v="18"/>
    <x v="1"/>
    <x v="14"/>
    <x v="2"/>
    <x v="124"/>
    <x v="16"/>
    <x v="1"/>
    <x v="1"/>
  </r>
  <r>
    <x v="145"/>
    <x v="4"/>
    <x v="6"/>
    <x v="0"/>
    <x v="5"/>
    <x v="1"/>
    <x v="116"/>
    <x v="6"/>
    <x v="1"/>
    <x v="1"/>
  </r>
  <r>
    <x v="146"/>
    <x v="0"/>
    <x v="8"/>
    <x v="1"/>
    <x v="0"/>
    <x v="0"/>
    <x v="24"/>
    <x v="3"/>
    <x v="3"/>
    <x v="3"/>
  </r>
  <r>
    <x v="147"/>
    <x v="0"/>
    <x v="15"/>
    <x v="0"/>
    <x v="11"/>
    <x v="2"/>
    <x v="18"/>
    <x v="12"/>
    <x v="0"/>
    <x v="0"/>
  </r>
  <r>
    <x v="148"/>
    <x v="0"/>
    <x v="10"/>
    <x v="1"/>
    <x v="8"/>
    <x v="1"/>
    <x v="30"/>
    <x v="9"/>
    <x v="0"/>
    <x v="0"/>
  </r>
  <r>
    <x v="148"/>
    <x v="1"/>
    <x v="20"/>
    <x v="1"/>
    <x v="11"/>
    <x v="1"/>
    <x v="35"/>
    <x v="15"/>
    <x v="5"/>
    <x v="5"/>
  </r>
  <r>
    <x v="149"/>
    <x v="0"/>
    <x v="14"/>
    <x v="0"/>
    <x v="12"/>
    <x v="3"/>
    <x v="40"/>
    <x v="13"/>
    <x v="1"/>
    <x v="1"/>
  </r>
  <r>
    <x v="149"/>
    <x v="1"/>
    <x v="5"/>
    <x v="0"/>
    <x v="4"/>
    <x v="0"/>
    <x v="90"/>
    <x v="5"/>
    <x v="1"/>
    <x v="1"/>
  </r>
  <r>
    <x v="149"/>
    <x v="2"/>
    <x v="7"/>
    <x v="0"/>
    <x v="6"/>
    <x v="1"/>
    <x v="9"/>
    <x v="7"/>
    <x v="0"/>
    <x v="0"/>
  </r>
  <r>
    <x v="149"/>
    <x v="3"/>
    <x v="22"/>
    <x v="1"/>
    <x v="17"/>
    <x v="1"/>
    <x v="85"/>
    <x v="19"/>
    <x v="3"/>
    <x v="3"/>
  </r>
  <r>
    <x v="150"/>
    <x v="0"/>
    <x v="7"/>
    <x v="0"/>
    <x v="6"/>
    <x v="3"/>
    <x v="47"/>
    <x v="7"/>
    <x v="0"/>
    <x v="0"/>
  </r>
  <r>
    <x v="150"/>
    <x v="1"/>
    <x v="8"/>
    <x v="0"/>
    <x v="0"/>
    <x v="3"/>
    <x v="12"/>
    <x v="3"/>
    <x v="3"/>
    <x v="3"/>
  </r>
  <r>
    <x v="151"/>
    <x v="0"/>
    <x v="18"/>
    <x v="1"/>
    <x v="14"/>
    <x v="0"/>
    <x v="117"/>
    <x v="16"/>
    <x v="1"/>
    <x v="1"/>
  </r>
  <r>
    <x v="151"/>
    <x v="1"/>
    <x v="13"/>
    <x v="1"/>
    <x v="11"/>
    <x v="0"/>
    <x v="78"/>
    <x v="12"/>
    <x v="5"/>
    <x v="5"/>
  </r>
  <r>
    <x v="151"/>
    <x v="2"/>
    <x v="3"/>
    <x v="1"/>
    <x v="0"/>
    <x v="1"/>
    <x v="19"/>
    <x v="3"/>
    <x v="0"/>
    <x v="0"/>
  </r>
  <r>
    <x v="152"/>
    <x v="0"/>
    <x v="3"/>
    <x v="0"/>
    <x v="0"/>
    <x v="1"/>
    <x v="5"/>
    <x v="3"/>
    <x v="0"/>
    <x v="0"/>
  </r>
  <r>
    <x v="152"/>
    <x v="1"/>
    <x v="1"/>
    <x v="0"/>
    <x v="1"/>
    <x v="1"/>
    <x v="31"/>
    <x v="1"/>
    <x v="1"/>
    <x v="1"/>
  </r>
  <r>
    <x v="152"/>
    <x v="2"/>
    <x v="12"/>
    <x v="1"/>
    <x v="10"/>
    <x v="2"/>
    <x v="94"/>
    <x v="11"/>
    <x v="0"/>
    <x v="0"/>
  </r>
  <r>
    <x v="153"/>
    <x v="0"/>
    <x v="10"/>
    <x v="0"/>
    <x v="8"/>
    <x v="3"/>
    <x v="98"/>
    <x v="9"/>
    <x v="0"/>
    <x v="0"/>
  </r>
  <r>
    <x v="154"/>
    <x v="0"/>
    <x v="1"/>
    <x v="0"/>
    <x v="1"/>
    <x v="3"/>
    <x v="112"/>
    <x v="1"/>
    <x v="1"/>
    <x v="1"/>
  </r>
  <r>
    <x v="155"/>
    <x v="0"/>
    <x v="9"/>
    <x v="1"/>
    <x v="7"/>
    <x v="0"/>
    <x v="83"/>
    <x v="8"/>
    <x v="0"/>
    <x v="0"/>
  </r>
  <r>
    <x v="155"/>
    <x v="1"/>
    <x v="7"/>
    <x v="1"/>
    <x v="6"/>
    <x v="2"/>
    <x v="27"/>
    <x v="7"/>
    <x v="0"/>
    <x v="0"/>
  </r>
  <r>
    <x v="155"/>
    <x v="2"/>
    <x v="18"/>
    <x v="0"/>
    <x v="14"/>
    <x v="1"/>
    <x v="29"/>
    <x v="16"/>
    <x v="1"/>
    <x v="1"/>
  </r>
  <r>
    <x v="156"/>
    <x v="0"/>
    <x v="4"/>
    <x v="0"/>
    <x v="3"/>
    <x v="3"/>
    <x v="66"/>
    <x v="4"/>
    <x v="1"/>
    <x v="1"/>
  </r>
  <r>
    <x v="156"/>
    <x v="1"/>
    <x v="14"/>
    <x v="1"/>
    <x v="12"/>
    <x v="1"/>
    <x v="102"/>
    <x v="13"/>
    <x v="1"/>
    <x v="1"/>
  </r>
  <r>
    <x v="157"/>
    <x v="0"/>
    <x v="24"/>
    <x v="0"/>
    <x v="8"/>
    <x v="3"/>
    <x v="98"/>
    <x v="9"/>
    <x v="3"/>
    <x v="3"/>
  </r>
  <r>
    <x v="158"/>
    <x v="0"/>
    <x v="17"/>
    <x v="0"/>
    <x v="11"/>
    <x v="0"/>
    <x v="51"/>
    <x v="15"/>
    <x v="0"/>
    <x v="0"/>
  </r>
  <r>
    <x v="159"/>
    <x v="0"/>
    <x v="20"/>
    <x v="0"/>
    <x v="11"/>
    <x v="1"/>
    <x v="36"/>
    <x v="15"/>
    <x v="5"/>
    <x v="5"/>
  </r>
  <r>
    <x v="159"/>
    <x v="1"/>
    <x v="12"/>
    <x v="1"/>
    <x v="10"/>
    <x v="1"/>
    <x v="109"/>
    <x v="11"/>
    <x v="0"/>
    <x v="0"/>
  </r>
  <r>
    <x v="159"/>
    <x v="2"/>
    <x v="9"/>
    <x v="1"/>
    <x v="7"/>
    <x v="3"/>
    <x v="106"/>
    <x v="8"/>
    <x v="0"/>
    <x v="0"/>
  </r>
  <r>
    <x v="159"/>
    <x v="3"/>
    <x v="16"/>
    <x v="0"/>
    <x v="13"/>
    <x v="2"/>
    <x v="26"/>
    <x v="14"/>
    <x v="2"/>
    <x v="2"/>
  </r>
  <r>
    <x v="160"/>
    <x v="0"/>
    <x v="24"/>
    <x v="1"/>
    <x v="8"/>
    <x v="1"/>
    <x v="30"/>
    <x v="9"/>
    <x v="3"/>
    <x v="3"/>
  </r>
  <r>
    <x v="160"/>
    <x v="1"/>
    <x v="13"/>
    <x v="0"/>
    <x v="11"/>
    <x v="2"/>
    <x v="18"/>
    <x v="12"/>
    <x v="5"/>
    <x v="5"/>
  </r>
  <r>
    <x v="160"/>
    <x v="2"/>
    <x v="14"/>
    <x v="1"/>
    <x v="12"/>
    <x v="2"/>
    <x v="74"/>
    <x v="13"/>
    <x v="1"/>
    <x v="1"/>
  </r>
  <r>
    <x v="161"/>
    <x v="0"/>
    <x v="9"/>
    <x v="0"/>
    <x v="7"/>
    <x v="1"/>
    <x v="10"/>
    <x v="8"/>
    <x v="0"/>
    <x v="0"/>
  </r>
  <r>
    <x v="161"/>
    <x v="1"/>
    <x v="20"/>
    <x v="1"/>
    <x v="11"/>
    <x v="1"/>
    <x v="35"/>
    <x v="15"/>
    <x v="5"/>
    <x v="5"/>
  </r>
  <r>
    <x v="161"/>
    <x v="2"/>
    <x v="5"/>
    <x v="1"/>
    <x v="4"/>
    <x v="3"/>
    <x v="52"/>
    <x v="5"/>
    <x v="1"/>
    <x v="1"/>
  </r>
  <r>
    <x v="162"/>
    <x v="0"/>
    <x v="10"/>
    <x v="0"/>
    <x v="8"/>
    <x v="3"/>
    <x v="98"/>
    <x v="9"/>
    <x v="0"/>
    <x v="0"/>
  </r>
  <r>
    <x v="162"/>
    <x v="1"/>
    <x v="9"/>
    <x v="0"/>
    <x v="7"/>
    <x v="0"/>
    <x v="59"/>
    <x v="8"/>
    <x v="0"/>
    <x v="0"/>
  </r>
  <r>
    <x v="163"/>
    <x v="0"/>
    <x v="4"/>
    <x v="1"/>
    <x v="3"/>
    <x v="2"/>
    <x v="49"/>
    <x v="4"/>
    <x v="1"/>
    <x v="1"/>
  </r>
  <r>
    <x v="163"/>
    <x v="1"/>
    <x v="2"/>
    <x v="1"/>
    <x v="2"/>
    <x v="2"/>
    <x v="2"/>
    <x v="2"/>
    <x v="2"/>
    <x v="2"/>
  </r>
  <r>
    <x v="163"/>
    <x v="2"/>
    <x v="15"/>
    <x v="0"/>
    <x v="11"/>
    <x v="3"/>
    <x v="21"/>
    <x v="12"/>
    <x v="0"/>
    <x v="0"/>
  </r>
  <r>
    <x v="164"/>
    <x v="0"/>
    <x v="4"/>
    <x v="1"/>
    <x v="3"/>
    <x v="2"/>
    <x v="49"/>
    <x v="4"/>
    <x v="1"/>
    <x v="1"/>
  </r>
  <r>
    <x v="164"/>
    <x v="1"/>
    <x v="19"/>
    <x v="0"/>
    <x v="15"/>
    <x v="0"/>
    <x v="122"/>
    <x v="17"/>
    <x v="5"/>
    <x v="5"/>
  </r>
  <r>
    <x v="164"/>
    <x v="2"/>
    <x v="6"/>
    <x v="0"/>
    <x v="5"/>
    <x v="2"/>
    <x v="132"/>
    <x v="6"/>
    <x v="1"/>
    <x v="1"/>
  </r>
  <r>
    <x v="165"/>
    <x v="0"/>
    <x v="2"/>
    <x v="1"/>
    <x v="2"/>
    <x v="3"/>
    <x v="70"/>
    <x v="2"/>
    <x v="2"/>
    <x v="2"/>
  </r>
  <r>
    <x v="165"/>
    <x v="1"/>
    <x v="16"/>
    <x v="0"/>
    <x v="13"/>
    <x v="0"/>
    <x v="114"/>
    <x v="14"/>
    <x v="2"/>
    <x v="2"/>
  </r>
  <r>
    <x v="166"/>
    <x v="0"/>
    <x v="10"/>
    <x v="0"/>
    <x v="8"/>
    <x v="2"/>
    <x v="101"/>
    <x v="9"/>
    <x v="0"/>
    <x v="0"/>
  </r>
  <r>
    <x v="166"/>
    <x v="1"/>
    <x v="2"/>
    <x v="0"/>
    <x v="2"/>
    <x v="0"/>
    <x v="135"/>
    <x v="2"/>
    <x v="2"/>
    <x v="2"/>
  </r>
  <r>
    <x v="166"/>
    <x v="2"/>
    <x v="17"/>
    <x v="1"/>
    <x v="11"/>
    <x v="2"/>
    <x v="64"/>
    <x v="15"/>
    <x v="0"/>
    <x v="0"/>
  </r>
  <r>
    <x v="166"/>
    <x v="3"/>
    <x v="14"/>
    <x v="1"/>
    <x v="12"/>
    <x v="2"/>
    <x v="74"/>
    <x v="13"/>
    <x v="1"/>
    <x v="1"/>
  </r>
  <r>
    <x v="167"/>
    <x v="0"/>
    <x v="18"/>
    <x v="0"/>
    <x v="14"/>
    <x v="3"/>
    <x v="107"/>
    <x v="16"/>
    <x v="1"/>
    <x v="1"/>
  </r>
  <r>
    <x v="167"/>
    <x v="1"/>
    <x v="16"/>
    <x v="1"/>
    <x v="13"/>
    <x v="1"/>
    <x v="136"/>
    <x v="14"/>
    <x v="2"/>
    <x v="2"/>
  </r>
  <r>
    <x v="167"/>
    <x v="2"/>
    <x v="10"/>
    <x v="1"/>
    <x v="8"/>
    <x v="1"/>
    <x v="30"/>
    <x v="9"/>
    <x v="0"/>
    <x v="0"/>
  </r>
  <r>
    <x v="167"/>
    <x v="3"/>
    <x v="13"/>
    <x v="1"/>
    <x v="11"/>
    <x v="0"/>
    <x v="78"/>
    <x v="12"/>
    <x v="5"/>
    <x v="5"/>
  </r>
  <r>
    <x v="168"/>
    <x v="0"/>
    <x v="0"/>
    <x v="1"/>
    <x v="0"/>
    <x v="3"/>
    <x v="28"/>
    <x v="0"/>
    <x v="0"/>
    <x v="0"/>
  </r>
  <r>
    <x v="168"/>
    <x v="1"/>
    <x v="21"/>
    <x v="0"/>
    <x v="16"/>
    <x v="2"/>
    <x v="60"/>
    <x v="18"/>
    <x v="1"/>
    <x v="1"/>
  </r>
  <r>
    <x v="168"/>
    <x v="2"/>
    <x v="2"/>
    <x v="0"/>
    <x v="2"/>
    <x v="0"/>
    <x v="135"/>
    <x v="2"/>
    <x v="2"/>
    <x v="2"/>
  </r>
  <r>
    <x v="168"/>
    <x v="3"/>
    <x v="16"/>
    <x v="0"/>
    <x v="13"/>
    <x v="0"/>
    <x v="114"/>
    <x v="14"/>
    <x v="2"/>
    <x v="2"/>
  </r>
  <r>
    <x v="168"/>
    <x v="4"/>
    <x v="15"/>
    <x v="1"/>
    <x v="11"/>
    <x v="2"/>
    <x v="64"/>
    <x v="12"/>
    <x v="0"/>
    <x v="0"/>
  </r>
  <r>
    <x v="169"/>
    <x v="0"/>
    <x v="10"/>
    <x v="1"/>
    <x v="8"/>
    <x v="3"/>
    <x v="97"/>
    <x v="9"/>
    <x v="0"/>
    <x v="0"/>
  </r>
  <r>
    <x v="169"/>
    <x v="1"/>
    <x v="24"/>
    <x v="0"/>
    <x v="8"/>
    <x v="2"/>
    <x v="101"/>
    <x v="9"/>
    <x v="3"/>
    <x v="3"/>
  </r>
  <r>
    <x v="169"/>
    <x v="2"/>
    <x v="14"/>
    <x v="0"/>
    <x v="12"/>
    <x v="0"/>
    <x v="137"/>
    <x v="13"/>
    <x v="1"/>
    <x v="1"/>
  </r>
  <r>
    <x v="169"/>
    <x v="3"/>
    <x v="9"/>
    <x v="1"/>
    <x v="7"/>
    <x v="2"/>
    <x v="32"/>
    <x v="8"/>
    <x v="0"/>
    <x v="0"/>
  </r>
  <r>
    <x v="170"/>
    <x v="0"/>
    <x v="1"/>
    <x v="0"/>
    <x v="1"/>
    <x v="2"/>
    <x v="22"/>
    <x v="1"/>
    <x v="1"/>
    <x v="1"/>
  </r>
  <r>
    <x v="171"/>
    <x v="0"/>
    <x v="19"/>
    <x v="0"/>
    <x v="15"/>
    <x v="1"/>
    <x v="75"/>
    <x v="17"/>
    <x v="5"/>
    <x v="5"/>
  </r>
  <r>
    <x v="171"/>
    <x v="1"/>
    <x v="3"/>
    <x v="0"/>
    <x v="0"/>
    <x v="0"/>
    <x v="0"/>
    <x v="3"/>
    <x v="0"/>
    <x v="0"/>
  </r>
  <r>
    <x v="172"/>
    <x v="0"/>
    <x v="15"/>
    <x v="0"/>
    <x v="11"/>
    <x v="2"/>
    <x v="18"/>
    <x v="12"/>
    <x v="0"/>
    <x v="0"/>
  </r>
  <r>
    <x v="172"/>
    <x v="1"/>
    <x v="3"/>
    <x v="0"/>
    <x v="0"/>
    <x v="0"/>
    <x v="0"/>
    <x v="3"/>
    <x v="0"/>
    <x v="0"/>
  </r>
  <r>
    <x v="172"/>
    <x v="2"/>
    <x v="0"/>
    <x v="1"/>
    <x v="0"/>
    <x v="2"/>
    <x v="3"/>
    <x v="0"/>
    <x v="0"/>
    <x v="0"/>
  </r>
  <r>
    <x v="173"/>
    <x v="0"/>
    <x v="13"/>
    <x v="1"/>
    <x v="11"/>
    <x v="0"/>
    <x v="78"/>
    <x v="12"/>
    <x v="5"/>
    <x v="5"/>
  </r>
  <r>
    <x v="173"/>
    <x v="1"/>
    <x v="23"/>
    <x v="1"/>
    <x v="7"/>
    <x v="3"/>
    <x v="106"/>
    <x v="20"/>
    <x v="0"/>
    <x v="0"/>
  </r>
  <r>
    <x v="174"/>
    <x v="0"/>
    <x v="21"/>
    <x v="0"/>
    <x v="16"/>
    <x v="3"/>
    <x v="38"/>
    <x v="18"/>
    <x v="1"/>
    <x v="1"/>
  </r>
  <r>
    <x v="174"/>
    <x v="1"/>
    <x v="6"/>
    <x v="1"/>
    <x v="5"/>
    <x v="0"/>
    <x v="39"/>
    <x v="6"/>
    <x v="1"/>
    <x v="1"/>
  </r>
  <r>
    <x v="174"/>
    <x v="2"/>
    <x v="20"/>
    <x v="1"/>
    <x v="11"/>
    <x v="3"/>
    <x v="23"/>
    <x v="15"/>
    <x v="5"/>
    <x v="5"/>
  </r>
  <r>
    <x v="174"/>
    <x v="3"/>
    <x v="23"/>
    <x v="0"/>
    <x v="7"/>
    <x v="1"/>
    <x v="10"/>
    <x v="20"/>
    <x v="0"/>
    <x v="0"/>
  </r>
  <r>
    <x v="175"/>
    <x v="0"/>
    <x v="6"/>
    <x v="1"/>
    <x v="5"/>
    <x v="1"/>
    <x v="130"/>
    <x v="6"/>
    <x v="1"/>
    <x v="1"/>
  </r>
  <r>
    <x v="175"/>
    <x v="1"/>
    <x v="16"/>
    <x v="1"/>
    <x v="13"/>
    <x v="0"/>
    <x v="108"/>
    <x v="14"/>
    <x v="2"/>
    <x v="2"/>
  </r>
  <r>
    <x v="175"/>
    <x v="2"/>
    <x v="3"/>
    <x v="1"/>
    <x v="0"/>
    <x v="2"/>
    <x v="3"/>
    <x v="3"/>
    <x v="0"/>
    <x v="0"/>
  </r>
  <r>
    <x v="176"/>
    <x v="0"/>
    <x v="0"/>
    <x v="1"/>
    <x v="0"/>
    <x v="3"/>
    <x v="28"/>
    <x v="0"/>
    <x v="0"/>
    <x v="0"/>
  </r>
  <r>
    <x v="177"/>
    <x v="0"/>
    <x v="2"/>
    <x v="1"/>
    <x v="2"/>
    <x v="0"/>
    <x v="54"/>
    <x v="2"/>
    <x v="2"/>
    <x v="2"/>
  </r>
  <r>
    <x v="177"/>
    <x v="1"/>
    <x v="10"/>
    <x v="0"/>
    <x v="8"/>
    <x v="2"/>
    <x v="101"/>
    <x v="9"/>
    <x v="0"/>
    <x v="0"/>
  </r>
  <r>
    <x v="177"/>
    <x v="2"/>
    <x v="5"/>
    <x v="0"/>
    <x v="4"/>
    <x v="3"/>
    <x v="16"/>
    <x v="5"/>
    <x v="1"/>
    <x v="1"/>
  </r>
  <r>
    <x v="177"/>
    <x v="3"/>
    <x v="9"/>
    <x v="0"/>
    <x v="7"/>
    <x v="1"/>
    <x v="10"/>
    <x v="8"/>
    <x v="0"/>
    <x v="0"/>
  </r>
  <r>
    <x v="178"/>
    <x v="0"/>
    <x v="17"/>
    <x v="1"/>
    <x v="11"/>
    <x v="2"/>
    <x v="64"/>
    <x v="15"/>
    <x v="0"/>
    <x v="0"/>
  </r>
  <r>
    <x v="178"/>
    <x v="1"/>
    <x v="8"/>
    <x v="0"/>
    <x v="0"/>
    <x v="3"/>
    <x v="12"/>
    <x v="3"/>
    <x v="3"/>
    <x v="3"/>
  </r>
  <r>
    <x v="178"/>
    <x v="2"/>
    <x v="9"/>
    <x v="0"/>
    <x v="7"/>
    <x v="0"/>
    <x v="59"/>
    <x v="8"/>
    <x v="0"/>
    <x v="0"/>
  </r>
  <r>
    <x v="178"/>
    <x v="3"/>
    <x v="10"/>
    <x v="1"/>
    <x v="8"/>
    <x v="0"/>
    <x v="118"/>
    <x v="9"/>
    <x v="0"/>
    <x v="0"/>
  </r>
  <r>
    <x v="178"/>
    <x v="4"/>
    <x v="0"/>
    <x v="1"/>
    <x v="0"/>
    <x v="3"/>
    <x v="28"/>
    <x v="0"/>
    <x v="0"/>
    <x v="0"/>
  </r>
  <r>
    <x v="179"/>
    <x v="0"/>
    <x v="3"/>
    <x v="0"/>
    <x v="0"/>
    <x v="1"/>
    <x v="5"/>
    <x v="3"/>
    <x v="0"/>
    <x v="0"/>
  </r>
  <r>
    <x v="180"/>
    <x v="0"/>
    <x v="2"/>
    <x v="0"/>
    <x v="2"/>
    <x v="2"/>
    <x v="99"/>
    <x v="2"/>
    <x v="2"/>
    <x v="2"/>
  </r>
  <r>
    <x v="180"/>
    <x v="1"/>
    <x v="16"/>
    <x v="0"/>
    <x v="13"/>
    <x v="3"/>
    <x v="86"/>
    <x v="14"/>
    <x v="2"/>
    <x v="2"/>
  </r>
  <r>
    <x v="180"/>
    <x v="2"/>
    <x v="12"/>
    <x v="1"/>
    <x v="10"/>
    <x v="0"/>
    <x v="48"/>
    <x v="11"/>
    <x v="0"/>
    <x v="0"/>
  </r>
  <r>
    <x v="180"/>
    <x v="3"/>
    <x v="24"/>
    <x v="1"/>
    <x v="8"/>
    <x v="2"/>
    <x v="11"/>
    <x v="9"/>
    <x v="3"/>
    <x v="3"/>
  </r>
  <r>
    <x v="181"/>
    <x v="0"/>
    <x v="22"/>
    <x v="1"/>
    <x v="17"/>
    <x v="2"/>
    <x v="41"/>
    <x v="19"/>
    <x v="3"/>
    <x v="3"/>
  </r>
  <r>
    <x v="181"/>
    <x v="1"/>
    <x v="24"/>
    <x v="1"/>
    <x v="8"/>
    <x v="1"/>
    <x v="30"/>
    <x v="9"/>
    <x v="3"/>
    <x v="3"/>
  </r>
  <r>
    <x v="182"/>
    <x v="0"/>
    <x v="16"/>
    <x v="1"/>
    <x v="13"/>
    <x v="0"/>
    <x v="108"/>
    <x v="14"/>
    <x v="2"/>
    <x v="2"/>
  </r>
  <r>
    <x v="182"/>
    <x v="1"/>
    <x v="10"/>
    <x v="1"/>
    <x v="8"/>
    <x v="2"/>
    <x v="11"/>
    <x v="9"/>
    <x v="0"/>
    <x v="0"/>
  </r>
  <r>
    <x v="182"/>
    <x v="2"/>
    <x v="23"/>
    <x v="0"/>
    <x v="7"/>
    <x v="1"/>
    <x v="10"/>
    <x v="20"/>
    <x v="0"/>
    <x v="0"/>
  </r>
  <r>
    <x v="182"/>
    <x v="3"/>
    <x v="7"/>
    <x v="0"/>
    <x v="6"/>
    <x v="1"/>
    <x v="9"/>
    <x v="7"/>
    <x v="0"/>
    <x v="0"/>
  </r>
  <r>
    <x v="183"/>
    <x v="0"/>
    <x v="4"/>
    <x v="0"/>
    <x v="3"/>
    <x v="0"/>
    <x v="4"/>
    <x v="4"/>
    <x v="1"/>
    <x v="1"/>
  </r>
  <r>
    <x v="183"/>
    <x v="1"/>
    <x v="21"/>
    <x v="0"/>
    <x v="16"/>
    <x v="3"/>
    <x v="38"/>
    <x v="18"/>
    <x v="1"/>
    <x v="1"/>
  </r>
  <r>
    <x v="183"/>
    <x v="2"/>
    <x v="15"/>
    <x v="0"/>
    <x v="11"/>
    <x v="3"/>
    <x v="21"/>
    <x v="12"/>
    <x v="0"/>
    <x v="0"/>
  </r>
  <r>
    <x v="184"/>
    <x v="0"/>
    <x v="0"/>
    <x v="0"/>
    <x v="0"/>
    <x v="3"/>
    <x v="12"/>
    <x v="0"/>
    <x v="0"/>
    <x v="0"/>
  </r>
  <r>
    <x v="184"/>
    <x v="1"/>
    <x v="1"/>
    <x v="0"/>
    <x v="1"/>
    <x v="2"/>
    <x v="22"/>
    <x v="1"/>
    <x v="1"/>
    <x v="1"/>
  </r>
  <r>
    <x v="185"/>
    <x v="0"/>
    <x v="4"/>
    <x v="0"/>
    <x v="3"/>
    <x v="3"/>
    <x v="66"/>
    <x v="4"/>
    <x v="1"/>
    <x v="1"/>
  </r>
  <r>
    <x v="185"/>
    <x v="1"/>
    <x v="18"/>
    <x v="0"/>
    <x v="14"/>
    <x v="3"/>
    <x v="107"/>
    <x v="16"/>
    <x v="1"/>
    <x v="1"/>
  </r>
  <r>
    <x v="186"/>
    <x v="0"/>
    <x v="21"/>
    <x v="0"/>
    <x v="16"/>
    <x v="2"/>
    <x v="60"/>
    <x v="18"/>
    <x v="1"/>
    <x v="1"/>
  </r>
  <r>
    <x v="187"/>
    <x v="0"/>
    <x v="14"/>
    <x v="1"/>
    <x v="12"/>
    <x v="1"/>
    <x v="102"/>
    <x v="13"/>
    <x v="1"/>
    <x v="1"/>
  </r>
  <r>
    <x v="188"/>
    <x v="0"/>
    <x v="3"/>
    <x v="1"/>
    <x v="0"/>
    <x v="0"/>
    <x v="24"/>
    <x v="3"/>
    <x v="0"/>
    <x v="0"/>
  </r>
  <r>
    <x v="189"/>
    <x v="0"/>
    <x v="24"/>
    <x v="0"/>
    <x v="8"/>
    <x v="2"/>
    <x v="101"/>
    <x v="9"/>
    <x v="3"/>
    <x v="3"/>
  </r>
  <r>
    <x v="189"/>
    <x v="1"/>
    <x v="12"/>
    <x v="0"/>
    <x v="10"/>
    <x v="0"/>
    <x v="103"/>
    <x v="11"/>
    <x v="0"/>
    <x v="0"/>
  </r>
  <r>
    <x v="189"/>
    <x v="2"/>
    <x v="5"/>
    <x v="1"/>
    <x v="4"/>
    <x v="0"/>
    <x v="73"/>
    <x v="5"/>
    <x v="1"/>
    <x v="1"/>
  </r>
  <r>
    <x v="190"/>
    <x v="0"/>
    <x v="22"/>
    <x v="0"/>
    <x v="17"/>
    <x v="2"/>
    <x v="111"/>
    <x v="19"/>
    <x v="3"/>
    <x v="3"/>
  </r>
  <r>
    <x v="190"/>
    <x v="1"/>
    <x v="10"/>
    <x v="1"/>
    <x v="8"/>
    <x v="0"/>
    <x v="118"/>
    <x v="9"/>
    <x v="0"/>
    <x v="0"/>
  </r>
  <r>
    <x v="190"/>
    <x v="2"/>
    <x v="5"/>
    <x v="0"/>
    <x v="4"/>
    <x v="1"/>
    <x v="133"/>
    <x v="5"/>
    <x v="1"/>
    <x v="1"/>
  </r>
  <r>
    <x v="190"/>
    <x v="3"/>
    <x v="1"/>
    <x v="1"/>
    <x v="1"/>
    <x v="2"/>
    <x v="134"/>
    <x v="1"/>
    <x v="1"/>
    <x v="1"/>
  </r>
  <r>
    <x v="190"/>
    <x v="4"/>
    <x v="19"/>
    <x v="0"/>
    <x v="15"/>
    <x v="2"/>
    <x v="115"/>
    <x v="17"/>
    <x v="5"/>
    <x v="5"/>
  </r>
  <r>
    <x v="191"/>
    <x v="0"/>
    <x v="1"/>
    <x v="1"/>
    <x v="1"/>
    <x v="3"/>
    <x v="96"/>
    <x v="1"/>
    <x v="1"/>
    <x v="1"/>
  </r>
  <r>
    <x v="191"/>
    <x v="1"/>
    <x v="22"/>
    <x v="0"/>
    <x v="17"/>
    <x v="1"/>
    <x v="88"/>
    <x v="19"/>
    <x v="3"/>
    <x v="3"/>
  </r>
  <r>
    <x v="191"/>
    <x v="2"/>
    <x v="6"/>
    <x v="0"/>
    <x v="5"/>
    <x v="2"/>
    <x v="132"/>
    <x v="6"/>
    <x v="1"/>
    <x v="1"/>
  </r>
  <r>
    <x v="191"/>
    <x v="3"/>
    <x v="24"/>
    <x v="1"/>
    <x v="8"/>
    <x v="1"/>
    <x v="30"/>
    <x v="9"/>
    <x v="3"/>
    <x v="3"/>
  </r>
  <r>
    <x v="191"/>
    <x v="4"/>
    <x v="2"/>
    <x v="1"/>
    <x v="2"/>
    <x v="0"/>
    <x v="54"/>
    <x v="2"/>
    <x v="2"/>
    <x v="2"/>
  </r>
  <r>
    <x v="192"/>
    <x v="0"/>
    <x v="10"/>
    <x v="1"/>
    <x v="8"/>
    <x v="3"/>
    <x v="97"/>
    <x v="9"/>
    <x v="0"/>
    <x v="0"/>
  </r>
  <r>
    <x v="193"/>
    <x v="0"/>
    <x v="20"/>
    <x v="1"/>
    <x v="11"/>
    <x v="0"/>
    <x v="78"/>
    <x v="15"/>
    <x v="5"/>
    <x v="5"/>
  </r>
  <r>
    <x v="194"/>
    <x v="0"/>
    <x v="9"/>
    <x v="0"/>
    <x v="7"/>
    <x v="0"/>
    <x v="59"/>
    <x v="8"/>
    <x v="0"/>
    <x v="0"/>
  </r>
  <r>
    <x v="194"/>
    <x v="1"/>
    <x v="15"/>
    <x v="0"/>
    <x v="11"/>
    <x v="2"/>
    <x v="18"/>
    <x v="12"/>
    <x v="0"/>
    <x v="0"/>
  </r>
  <r>
    <x v="194"/>
    <x v="2"/>
    <x v="21"/>
    <x v="1"/>
    <x v="16"/>
    <x v="0"/>
    <x v="95"/>
    <x v="18"/>
    <x v="1"/>
    <x v="1"/>
  </r>
  <r>
    <x v="194"/>
    <x v="3"/>
    <x v="4"/>
    <x v="1"/>
    <x v="3"/>
    <x v="0"/>
    <x v="84"/>
    <x v="4"/>
    <x v="1"/>
    <x v="1"/>
  </r>
  <r>
    <x v="194"/>
    <x v="4"/>
    <x v="20"/>
    <x v="1"/>
    <x v="11"/>
    <x v="3"/>
    <x v="23"/>
    <x v="15"/>
    <x v="5"/>
    <x v="5"/>
  </r>
  <r>
    <x v="195"/>
    <x v="0"/>
    <x v="18"/>
    <x v="0"/>
    <x v="14"/>
    <x v="2"/>
    <x v="62"/>
    <x v="16"/>
    <x v="1"/>
    <x v="1"/>
  </r>
  <r>
    <x v="195"/>
    <x v="1"/>
    <x v="5"/>
    <x v="1"/>
    <x v="4"/>
    <x v="1"/>
    <x v="13"/>
    <x v="5"/>
    <x v="1"/>
    <x v="1"/>
  </r>
  <r>
    <x v="195"/>
    <x v="2"/>
    <x v="2"/>
    <x v="1"/>
    <x v="2"/>
    <x v="1"/>
    <x v="46"/>
    <x v="2"/>
    <x v="2"/>
    <x v="2"/>
  </r>
  <r>
    <x v="195"/>
    <x v="3"/>
    <x v="10"/>
    <x v="0"/>
    <x v="8"/>
    <x v="1"/>
    <x v="77"/>
    <x v="9"/>
    <x v="0"/>
    <x v="0"/>
  </r>
  <r>
    <x v="195"/>
    <x v="4"/>
    <x v="0"/>
    <x v="0"/>
    <x v="0"/>
    <x v="3"/>
    <x v="12"/>
    <x v="0"/>
    <x v="0"/>
    <x v="0"/>
  </r>
  <r>
    <x v="196"/>
    <x v="0"/>
    <x v="4"/>
    <x v="1"/>
    <x v="3"/>
    <x v="0"/>
    <x v="84"/>
    <x v="4"/>
    <x v="1"/>
    <x v="1"/>
  </r>
  <r>
    <x v="196"/>
    <x v="1"/>
    <x v="6"/>
    <x v="1"/>
    <x v="5"/>
    <x v="1"/>
    <x v="130"/>
    <x v="6"/>
    <x v="1"/>
    <x v="1"/>
  </r>
  <r>
    <x v="197"/>
    <x v="0"/>
    <x v="18"/>
    <x v="1"/>
    <x v="14"/>
    <x v="2"/>
    <x v="124"/>
    <x v="16"/>
    <x v="1"/>
    <x v="1"/>
  </r>
  <r>
    <x v="197"/>
    <x v="1"/>
    <x v="0"/>
    <x v="1"/>
    <x v="0"/>
    <x v="1"/>
    <x v="19"/>
    <x v="0"/>
    <x v="0"/>
    <x v="0"/>
  </r>
  <r>
    <x v="197"/>
    <x v="2"/>
    <x v="1"/>
    <x v="1"/>
    <x v="1"/>
    <x v="0"/>
    <x v="82"/>
    <x v="1"/>
    <x v="1"/>
    <x v="1"/>
  </r>
  <r>
    <x v="197"/>
    <x v="3"/>
    <x v="17"/>
    <x v="1"/>
    <x v="11"/>
    <x v="2"/>
    <x v="64"/>
    <x v="15"/>
    <x v="0"/>
    <x v="0"/>
  </r>
  <r>
    <x v="197"/>
    <x v="4"/>
    <x v="7"/>
    <x v="0"/>
    <x v="6"/>
    <x v="2"/>
    <x v="113"/>
    <x v="7"/>
    <x v="0"/>
    <x v="0"/>
  </r>
  <r>
    <x v="198"/>
    <x v="0"/>
    <x v="22"/>
    <x v="1"/>
    <x v="17"/>
    <x v="2"/>
    <x v="41"/>
    <x v="19"/>
    <x v="3"/>
    <x v="3"/>
  </r>
  <r>
    <x v="198"/>
    <x v="1"/>
    <x v="9"/>
    <x v="1"/>
    <x v="7"/>
    <x v="1"/>
    <x v="53"/>
    <x v="8"/>
    <x v="0"/>
    <x v="0"/>
  </r>
  <r>
    <x v="198"/>
    <x v="2"/>
    <x v="4"/>
    <x v="0"/>
    <x v="3"/>
    <x v="0"/>
    <x v="4"/>
    <x v="4"/>
    <x v="1"/>
    <x v="1"/>
  </r>
  <r>
    <x v="199"/>
    <x v="0"/>
    <x v="19"/>
    <x v="1"/>
    <x v="15"/>
    <x v="2"/>
    <x v="89"/>
    <x v="17"/>
    <x v="5"/>
    <x v="5"/>
  </r>
  <r>
    <x v="199"/>
    <x v="1"/>
    <x v="13"/>
    <x v="1"/>
    <x v="11"/>
    <x v="1"/>
    <x v="35"/>
    <x v="12"/>
    <x v="5"/>
    <x v="5"/>
  </r>
  <r>
    <x v="200"/>
    <x v="0"/>
    <x v="24"/>
    <x v="0"/>
    <x v="8"/>
    <x v="2"/>
    <x v="101"/>
    <x v="9"/>
    <x v="3"/>
    <x v="3"/>
  </r>
  <r>
    <x v="200"/>
    <x v="1"/>
    <x v="14"/>
    <x v="0"/>
    <x v="12"/>
    <x v="0"/>
    <x v="137"/>
    <x v="13"/>
    <x v="1"/>
    <x v="1"/>
  </r>
  <r>
    <x v="200"/>
    <x v="2"/>
    <x v="15"/>
    <x v="1"/>
    <x v="11"/>
    <x v="3"/>
    <x v="23"/>
    <x v="12"/>
    <x v="0"/>
    <x v="0"/>
  </r>
  <r>
    <x v="200"/>
    <x v="3"/>
    <x v="7"/>
    <x v="0"/>
    <x v="6"/>
    <x v="2"/>
    <x v="113"/>
    <x v="7"/>
    <x v="0"/>
    <x v="0"/>
  </r>
  <r>
    <x v="201"/>
    <x v="0"/>
    <x v="1"/>
    <x v="0"/>
    <x v="1"/>
    <x v="1"/>
    <x v="31"/>
    <x v="1"/>
    <x v="1"/>
    <x v="1"/>
  </r>
  <r>
    <x v="201"/>
    <x v="1"/>
    <x v="7"/>
    <x v="0"/>
    <x v="6"/>
    <x v="2"/>
    <x v="113"/>
    <x v="7"/>
    <x v="0"/>
    <x v="0"/>
  </r>
  <r>
    <x v="201"/>
    <x v="2"/>
    <x v="12"/>
    <x v="1"/>
    <x v="10"/>
    <x v="2"/>
    <x v="94"/>
    <x v="11"/>
    <x v="0"/>
    <x v="0"/>
  </r>
  <r>
    <x v="201"/>
    <x v="3"/>
    <x v="22"/>
    <x v="1"/>
    <x v="17"/>
    <x v="2"/>
    <x v="41"/>
    <x v="19"/>
    <x v="3"/>
    <x v="3"/>
  </r>
  <r>
    <x v="202"/>
    <x v="0"/>
    <x v="8"/>
    <x v="0"/>
    <x v="0"/>
    <x v="2"/>
    <x v="7"/>
    <x v="3"/>
    <x v="3"/>
    <x v="3"/>
  </r>
  <r>
    <x v="202"/>
    <x v="1"/>
    <x v="5"/>
    <x v="1"/>
    <x v="4"/>
    <x v="3"/>
    <x v="52"/>
    <x v="5"/>
    <x v="1"/>
    <x v="1"/>
  </r>
  <r>
    <x v="202"/>
    <x v="2"/>
    <x v="7"/>
    <x v="1"/>
    <x v="6"/>
    <x v="0"/>
    <x v="71"/>
    <x v="7"/>
    <x v="0"/>
    <x v="0"/>
  </r>
  <r>
    <x v="202"/>
    <x v="3"/>
    <x v="23"/>
    <x v="1"/>
    <x v="7"/>
    <x v="1"/>
    <x v="53"/>
    <x v="20"/>
    <x v="0"/>
    <x v="0"/>
  </r>
  <r>
    <x v="203"/>
    <x v="0"/>
    <x v="18"/>
    <x v="1"/>
    <x v="14"/>
    <x v="1"/>
    <x v="138"/>
    <x v="16"/>
    <x v="1"/>
    <x v="1"/>
  </r>
  <r>
    <x v="203"/>
    <x v="1"/>
    <x v="7"/>
    <x v="1"/>
    <x v="6"/>
    <x v="3"/>
    <x v="17"/>
    <x v="7"/>
    <x v="0"/>
    <x v="0"/>
  </r>
  <r>
    <x v="204"/>
    <x v="0"/>
    <x v="13"/>
    <x v="1"/>
    <x v="11"/>
    <x v="2"/>
    <x v="64"/>
    <x v="12"/>
    <x v="5"/>
    <x v="5"/>
  </r>
  <r>
    <x v="204"/>
    <x v="1"/>
    <x v="24"/>
    <x v="1"/>
    <x v="8"/>
    <x v="3"/>
    <x v="97"/>
    <x v="9"/>
    <x v="3"/>
    <x v="3"/>
  </r>
  <r>
    <x v="205"/>
    <x v="0"/>
    <x v="22"/>
    <x v="0"/>
    <x v="17"/>
    <x v="2"/>
    <x v="111"/>
    <x v="19"/>
    <x v="3"/>
    <x v="3"/>
  </r>
  <r>
    <x v="205"/>
    <x v="1"/>
    <x v="0"/>
    <x v="0"/>
    <x v="0"/>
    <x v="0"/>
    <x v="0"/>
    <x v="0"/>
    <x v="0"/>
    <x v="0"/>
  </r>
  <r>
    <x v="206"/>
    <x v="0"/>
    <x v="10"/>
    <x v="1"/>
    <x v="8"/>
    <x v="0"/>
    <x v="118"/>
    <x v="9"/>
    <x v="0"/>
    <x v="0"/>
  </r>
  <r>
    <x v="206"/>
    <x v="1"/>
    <x v="21"/>
    <x v="0"/>
    <x v="16"/>
    <x v="2"/>
    <x v="60"/>
    <x v="18"/>
    <x v="1"/>
    <x v="1"/>
  </r>
  <r>
    <x v="206"/>
    <x v="2"/>
    <x v="16"/>
    <x v="1"/>
    <x v="13"/>
    <x v="1"/>
    <x v="136"/>
    <x v="14"/>
    <x v="2"/>
    <x v="2"/>
  </r>
  <r>
    <x v="206"/>
    <x v="3"/>
    <x v="14"/>
    <x v="1"/>
    <x v="12"/>
    <x v="3"/>
    <x v="20"/>
    <x v="13"/>
    <x v="1"/>
    <x v="1"/>
  </r>
  <r>
    <x v="207"/>
    <x v="0"/>
    <x v="18"/>
    <x v="1"/>
    <x v="14"/>
    <x v="2"/>
    <x v="124"/>
    <x v="16"/>
    <x v="1"/>
    <x v="1"/>
  </r>
  <r>
    <x v="207"/>
    <x v="1"/>
    <x v="4"/>
    <x v="1"/>
    <x v="3"/>
    <x v="1"/>
    <x v="127"/>
    <x v="4"/>
    <x v="1"/>
    <x v="1"/>
  </r>
  <r>
    <x v="207"/>
    <x v="2"/>
    <x v="5"/>
    <x v="0"/>
    <x v="4"/>
    <x v="2"/>
    <x v="6"/>
    <x v="5"/>
    <x v="1"/>
    <x v="1"/>
  </r>
  <r>
    <x v="207"/>
    <x v="3"/>
    <x v="10"/>
    <x v="0"/>
    <x v="8"/>
    <x v="0"/>
    <x v="57"/>
    <x v="9"/>
    <x v="0"/>
    <x v="0"/>
  </r>
  <r>
    <x v="207"/>
    <x v="4"/>
    <x v="2"/>
    <x v="1"/>
    <x v="2"/>
    <x v="2"/>
    <x v="2"/>
    <x v="2"/>
    <x v="2"/>
    <x v="2"/>
  </r>
  <r>
    <x v="208"/>
    <x v="0"/>
    <x v="17"/>
    <x v="0"/>
    <x v="11"/>
    <x v="3"/>
    <x v="21"/>
    <x v="15"/>
    <x v="0"/>
    <x v="0"/>
  </r>
  <r>
    <x v="209"/>
    <x v="0"/>
    <x v="15"/>
    <x v="0"/>
    <x v="11"/>
    <x v="1"/>
    <x v="36"/>
    <x v="12"/>
    <x v="0"/>
    <x v="0"/>
  </r>
  <r>
    <x v="209"/>
    <x v="1"/>
    <x v="17"/>
    <x v="1"/>
    <x v="11"/>
    <x v="0"/>
    <x v="78"/>
    <x v="15"/>
    <x v="0"/>
    <x v="0"/>
  </r>
  <r>
    <x v="210"/>
    <x v="0"/>
    <x v="2"/>
    <x v="0"/>
    <x v="2"/>
    <x v="1"/>
    <x v="43"/>
    <x v="2"/>
    <x v="2"/>
    <x v="2"/>
  </r>
  <r>
    <x v="210"/>
    <x v="1"/>
    <x v="6"/>
    <x v="1"/>
    <x v="5"/>
    <x v="1"/>
    <x v="130"/>
    <x v="6"/>
    <x v="1"/>
    <x v="1"/>
  </r>
  <r>
    <x v="211"/>
    <x v="0"/>
    <x v="3"/>
    <x v="1"/>
    <x v="0"/>
    <x v="1"/>
    <x v="19"/>
    <x v="3"/>
    <x v="0"/>
    <x v="0"/>
  </r>
  <r>
    <x v="211"/>
    <x v="1"/>
    <x v="10"/>
    <x v="1"/>
    <x v="8"/>
    <x v="0"/>
    <x v="118"/>
    <x v="9"/>
    <x v="0"/>
    <x v="0"/>
  </r>
  <r>
    <x v="211"/>
    <x v="2"/>
    <x v="23"/>
    <x v="0"/>
    <x v="7"/>
    <x v="3"/>
    <x v="65"/>
    <x v="20"/>
    <x v="0"/>
    <x v="0"/>
  </r>
  <r>
    <x v="211"/>
    <x v="3"/>
    <x v="14"/>
    <x v="0"/>
    <x v="12"/>
    <x v="0"/>
    <x v="137"/>
    <x v="13"/>
    <x v="1"/>
    <x v="1"/>
  </r>
  <r>
    <x v="212"/>
    <x v="0"/>
    <x v="17"/>
    <x v="0"/>
    <x v="11"/>
    <x v="3"/>
    <x v="21"/>
    <x v="15"/>
    <x v="0"/>
    <x v="0"/>
  </r>
  <r>
    <x v="213"/>
    <x v="0"/>
    <x v="20"/>
    <x v="0"/>
    <x v="11"/>
    <x v="3"/>
    <x v="21"/>
    <x v="15"/>
    <x v="5"/>
    <x v="5"/>
  </r>
  <r>
    <x v="214"/>
    <x v="0"/>
    <x v="23"/>
    <x v="0"/>
    <x v="7"/>
    <x v="1"/>
    <x v="10"/>
    <x v="20"/>
    <x v="0"/>
    <x v="0"/>
  </r>
  <r>
    <x v="214"/>
    <x v="1"/>
    <x v="10"/>
    <x v="1"/>
    <x v="8"/>
    <x v="3"/>
    <x v="97"/>
    <x v="9"/>
    <x v="0"/>
    <x v="0"/>
  </r>
  <r>
    <x v="215"/>
    <x v="0"/>
    <x v="13"/>
    <x v="1"/>
    <x v="11"/>
    <x v="3"/>
    <x v="23"/>
    <x v="12"/>
    <x v="5"/>
    <x v="5"/>
  </r>
  <r>
    <x v="215"/>
    <x v="1"/>
    <x v="3"/>
    <x v="1"/>
    <x v="0"/>
    <x v="2"/>
    <x v="3"/>
    <x v="3"/>
    <x v="0"/>
    <x v="0"/>
  </r>
  <r>
    <x v="216"/>
    <x v="0"/>
    <x v="9"/>
    <x v="0"/>
    <x v="7"/>
    <x v="3"/>
    <x v="65"/>
    <x v="8"/>
    <x v="0"/>
    <x v="0"/>
  </r>
  <r>
    <x v="216"/>
    <x v="1"/>
    <x v="2"/>
    <x v="1"/>
    <x v="2"/>
    <x v="3"/>
    <x v="70"/>
    <x v="2"/>
    <x v="2"/>
    <x v="2"/>
  </r>
  <r>
    <x v="216"/>
    <x v="2"/>
    <x v="7"/>
    <x v="0"/>
    <x v="6"/>
    <x v="1"/>
    <x v="9"/>
    <x v="7"/>
    <x v="0"/>
    <x v="0"/>
  </r>
  <r>
    <x v="217"/>
    <x v="0"/>
    <x v="6"/>
    <x v="1"/>
    <x v="5"/>
    <x v="3"/>
    <x v="8"/>
    <x v="6"/>
    <x v="1"/>
    <x v="1"/>
  </r>
  <r>
    <x v="217"/>
    <x v="1"/>
    <x v="17"/>
    <x v="0"/>
    <x v="11"/>
    <x v="1"/>
    <x v="36"/>
    <x v="15"/>
    <x v="0"/>
    <x v="0"/>
  </r>
  <r>
    <x v="217"/>
    <x v="2"/>
    <x v="10"/>
    <x v="0"/>
    <x v="8"/>
    <x v="2"/>
    <x v="101"/>
    <x v="9"/>
    <x v="0"/>
    <x v="0"/>
  </r>
  <r>
    <x v="218"/>
    <x v="0"/>
    <x v="8"/>
    <x v="0"/>
    <x v="0"/>
    <x v="2"/>
    <x v="7"/>
    <x v="3"/>
    <x v="3"/>
    <x v="3"/>
  </r>
  <r>
    <x v="218"/>
    <x v="1"/>
    <x v="21"/>
    <x v="0"/>
    <x v="16"/>
    <x v="0"/>
    <x v="58"/>
    <x v="18"/>
    <x v="1"/>
    <x v="1"/>
  </r>
  <r>
    <x v="219"/>
    <x v="0"/>
    <x v="18"/>
    <x v="1"/>
    <x v="14"/>
    <x v="2"/>
    <x v="124"/>
    <x v="16"/>
    <x v="1"/>
    <x v="1"/>
  </r>
  <r>
    <x v="219"/>
    <x v="1"/>
    <x v="22"/>
    <x v="0"/>
    <x v="17"/>
    <x v="1"/>
    <x v="88"/>
    <x v="19"/>
    <x v="3"/>
    <x v="3"/>
  </r>
  <r>
    <x v="219"/>
    <x v="2"/>
    <x v="13"/>
    <x v="1"/>
    <x v="11"/>
    <x v="3"/>
    <x v="23"/>
    <x v="12"/>
    <x v="5"/>
    <x v="5"/>
  </r>
  <r>
    <x v="219"/>
    <x v="3"/>
    <x v="5"/>
    <x v="1"/>
    <x v="4"/>
    <x v="0"/>
    <x v="73"/>
    <x v="5"/>
    <x v="1"/>
    <x v="1"/>
  </r>
  <r>
    <x v="220"/>
    <x v="0"/>
    <x v="16"/>
    <x v="1"/>
    <x v="13"/>
    <x v="1"/>
    <x v="136"/>
    <x v="14"/>
    <x v="2"/>
    <x v="2"/>
  </r>
  <r>
    <x v="221"/>
    <x v="0"/>
    <x v="2"/>
    <x v="0"/>
    <x v="2"/>
    <x v="3"/>
    <x v="139"/>
    <x v="2"/>
    <x v="2"/>
    <x v="2"/>
  </r>
  <r>
    <x v="221"/>
    <x v="1"/>
    <x v="6"/>
    <x v="1"/>
    <x v="5"/>
    <x v="3"/>
    <x v="8"/>
    <x v="6"/>
    <x v="1"/>
    <x v="1"/>
  </r>
  <r>
    <x v="222"/>
    <x v="0"/>
    <x v="14"/>
    <x v="1"/>
    <x v="12"/>
    <x v="2"/>
    <x v="74"/>
    <x v="13"/>
    <x v="1"/>
    <x v="1"/>
  </r>
  <r>
    <x v="222"/>
    <x v="1"/>
    <x v="21"/>
    <x v="0"/>
    <x v="16"/>
    <x v="0"/>
    <x v="58"/>
    <x v="18"/>
    <x v="1"/>
    <x v="1"/>
  </r>
  <r>
    <x v="222"/>
    <x v="2"/>
    <x v="20"/>
    <x v="1"/>
    <x v="11"/>
    <x v="3"/>
    <x v="23"/>
    <x v="15"/>
    <x v="5"/>
    <x v="5"/>
  </r>
  <r>
    <x v="222"/>
    <x v="3"/>
    <x v="0"/>
    <x v="0"/>
    <x v="0"/>
    <x v="2"/>
    <x v="7"/>
    <x v="0"/>
    <x v="0"/>
    <x v="0"/>
  </r>
  <r>
    <x v="222"/>
    <x v="4"/>
    <x v="12"/>
    <x v="0"/>
    <x v="10"/>
    <x v="2"/>
    <x v="119"/>
    <x v="11"/>
    <x v="0"/>
    <x v="0"/>
  </r>
  <r>
    <x v="223"/>
    <x v="0"/>
    <x v="18"/>
    <x v="0"/>
    <x v="14"/>
    <x v="1"/>
    <x v="29"/>
    <x v="16"/>
    <x v="1"/>
    <x v="1"/>
  </r>
  <r>
    <x v="223"/>
    <x v="1"/>
    <x v="16"/>
    <x v="1"/>
    <x v="13"/>
    <x v="3"/>
    <x v="104"/>
    <x v="14"/>
    <x v="2"/>
    <x v="2"/>
  </r>
  <r>
    <x v="223"/>
    <x v="2"/>
    <x v="2"/>
    <x v="1"/>
    <x v="2"/>
    <x v="0"/>
    <x v="54"/>
    <x v="2"/>
    <x v="2"/>
    <x v="2"/>
  </r>
  <r>
    <x v="223"/>
    <x v="3"/>
    <x v="22"/>
    <x v="0"/>
    <x v="17"/>
    <x v="2"/>
    <x v="111"/>
    <x v="19"/>
    <x v="3"/>
    <x v="3"/>
  </r>
  <r>
    <x v="224"/>
    <x v="0"/>
    <x v="20"/>
    <x v="0"/>
    <x v="11"/>
    <x v="3"/>
    <x v="21"/>
    <x v="15"/>
    <x v="5"/>
    <x v="5"/>
  </r>
  <r>
    <x v="224"/>
    <x v="1"/>
    <x v="11"/>
    <x v="0"/>
    <x v="9"/>
    <x v="3"/>
    <x v="128"/>
    <x v="10"/>
    <x v="4"/>
    <x v="4"/>
  </r>
  <r>
    <x v="225"/>
    <x v="0"/>
    <x v="6"/>
    <x v="0"/>
    <x v="5"/>
    <x v="2"/>
    <x v="132"/>
    <x v="6"/>
    <x v="1"/>
    <x v="1"/>
  </r>
  <r>
    <x v="226"/>
    <x v="0"/>
    <x v="5"/>
    <x v="1"/>
    <x v="4"/>
    <x v="2"/>
    <x v="79"/>
    <x v="5"/>
    <x v="1"/>
    <x v="1"/>
  </r>
  <r>
    <x v="226"/>
    <x v="1"/>
    <x v="12"/>
    <x v="1"/>
    <x v="10"/>
    <x v="3"/>
    <x v="120"/>
    <x v="11"/>
    <x v="0"/>
    <x v="0"/>
  </r>
  <r>
    <x v="227"/>
    <x v="0"/>
    <x v="22"/>
    <x v="0"/>
    <x v="17"/>
    <x v="0"/>
    <x v="76"/>
    <x v="19"/>
    <x v="3"/>
    <x v="3"/>
  </r>
  <r>
    <x v="227"/>
    <x v="1"/>
    <x v="6"/>
    <x v="1"/>
    <x v="5"/>
    <x v="1"/>
    <x v="130"/>
    <x v="6"/>
    <x v="1"/>
    <x v="1"/>
  </r>
  <r>
    <x v="227"/>
    <x v="2"/>
    <x v="19"/>
    <x v="1"/>
    <x v="15"/>
    <x v="3"/>
    <x v="50"/>
    <x v="17"/>
    <x v="5"/>
    <x v="5"/>
  </r>
  <r>
    <x v="227"/>
    <x v="3"/>
    <x v="4"/>
    <x v="0"/>
    <x v="3"/>
    <x v="0"/>
    <x v="4"/>
    <x v="4"/>
    <x v="1"/>
    <x v="1"/>
  </r>
  <r>
    <x v="227"/>
    <x v="4"/>
    <x v="13"/>
    <x v="0"/>
    <x v="11"/>
    <x v="2"/>
    <x v="18"/>
    <x v="12"/>
    <x v="5"/>
    <x v="5"/>
  </r>
  <r>
    <x v="228"/>
    <x v="0"/>
    <x v="22"/>
    <x v="1"/>
    <x v="17"/>
    <x v="0"/>
    <x v="91"/>
    <x v="19"/>
    <x v="3"/>
    <x v="3"/>
  </r>
  <r>
    <x v="228"/>
    <x v="1"/>
    <x v="21"/>
    <x v="1"/>
    <x v="16"/>
    <x v="3"/>
    <x v="87"/>
    <x v="18"/>
    <x v="1"/>
    <x v="1"/>
  </r>
  <r>
    <x v="228"/>
    <x v="2"/>
    <x v="1"/>
    <x v="0"/>
    <x v="1"/>
    <x v="0"/>
    <x v="34"/>
    <x v="1"/>
    <x v="1"/>
    <x v="1"/>
  </r>
  <r>
    <x v="229"/>
    <x v="0"/>
    <x v="16"/>
    <x v="1"/>
    <x v="13"/>
    <x v="1"/>
    <x v="136"/>
    <x v="14"/>
    <x v="2"/>
    <x v="2"/>
  </r>
  <r>
    <x v="230"/>
    <x v="0"/>
    <x v="1"/>
    <x v="1"/>
    <x v="1"/>
    <x v="1"/>
    <x v="1"/>
    <x v="1"/>
    <x v="1"/>
    <x v="1"/>
  </r>
  <r>
    <x v="230"/>
    <x v="1"/>
    <x v="15"/>
    <x v="1"/>
    <x v="11"/>
    <x v="0"/>
    <x v="78"/>
    <x v="12"/>
    <x v="0"/>
    <x v="0"/>
  </r>
  <r>
    <x v="230"/>
    <x v="2"/>
    <x v="21"/>
    <x v="1"/>
    <x v="16"/>
    <x v="0"/>
    <x v="95"/>
    <x v="18"/>
    <x v="1"/>
    <x v="1"/>
  </r>
  <r>
    <x v="231"/>
    <x v="0"/>
    <x v="9"/>
    <x v="0"/>
    <x v="7"/>
    <x v="1"/>
    <x v="10"/>
    <x v="8"/>
    <x v="0"/>
    <x v="0"/>
  </r>
  <r>
    <x v="231"/>
    <x v="1"/>
    <x v="16"/>
    <x v="1"/>
    <x v="13"/>
    <x v="2"/>
    <x v="67"/>
    <x v="14"/>
    <x v="2"/>
    <x v="2"/>
  </r>
  <r>
    <x v="231"/>
    <x v="2"/>
    <x v="8"/>
    <x v="1"/>
    <x v="0"/>
    <x v="1"/>
    <x v="19"/>
    <x v="3"/>
    <x v="3"/>
    <x v="3"/>
  </r>
  <r>
    <x v="231"/>
    <x v="3"/>
    <x v="1"/>
    <x v="1"/>
    <x v="1"/>
    <x v="3"/>
    <x v="96"/>
    <x v="1"/>
    <x v="1"/>
    <x v="1"/>
  </r>
  <r>
    <x v="232"/>
    <x v="0"/>
    <x v="15"/>
    <x v="0"/>
    <x v="11"/>
    <x v="3"/>
    <x v="21"/>
    <x v="12"/>
    <x v="0"/>
    <x v="0"/>
  </r>
  <r>
    <x v="232"/>
    <x v="1"/>
    <x v="3"/>
    <x v="1"/>
    <x v="0"/>
    <x v="3"/>
    <x v="28"/>
    <x v="3"/>
    <x v="0"/>
    <x v="0"/>
  </r>
  <r>
    <x v="232"/>
    <x v="2"/>
    <x v="10"/>
    <x v="0"/>
    <x v="8"/>
    <x v="0"/>
    <x v="57"/>
    <x v="9"/>
    <x v="0"/>
    <x v="0"/>
  </r>
  <r>
    <x v="232"/>
    <x v="3"/>
    <x v="12"/>
    <x v="1"/>
    <x v="10"/>
    <x v="1"/>
    <x v="109"/>
    <x v="11"/>
    <x v="0"/>
    <x v="0"/>
  </r>
  <r>
    <x v="233"/>
    <x v="0"/>
    <x v="16"/>
    <x v="1"/>
    <x v="13"/>
    <x v="0"/>
    <x v="108"/>
    <x v="14"/>
    <x v="2"/>
    <x v="2"/>
  </r>
  <r>
    <x v="233"/>
    <x v="1"/>
    <x v="7"/>
    <x v="1"/>
    <x v="6"/>
    <x v="2"/>
    <x v="27"/>
    <x v="7"/>
    <x v="0"/>
    <x v="0"/>
  </r>
  <r>
    <x v="233"/>
    <x v="2"/>
    <x v="10"/>
    <x v="0"/>
    <x v="8"/>
    <x v="3"/>
    <x v="98"/>
    <x v="9"/>
    <x v="0"/>
    <x v="0"/>
  </r>
  <r>
    <x v="233"/>
    <x v="3"/>
    <x v="14"/>
    <x v="0"/>
    <x v="12"/>
    <x v="2"/>
    <x v="55"/>
    <x v="13"/>
    <x v="1"/>
    <x v="1"/>
  </r>
  <r>
    <x v="233"/>
    <x v="4"/>
    <x v="19"/>
    <x v="0"/>
    <x v="15"/>
    <x v="3"/>
    <x v="37"/>
    <x v="17"/>
    <x v="5"/>
    <x v="5"/>
  </r>
  <r>
    <x v="234"/>
    <x v="0"/>
    <x v="18"/>
    <x v="0"/>
    <x v="14"/>
    <x v="1"/>
    <x v="29"/>
    <x v="16"/>
    <x v="1"/>
    <x v="1"/>
  </r>
  <r>
    <x v="234"/>
    <x v="1"/>
    <x v="17"/>
    <x v="1"/>
    <x v="11"/>
    <x v="2"/>
    <x v="64"/>
    <x v="15"/>
    <x v="0"/>
    <x v="0"/>
  </r>
  <r>
    <x v="234"/>
    <x v="2"/>
    <x v="14"/>
    <x v="1"/>
    <x v="12"/>
    <x v="2"/>
    <x v="74"/>
    <x v="13"/>
    <x v="1"/>
    <x v="1"/>
  </r>
  <r>
    <x v="235"/>
    <x v="0"/>
    <x v="5"/>
    <x v="1"/>
    <x v="4"/>
    <x v="1"/>
    <x v="13"/>
    <x v="5"/>
    <x v="1"/>
    <x v="1"/>
  </r>
  <r>
    <x v="235"/>
    <x v="1"/>
    <x v="6"/>
    <x v="1"/>
    <x v="5"/>
    <x v="3"/>
    <x v="8"/>
    <x v="6"/>
    <x v="1"/>
    <x v="1"/>
  </r>
  <r>
    <x v="235"/>
    <x v="2"/>
    <x v="4"/>
    <x v="1"/>
    <x v="3"/>
    <x v="3"/>
    <x v="25"/>
    <x v="4"/>
    <x v="1"/>
    <x v="1"/>
  </r>
  <r>
    <x v="236"/>
    <x v="0"/>
    <x v="12"/>
    <x v="0"/>
    <x v="10"/>
    <x v="0"/>
    <x v="103"/>
    <x v="11"/>
    <x v="0"/>
    <x v="0"/>
  </r>
  <r>
    <x v="236"/>
    <x v="1"/>
    <x v="24"/>
    <x v="0"/>
    <x v="8"/>
    <x v="1"/>
    <x v="77"/>
    <x v="9"/>
    <x v="3"/>
    <x v="3"/>
  </r>
  <r>
    <x v="236"/>
    <x v="2"/>
    <x v="0"/>
    <x v="1"/>
    <x v="0"/>
    <x v="0"/>
    <x v="24"/>
    <x v="0"/>
    <x v="0"/>
    <x v="0"/>
  </r>
  <r>
    <x v="236"/>
    <x v="3"/>
    <x v="8"/>
    <x v="0"/>
    <x v="0"/>
    <x v="2"/>
    <x v="7"/>
    <x v="3"/>
    <x v="3"/>
    <x v="3"/>
  </r>
  <r>
    <x v="237"/>
    <x v="0"/>
    <x v="0"/>
    <x v="1"/>
    <x v="0"/>
    <x v="0"/>
    <x v="24"/>
    <x v="0"/>
    <x v="0"/>
    <x v="0"/>
  </r>
  <r>
    <x v="237"/>
    <x v="1"/>
    <x v="22"/>
    <x v="0"/>
    <x v="17"/>
    <x v="1"/>
    <x v="88"/>
    <x v="19"/>
    <x v="3"/>
    <x v="3"/>
  </r>
  <r>
    <x v="237"/>
    <x v="2"/>
    <x v="17"/>
    <x v="1"/>
    <x v="11"/>
    <x v="0"/>
    <x v="78"/>
    <x v="15"/>
    <x v="0"/>
    <x v="0"/>
  </r>
  <r>
    <x v="237"/>
    <x v="3"/>
    <x v="13"/>
    <x v="1"/>
    <x v="11"/>
    <x v="2"/>
    <x v="64"/>
    <x v="12"/>
    <x v="5"/>
    <x v="5"/>
  </r>
  <r>
    <x v="237"/>
    <x v="4"/>
    <x v="14"/>
    <x v="0"/>
    <x v="12"/>
    <x v="1"/>
    <x v="140"/>
    <x v="13"/>
    <x v="1"/>
    <x v="1"/>
  </r>
  <r>
    <x v="238"/>
    <x v="0"/>
    <x v="3"/>
    <x v="1"/>
    <x v="0"/>
    <x v="3"/>
    <x v="28"/>
    <x v="3"/>
    <x v="0"/>
    <x v="0"/>
  </r>
  <r>
    <x v="238"/>
    <x v="1"/>
    <x v="20"/>
    <x v="1"/>
    <x v="11"/>
    <x v="2"/>
    <x v="64"/>
    <x v="15"/>
    <x v="5"/>
    <x v="5"/>
  </r>
  <r>
    <x v="238"/>
    <x v="2"/>
    <x v="9"/>
    <x v="0"/>
    <x v="7"/>
    <x v="1"/>
    <x v="10"/>
    <x v="8"/>
    <x v="0"/>
    <x v="0"/>
  </r>
  <r>
    <x v="238"/>
    <x v="3"/>
    <x v="4"/>
    <x v="1"/>
    <x v="3"/>
    <x v="1"/>
    <x v="127"/>
    <x v="4"/>
    <x v="1"/>
    <x v="1"/>
  </r>
  <r>
    <x v="239"/>
    <x v="0"/>
    <x v="11"/>
    <x v="0"/>
    <x v="9"/>
    <x v="1"/>
    <x v="45"/>
    <x v="10"/>
    <x v="4"/>
    <x v="4"/>
  </r>
  <r>
    <x v="239"/>
    <x v="1"/>
    <x v="1"/>
    <x v="0"/>
    <x v="1"/>
    <x v="1"/>
    <x v="31"/>
    <x v="1"/>
    <x v="1"/>
    <x v="1"/>
  </r>
  <r>
    <x v="239"/>
    <x v="2"/>
    <x v="21"/>
    <x v="0"/>
    <x v="16"/>
    <x v="1"/>
    <x v="105"/>
    <x v="18"/>
    <x v="1"/>
    <x v="1"/>
  </r>
  <r>
    <x v="239"/>
    <x v="3"/>
    <x v="9"/>
    <x v="1"/>
    <x v="7"/>
    <x v="1"/>
    <x v="53"/>
    <x v="8"/>
    <x v="0"/>
    <x v="0"/>
  </r>
  <r>
    <x v="240"/>
    <x v="0"/>
    <x v="14"/>
    <x v="0"/>
    <x v="12"/>
    <x v="0"/>
    <x v="137"/>
    <x v="13"/>
    <x v="1"/>
    <x v="1"/>
  </r>
  <r>
    <x v="241"/>
    <x v="0"/>
    <x v="5"/>
    <x v="0"/>
    <x v="4"/>
    <x v="0"/>
    <x v="90"/>
    <x v="5"/>
    <x v="1"/>
    <x v="1"/>
  </r>
  <r>
    <x v="242"/>
    <x v="0"/>
    <x v="22"/>
    <x v="1"/>
    <x v="17"/>
    <x v="2"/>
    <x v="41"/>
    <x v="19"/>
    <x v="3"/>
    <x v="3"/>
  </r>
  <r>
    <x v="242"/>
    <x v="1"/>
    <x v="23"/>
    <x v="1"/>
    <x v="7"/>
    <x v="1"/>
    <x v="53"/>
    <x v="20"/>
    <x v="0"/>
    <x v="0"/>
  </r>
  <r>
    <x v="242"/>
    <x v="2"/>
    <x v="14"/>
    <x v="1"/>
    <x v="12"/>
    <x v="2"/>
    <x v="74"/>
    <x v="13"/>
    <x v="1"/>
    <x v="1"/>
  </r>
  <r>
    <x v="243"/>
    <x v="0"/>
    <x v="23"/>
    <x v="0"/>
    <x v="7"/>
    <x v="1"/>
    <x v="10"/>
    <x v="20"/>
    <x v="0"/>
    <x v="0"/>
  </r>
  <r>
    <x v="243"/>
    <x v="1"/>
    <x v="22"/>
    <x v="0"/>
    <x v="17"/>
    <x v="0"/>
    <x v="76"/>
    <x v="19"/>
    <x v="3"/>
    <x v="3"/>
  </r>
  <r>
    <x v="243"/>
    <x v="2"/>
    <x v="13"/>
    <x v="0"/>
    <x v="11"/>
    <x v="3"/>
    <x v="21"/>
    <x v="12"/>
    <x v="5"/>
    <x v="5"/>
  </r>
  <r>
    <x v="244"/>
    <x v="0"/>
    <x v="2"/>
    <x v="1"/>
    <x v="2"/>
    <x v="2"/>
    <x v="2"/>
    <x v="2"/>
    <x v="2"/>
    <x v="2"/>
  </r>
  <r>
    <x v="244"/>
    <x v="1"/>
    <x v="1"/>
    <x v="0"/>
    <x v="1"/>
    <x v="3"/>
    <x v="112"/>
    <x v="1"/>
    <x v="1"/>
    <x v="1"/>
  </r>
  <r>
    <x v="245"/>
    <x v="0"/>
    <x v="7"/>
    <x v="1"/>
    <x v="6"/>
    <x v="0"/>
    <x v="71"/>
    <x v="7"/>
    <x v="0"/>
    <x v="0"/>
  </r>
  <r>
    <x v="246"/>
    <x v="0"/>
    <x v="22"/>
    <x v="0"/>
    <x v="17"/>
    <x v="1"/>
    <x v="88"/>
    <x v="19"/>
    <x v="3"/>
    <x v="3"/>
  </r>
  <r>
    <x v="246"/>
    <x v="1"/>
    <x v="5"/>
    <x v="0"/>
    <x v="4"/>
    <x v="0"/>
    <x v="90"/>
    <x v="5"/>
    <x v="1"/>
    <x v="1"/>
  </r>
  <r>
    <x v="247"/>
    <x v="0"/>
    <x v="17"/>
    <x v="0"/>
    <x v="11"/>
    <x v="3"/>
    <x v="21"/>
    <x v="15"/>
    <x v="0"/>
    <x v="0"/>
  </r>
  <r>
    <x v="247"/>
    <x v="1"/>
    <x v="8"/>
    <x v="1"/>
    <x v="0"/>
    <x v="3"/>
    <x v="28"/>
    <x v="3"/>
    <x v="3"/>
    <x v="3"/>
  </r>
  <r>
    <x v="247"/>
    <x v="2"/>
    <x v="7"/>
    <x v="0"/>
    <x v="6"/>
    <x v="3"/>
    <x v="47"/>
    <x v="7"/>
    <x v="0"/>
    <x v="0"/>
  </r>
  <r>
    <x v="247"/>
    <x v="3"/>
    <x v="11"/>
    <x v="0"/>
    <x v="9"/>
    <x v="0"/>
    <x v="141"/>
    <x v="10"/>
    <x v="4"/>
    <x v="4"/>
  </r>
  <r>
    <x v="248"/>
    <x v="0"/>
    <x v="14"/>
    <x v="1"/>
    <x v="12"/>
    <x v="2"/>
    <x v="74"/>
    <x v="13"/>
    <x v="1"/>
    <x v="1"/>
  </r>
  <r>
    <x v="248"/>
    <x v="1"/>
    <x v="9"/>
    <x v="1"/>
    <x v="7"/>
    <x v="2"/>
    <x v="32"/>
    <x v="8"/>
    <x v="0"/>
    <x v="0"/>
  </r>
  <r>
    <x v="248"/>
    <x v="2"/>
    <x v="13"/>
    <x v="0"/>
    <x v="11"/>
    <x v="3"/>
    <x v="21"/>
    <x v="12"/>
    <x v="5"/>
    <x v="5"/>
  </r>
  <r>
    <x v="249"/>
    <x v="0"/>
    <x v="7"/>
    <x v="1"/>
    <x v="6"/>
    <x v="2"/>
    <x v="27"/>
    <x v="7"/>
    <x v="0"/>
    <x v="0"/>
  </r>
  <r>
    <x v="249"/>
    <x v="1"/>
    <x v="16"/>
    <x v="1"/>
    <x v="13"/>
    <x v="3"/>
    <x v="104"/>
    <x v="14"/>
    <x v="2"/>
    <x v="2"/>
  </r>
  <r>
    <x v="250"/>
    <x v="0"/>
    <x v="19"/>
    <x v="1"/>
    <x v="15"/>
    <x v="0"/>
    <x v="33"/>
    <x v="17"/>
    <x v="5"/>
    <x v="5"/>
  </r>
  <r>
    <x v="250"/>
    <x v="1"/>
    <x v="13"/>
    <x v="1"/>
    <x v="11"/>
    <x v="2"/>
    <x v="64"/>
    <x v="12"/>
    <x v="5"/>
    <x v="5"/>
  </r>
  <r>
    <x v="251"/>
    <x v="0"/>
    <x v="16"/>
    <x v="1"/>
    <x v="13"/>
    <x v="3"/>
    <x v="104"/>
    <x v="14"/>
    <x v="2"/>
    <x v="2"/>
  </r>
  <r>
    <x v="251"/>
    <x v="1"/>
    <x v="4"/>
    <x v="0"/>
    <x v="3"/>
    <x v="1"/>
    <x v="123"/>
    <x v="4"/>
    <x v="1"/>
    <x v="1"/>
  </r>
  <r>
    <x v="251"/>
    <x v="2"/>
    <x v="23"/>
    <x v="0"/>
    <x v="7"/>
    <x v="3"/>
    <x v="65"/>
    <x v="20"/>
    <x v="0"/>
    <x v="0"/>
  </r>
  <r>
    <x v="252"/>
    <x v="0"/>
    <x v="16"/>
    <x v="1"/>
    <x v="13"/>
    <x v="1"/>
    <x v="136"/>
    <x v="14"/>
    <x v="2"/>
    <x v="2"/>
  </r>
  <r>
    <x v="253"/>
    <x v="0"/>
    <x v="18"/>
    <x v="1"/>
    <x v="14"/>
    <x v="1"/>
    <x v="138"/>
    <x v="16"/>
    <x v="1"/>
    <x v="1"/>
  </r>
  <r>
    <x v="253"/>
    <x v="1"/>
    <x v="5"/>
    <x v="0"/>
    <x v="4"/>
    <x v="2"/>
    <x v="6"/>
    <x v="5"/>
    <x v="1"/>
    <x v="1"/>
  </r>
  <r>
    <x v="253"/>
    <x v="2"/>
    <x v="10"/>
    <x v="0"/>
    <x v="8"/>
    <x v="2"/>
    <x v="101"/>
    <x v="9"/>
    <x v="0"/>
    <x v="0"/>
  </r>
  <r>
    <x v="254"/>
    <x v="0"/>
    <x v="21"/>
    <x v="1"/>
    <x v="16"/>
    <x v="3"/>
    <x v="87"/>
    <x v="18"/>
    <x v="1"/>
    <x v="1"/>
  </r>
  <r>
    <x v="254"/>
    <x v="1"/>
    <x v="15"/>
    <x v="0"/>
    <x v="11"/>
    <x v="0"/>
    <x v="51"/>
    <x v="12"/>
    <x v="0"/>
    <x v="0"/>
  </r>
  <r>
    <x v="254"/>
    <x v="2"/>
    <x v="6"/>
    <x v="1"/>
    <x v="5"/>
    <x v="0"/>
    <x v="39"/>
    <x v="6"/>
    <x v="1"/>
    <x v="1"/>
  </r>
  <r>
    <x v="254"/>
    <x v="3"/>
    <x v="20"/>
    <x v="0"/>
    <x v="11"/>
    <x v="1"/>
    <x v="36"/>
    <x v="15"/>
    <x v="5"/>
    <x v="5"/>
  </r>
  <r>
    <x v="255"/>
    <x v="0"/>
    <x v="16"/>
    <x v="0"/>
    <x v="13"/>
    <x v="3"/>
    <x v="86"/>
    <x v="14"/>
    <x v="2"/>
    <x v="2"/>
  </r>
  <r>
    <x v="255"/>
    <x v="1"/>
    <x v="20"/>
    <x v="0"/>
    <x v="11"/>
    <x v="2"/>
    <x v="18"/>
    <x v="15"/>
    <x v="5"/>
    <x v="5"/>
  </r>
  <r>
    <x v="256"/>
    <x v="0"/>
    <x v="1"/>
    <x v="1"/>
    <x v="1"/>
    <x v="1"/>
    <x v="1"/>
    <x v="1"/>
    <x v="1"/>
    <x v="1"/>
  </r>
  <r>
    <x v="256"/>
    <x v="1"/>
    <x v="17"/>
    <x v="1"/>
    <x v="11"/>
    <x v="0"/>
    <x v="78"/>
    <x v="15"/>
    <x v="0"/>
    <x v="0"/>
  </r>
  <r>
    <x v="256"/>
    <x v="2"/>
    <x v="2"/>
    <x v="1"/>
    <x v="2"/>
    <x v="3"/>
    <x v="70"/>
    <x v="2"/>
    <x v="2"/>
    <x v="2"/>
  </r>
  <r>
    <x v="256"/>
    <x v="3"/>
    <x v="12"/>
    <x v="0"/>
    <x v="10"/>
    <x v="3"/>
    <x v="80"/>
    <x v="11"/>
    <x v="0"/>
    <x v="0"/>
  </r>
  <r>
    <x v="257"/>
    <x v="0"/>
    <x v="1"/>
    <x v="1"/>
    <x v="1"/>
    <x v="2"/>
    <x v="134"/>
    <x v="1"/>
    <x v="1"/>
    <x v="1"/>
  </r>
  <r>
    <x v="257"/>
    <x v="1"/>
    <x v="4"/>
    <x v="0"/>
    <x v="3"/>
    <x v="1"/>
    <x v="123"/>
    <x v="4"/>
    <x v="1"/>
    <x v="1"/>
  </r>
  <r>
    <x v="257"/>
    <x v="2"/>
    <x v="23"/>
    <x v="0"/>
    <x v="7"/>
    <x v="1"/>
    <x v="10"/>
    <x v="20"/>
    <x v="0"/>
    <x v="0"/>
  </r>
  <r>
    <x v="257"/>
    <x v="3"/>
    <x v="9"/>
    <x v="0"/>
    <x v="7"/>
    <x v="2"/>
    <x v="72"/>
    <x v="8"/>
    <x v="0"/>
    <x v="0"/>
  </r>
  <r>
    <x v="258"/>
    <x v="0"/>
    <x v="8"/>
    <x v="0"/>
    <x v="0"/>
    <x v="2"/>
    <x v="7"/>
    <x v="3"/>
    <x v="3"/>
    <x v="3"/>
  </r>
  <r>
    <x v="258"/>
    <x v="1"/>
    <x v="18"/>
    <x v="1"/>
    <x v="14"/>
    <x v="3"/>
    <x v="110"/>
    <x v="16"/>
    <x v="1"/>
    <x v="1"/>
  </r>
  <r>
    <x v="258"/>
    <x v="2"/>
    <x v="6"/>
    <x v="1"/>
    <x v="5"/>
    <x v="0"/>
    <x v="39"/>
    <x v="6"/>
    <x v="1"/>
    <x v="1"/>
  </r>
  <r>
    <x v="258"/>
    <x v="3"/>
    <x v="4"/>
    <x v="0"/>
    <x v="3"/>
    <x v="3"/>
    <x v="66"/>
    <x v="4"/>
    <x v="1"/>
    <x v="1"/>
  </r>
  <r>
    <x v="259"/>
    <x v="0"/>
    <x v="19"/>
    <x v="1"/>
    <x v="15"/>
    <x v="0"/>
    <x v="33"/>
    <x v="17"/>
    <x v="5"/>
    <x v="5"/>
  </r>
  <r>
    <x v="259"/>
    <x v="1"/>
    <x v="2"/>
    <x v="0"/>
    <x v="2"/>
    <x v="0"/>
    <x v="135"/>
    <x v="2"/>
    <x v="2"/>
    <x v="2"/>
  </r>
  <r>
    <x v="259"/>
    <x v="2"/>
    <x v="24"/>
    <x v="1"/>
    <x v="8"/>
    <x v="0"/>
    <x v="118"/>
    <x v="9"/>
    <x v="3"/>
    <x v="3"/>
  </r>
  <r>
    <x v="260"/>
    <x v="0"/>
    <x v="3"/>
    <x v="1"/>
    <x v="0"/>
    <x v="2"/>
    <x v="3"/>
    <x v="3"/>
    <x v="0"/>
    <x v="0"/>
  </r>
  <r>
    <x v="260"/>
    <x v="1"/>
    <x v="15"/>
    <x v="0"/>
    <x v="11"/>
    <x v="3"/>
    <x v="21"/>
    <x v="12"/>
    <x v="0"/>
    <x v="0"/>
  </r>
  <r>
    <x v="260"/>
    <x v="2"/>
    <x v="7"/>
    <x v="1"/>
    <x v="6"/>
    <x v="3"/>
    <x v="17"/>
    <x v="7"/>
    <x v="0"/>
    <x v="0"/>
  </r>
  <r>
    <x v="261"/>
    <x v="0"/>
    <x v="6"/>
    <x v="0"/>
    <x v="5"/>
    <x v="1"/>
    <x v="116"/>
    <x v="6"/>
    <x v="1"/>
    <x v="1"/>
  </r>
  <r>
    <x v="261"/>
    <x v="1"/>
    <x v="11"/>
    <x v="1"/>
    <x v="9"/>
    <x v="2"/>
    <x v="126"/>
    <x v="10"/>
    <x v="4"/>
    <x v="4"/>
  </r>
  <r>
    <x v="262"/>
    <x v="0"/>
    <x v="11"/>
    <x v="0"/>
    <x v="9"/>
    <x v="1"/>
    <x v="45"/>
    <x v="10"/>
    <x v="4"/>
    <x v="4"/>
  </r>
  <r>
    <x v="262"/>
    <x v="1"/>
    <x v="5"/>
    <x v="0"/>
    <x v="4"/>
    <x v="0"/>
    <x v="90"/>
    <x v="5"/>
    <x v="1"/>
    <x v="1"/>
  </r>
  <r>
    <x v="262"/>
    <x v="2"/>
    <x v="6"/>
    <x v="1"/>
    <x v="5"/>
    <x v="2"/>
    <x v="125"/>
    <x v="6"/>
    <x v="1"/>
    <x v="1"/>
  </r>
  <r>
    <x v="263"/>
    <x v="0"/>
    <x v="2"/>
    <x v="0"/>
    <x v="2"/>
    <x v="0"/>
    <x v="135"/>
    <x v="2"/>
    <x v="2"/>
    <x v="2"/>
  </r>
  <r>
    <x v="263"/>
    <x v="1"/>
    <x v="24"/>
    <x v="1"/>
    <x v="8"/>
    <x v="2"/>
    <x v="11"/>
    <x v="9"/>
    <x v="3"/>
    <x v="3"/>
  </r>
  <r>
    <x v="263"/>
    <x v="2"/>
    <x v="12"/>
    <x v="1"/>
    <x v="10"/>
    <x v="3"/>
    <x v="120"/>
    <x v="11"/>
    <x v="0"/>
    <x v="0"/>
  </r>
  <r>
    <x v="263"/>
    <x v="3"/>
    <x v="5"/>
    <x v="1"/>
    <x v="4"/>
    <x v="1"/>
    <x v="13"/>
    <x v="5"/>
    <x v="1"/>
    <x v="1"/>
  </r>
  <r>
    <x v="264"/>
    <x v="0"/>
    <x v="11"/>
    <x v="1"/>
    <x v="9"/>
    <x v="0"/>
    <x v="44"/>
    <x v="10"/>
    <x v="4"/>
    <x v="4"/>
  </r>
  <r>
    <x v="265"/>
    <x v="0"/>
    <x v="18"/>
    <x v="1"/>
    <x v="14"/>
    <x v="1"/>
    <x v="138"/>
    <x v="16"/>
    <x v="1"/>
    <x v="1"/>
  </r>
  <r>
    <x v="265"/>
    <x v="1"/>
    <x v="23"/>
    <x v="0"/>
    <x v="7"/>
    <x v="0"/>
    <x v="59"/>
    <x v="20"/>
    <x v="0"/>
    <x v="0"/>
  </r>
  <r>
    <x v="265"/>
    <x v="2"/>
    <x v="22"/>
    <x v="0"/>
    <x v="17"/>
    <x v="2"/>
    <x v="111"/>
    <x v="19"/>
    <x v="3"/>
    <x v="3"/>
  </r>
  <r>
    <x v="266"/>
    <x v="0"/>
    <x v="13"/>
    <x v="1"/>
    <x v="11"/>
    <x v="0"/>
    <x v="78"/>
    <x v="12"/>
    <x v="5"/>
    <x v="5"/>
  </r>
  <r>
    <x v="266"/>
    <x v="1"/>
    <x v="19"/>
    <x v="1"/>
    <x v="15"/>
    <x v="3"/>
    <x v="50"/>
    <x v="17"/>
    <x v="5"/>
    <x v="5"/>
  </r>
  <r>
    <x v="266"/>
    <x v="2"/>
    <x v="24"/>
    <x v="0"/>
    <x v="8"/>
    <x v="3"/>
    <x v="98"/>
    <x v="9"/>
    <x v="3"/>
    <x v="3"/>
  </r>
  <r>
    <x v="266"/>
    <x v="3"/>
    <x v="14"/>
    <x v="1"/>
    <x v="12"/>
    <x v="1"/>
    <x v="102"/>
    <x v="13"/>
    <x v="1"/>
    <x v="1"/>
  </r>
  <r>
    <x v="266"/>
    <x v="4"/>
    <x v="20"/>
    <x v="0"/>
    <x v="11"/>
    <x v="2"/>
    <x v="18"/>
    <x v="15"/>
    <x v="5"/>
    <x v="5"/>
  </r>
  <r>
    <x v="267"/>
    <x v="0"/>
    <x v="14"/>
    <x v="0"/>
    <x v="12"/>
    <x v="2"/>
    <x v="55"/>
    <x v="13"/>
    <x v="1"/>
    <x v="1"/>
  </r>
  <r>
    <x v="267"/>
    <x v="1"/>
    <x v="18"/>
    <x v="1"/>
    <x v="14"/>
    <x v="0"/>
    <x v="117"/>
    <x v="16"/>
    <x v="1"/>
    <x v="1"/>
  </r>
  <r>
    <x v="267"/>
    <x v="2"/>
    <x v="11"/>
    <x v="0"/>
    <x v="9"/>
    <x v="3"/>
    <x v="128"/>
    <x v="10"/>
    <x v="4"/>
    <x v="4"/>
  </r>
  <r>
    <x v="268"/>
    <x v="0"/>
    <x v="21"/>
    <x v="0"/>
    <x v="16"/>
    <x v="1"/>
    <x v="105"/>
    <x v="18"/>
    <x v="1"/>
    <x v="1"/>
  </r>
  <r>
    <x v="268"/>
    <x v="1"/>
    <x v="19"/>
    <x v="1"/>
    <x v="15"/>
    <x v="1"/>
    <x v="69"/>
    <x v="17"/>
    <x v="5"/>
    <x v="5"/>
  </r>
  <r>
    <x v="268"/>
    <x v="2"/>
    <x v="9"/>
    <x v="0"/>
    <x v="7"/>
    <x v="2"/>
    <x v="72"/>
    <x v="8"/>
    <x v="0"/>
    <x v="0"/>
  </r>
  <r>
    <x v="268"/>
    <x v="3"/>
    <x v="5"/>
    <x v="0"/>
    <x v="4"/>
    <x v="2"/>
    <x v="6"/>
    <x v="5"/>
    <x v="1"/>
    <x v="1"/>
  </r>
  <r>
    <x v="269"/>
    <x v="0"/>
    <x v="22"/>
    <x v="1"/>
    <x v="17"/>
    <x v="0"/>
    <x v="91"/>
    <x v="19"/>
    <x v="3"/>
    <x v="3"/>
  </r>
  <r>
    <x v="269"/>
    <x v="1"/>
    <x v="12"/>
    <x v="0"/>
    <x v="10"/>
    <x v="3"/>
    <x v="80"/>
    <x v="11"/>
    <x v="0"/>
    <x v="0"/>
  </r>
  <r>
    <x v="270"/>
    <x v="0"/>
    <x v="16"/>
    <x v="1"/>
    <x v="13"/>
    <x v="1"/>
    <x v="136"/>
    <x v="14"/>
    <x v="2"/>
    <x v="2"/>
  </r>
  <r>
    <x v="270"/>
    <x v="1"/>
    <x v="18"/>
    <x v="1"/>
    <x v="14"/>
    <x v="2"/>
    <x v="124"/>
    <x v="16"/>
    <x v="1"/>
    <x v="1"/>
  </r>
  <r>
    <x v="270"/>
    <x v="2"/>
    <x v="17"/>
    <x v="0"/>
    <x v="11"/>
    <x v="3"/>
    <x v="21"/>
    <x v="15"/>
    <x v="0"/>
    <x v="0"/>
  </r>
  <r>
    <x v="270"/>
    <x v="3"/>
    <x v="14"/>
    <x v="1"/>
    <x v="12"/>
    <x v="3"/>
    <x v="20"/>
    <x v="13"/>
    <x v="1"/>
    <x v="1"/>
  </r>
  <r>
    <x v="271"/>
    <x v="0"/>
    <x v="6"/>
    <x v="1"/>
    <x v="5"/>
    <x v="1"/>
    <x v="130"/>
    <x v="6"/>
    <x v="1"/>
    <x v="1"/>
  </r>
  <r>
    <x v="271"/>
    <x v="1"/>
    <x v="16"/>
    <x v="0"/>
    <x v="13"/>
    <x v="1"/>
    <x v="142"/>
    <x v="14"/>
    <x v="2"/>
    <x v="2"/>
  </r>
  <r>
    <x v="272"/>
    <x v="0"/>
    <x v="20"/>
    <x v="0"/>
    <x v="11"/>
    <x v="3"/>
    <x v="21"/>
    <x v="15"/>
    <x v="5"/>
    <x v="5"/>
  </r>
  <r>
    <x v="273"/>
    <x v="0"/>
    <x v="16"/>
    <x v="1"/>
    <x v="13"/>
    <x v="2"/>
    <x v="67"/>
    <x v="14"/>
    <x v="2"/>
    <x v="2"/>
  </r>
  <r>
    <x v="273"/>
    <x v="1"/>
    <x v="22"/>
    <x v="1"/>
    <x v="17"/>
    <x v="3"/>
    <x v="68"/>
    <x v="19"/>
    <x v="3"/>
    <x v="3"/>
  </r>
  <r>
    <x v="273"/>
    <x v="2"/>
    <x v="11"/>
    <x v="1"/>
    <x v="9"/>
    <x v="1"/>
    <x v="14"/>
    <x v="10"/>
    <x v="4"/>
    <x v="4"/>
  </r>
  <r>
    <x v="274"/>
    <x v="0"/>
    <x v="9"/>
    <x v="0"/>
    <x v="7"/>
    <x v="2"/>
    <x v="72"/>
    <x v="8"/>
    <x v="0"/>
    <x v="0"/>
  </r>
  <r>
    <x v="274"/>
    <x v="1"/>
    <x v="22"/>
    <x v="0"/>
    <x v="17"/>
    <x v="3"/>
    <x v="93"/>
    <x v="19"/>
    <x v="3"/>
    <x v="3"/>
  </r>
  <r>
    <x v="274"/>
    <x v="2"/>
    <x v="14"/>
    <x v="1"/>
    <x v="12"/>
    <x v="2"/>
    <x v="74"/>
    <x v="13"/>
    <x v="1"/>
    <x v="1"/>
  </r>
  <r>
    <x v="275"/>
    <x v="0"/>
    <x v="5"/>
    <x v="1"/>
    <x v="4"/>
    <x v="0"/>
    <x v="73"/>
    <x v="5"/>
    <x v="1"/>
    <x v="1"/>
  </r>
  <r>
    <x v="275"/>
    <x v="1"/>
    <x v="7"/>
    <x v="0"/>
    <x v="6"/>
    <x v="2"/>
    <x v="113"/>
    <x v="7"/>
    <x v="0"/>
    <x v="0"/>
  </r>
  <r>
    <x v="275"/>
    <x v="2"/>
    <x v="11"/>
    <x v="1"/>
    <x v="9"/>
    <x v="1"/>
    <x v="14"/>
    <x v="10"/>
    <x v="4"/>
    <x v="4"/>
  </r>
  <r>
    <x v="276"/>
    <x v="0"/>
    <x v="0"/>
    <x v="1"/>
    <x v="0"/>
    <x v="0"/>
    <x v="24"/>
    <x v="0"/>
    <x v="0"/>
    <x v="0"/>
  </r>
  <r>
    <x v="276"/>
    <x v="1"/>
    <x v="18"/>
    <x v="1"/>
    <x v="14"/>
    <x v="0"/>
    <x v="117"/>
    <x v="16"/>
    <x v="1"/>
    <x v="1"/>
  </r>
  <r>
    <x v="276"/>
    <x v="2"/>
    <x v="17"/>
    <x v="1"/>
    <x v="11"/>
    <x v="3"/>
    <x v="23"/>
    <x v="15"/>
    <x v="0"/>
    <x v="0"/>
  </r>
  <r>
    <x v="277"/>
    <x v="0"/>
    <x v="3"/>
    <x v="0"/>
    <x v="0"/>
    <x v="0"/>
    <x v="0"/>
    <x v="3"/>
    <x v="0"/>
    <x v="0"/>
  </r>
  <r>
    <x v="277"/>
    <x v="1"/>
    <x v="23"/>
    <x v="1"/>
    <x v="7"/>
    <x v="1"/>
    <x v="53"/>
    <x v="20"/>
    <x v="0"/>
    <x v="0"/>
  </r>
  <r>
    <x v="277"/>
    <x v="2"/>
    <x v="17"/>
    <x v="0"/>
    <x v="11"/>
    <x v="1"/>
    <x v="36"/>
    <x v="15"/>
    <x v="0"/>
    <x v="0"/>
  </r>
  <r>
    <x v="277"/>
    <x v="3"/>
    <x v="16"/>
    <x v="1"/>
    <x v="13"/>
    <x v="1"/>
    <x v="136"/>
    <x v="14"/>
    <x v="2"/>
    <x v="2"/>
  </r>
  <r>
    <x v="278"/>
    <x v="0"/>
    <x v="22"/>
    <x v="0"/>
    <x v="17"/>
    <x v="1"/>
    <x v="88"/>
    <x v="19"/>
    <x v="3"/>
    <x v="3"/>
  </r>
  <r>
    <x v="279"/>
    <x v="0"/>
    <x v="22"/>
    <x v="0"/>
    <x v="17"/>
    <x v="1"/>
    <x v="88"/>
    <x v="19"/>
    <x v="3"/>
    <x v="3"/>
  </r>
  <r>
    <x v="279"/>
    <x v="1"/>
    <x v="8"/>
    <x v="1"/>
    <x v="0"/>
    <x v="1"/>
    <x v="19"/>
    <x v="3"/>
    <x v="3"/>
    <x v="3"/>
  </r>
  <r>
    <x v="279"/>
    <x v="2"/>
    <x v="17"/>
    <x v="0"/>
    <x v="11"/>
    <x v="1"/>
    <x v="36"/>
    <x v="15"/>
    <x v="0"/>
    <x v="0"/>
  </r>
  <r>
    <x v="280"/>
    <x v="0"/>
    <x v="13"/>
    <x v="0"/>
    <x v="11"/>
    <x v="1"/>
    <x v="36"/>
    <x v="12"/>
    <x v="5"/>
    <x v="5"/>
  </r>
  <r>
    <x v="280"/>
    <x v="1"/>
    <x v="15"/>
    <x v="1"/>
    <x v="11"/>
    <x v="3"/>
    <x v="23"/>
    <x v="12"/>
    <x v="0"/>
    <x v="0"/>
  </r>
  <r>
    <x v="280"/>
    <x v="2"/>
    <x v="14"/>
    <x v="1"/>
    <x v="12"/>
    <x v="1"/>
    <x v="102"/>
    <x v="13"/>
    <x v="1"/>
    <x v="1"/>
  </r>
  <r>
    <x v="281"/>
    <x v="0"/>
    <x v="0"/>
    <x v="0"/>
    <x v="0"/>
    <x v="1"/>
    <x v="5"/>
    <x v="0"/>
    <x v="0"/>
    <x v="0"/>
  </r>
  <r>
    <x v="281"/>
    <x v="1"/>
    <x v="14"/>
    <x v="1"/>
    <x v="12"/>
    <x v="1"/>
    <x v="102"/>
    <x v="13"/>
    <x v="1"/>
    <x v="1"/>
  </r>
  <r>
    <x v="281"/>
    <x v="2"/>
    <x v="5"/>
    <x v="1"/>
    <x v="4"/>
    <x v="2"/>
    <x v="79"/>
    <x v="5"/>
    <x v="1"/>
    <x v="1"/>
  </r>
  <r>
    <x v="281"/>
    <x v="3"/>
    <x v="3"/>
    <x v="1"/>
    <x v="0"/>
    <x v="1"/>
    <x v="19"/>
    <x v="3"/>
    <x v="0"/>
    <x v="0"/>
  </r>
  <r>
    <x v="282"/>
    <x v="0"/>
    <x v="11"/>
    <x v="0"/>
    <x v="9"/>
    <x v="2"/>
    <x v="121"/>
    <x v="10"/>
    <x v="4"/>
    <x v="4"/>
  </r>
  <r>
    <x v="282"/>
    <x v="1"/>
    <x v="3"/>
    <x v="1"/>
    <x v="0"/>
    <x v="0"/>
    <x v="24"/>
    <x v="3"/>
    <x v="0"/>
    <x v="0"/>
  </r>
  <r>
    <x v="283"/>
    <x v="0"/>
    <x v="24"/>
    <x v="1"/>
    <x v="8"/>
    <x v="0"/>
    <x v="118"/>
    <x v="9"/>
    <x v="3"/>
    <x v="3"/>
  </r>
  <r>
    <x v="283"/>
    <x v="1"/>
    <x v="0"/>
    <x v="0"/>
    <x v="0"/>
    <x v="0"/>
    <x v="0"/>
    <x v="0"/>
    <x v="0"/>
    <x v="0"/>
  </r>
  <r>
    <x v="284"/>
    <x v="0"/>
    <x v="3"/>
    <x v="1"/>
    <x v="0"/>
    <x v="2"/>
    <x v="3"/>
    <x v="3"/>
    <x v="0"/>
    <x v="0"/>
  </r>
  <r>
    <x v="284"/>
    <x v="1"/>
    <x v="10"/>
    <x v="0"/>
    <x v="8"/>
    <x v="2"/>
    <x v="101"/>
    <x v="9"/>
    <x v="0"/>
    <x v="0"/>
  </r>
  <r>
    <x v="284"/>
    <x v="2"/>
    <x v="6"/>
    <x v="0"/>
    <x v="5"/>
    <x v="3"/>
    <x v="92"/>
    <x v="6"/>
    <x v="1"/>
    <x v="1"/>
  </r>
  <r>
    <x v="285"/>
    <x v="0"/>
    <x v="8"/>
    <x v="1"/>
    <x v="0"/>
    <x v="0"/>
    <x v="24"/>
    <x v="3"/>
    <x v="3"/>
    <x v="3"/>
  </r>
  <r>
    <x v="285"/>
    <x v="1"/>
    <x v="20"/>
    <x v="1"/>
    <x v="11"/>
    <x v="1"/>
    <x v="35"/>
    <x v="15"/>
    <x v="5"/>
    <x v="5"/>
  </r>
  <r>
    <x v="285"/>
    <x v="2"/>
    <x v="3"/>
    <x v="1"/>
    <x v="0"/>
    <x v="3"/>
    <x v="28"/>
    <x v="3"/>
    <x v="0"/>
    <x v="0"/>
  </r>
  <r>
    <x v="285"/>
    <x v="3"/>
    <x v="14"/>
    <x v="0"/>
    <x v="12"/>
    <x v="3"/>
    <x v="40"/>
    <x v="13"/>
    <x v="1"/>
    <x v="1"/>
  </r>
  <r>
    <x v="286"/>
    <x v="0"/>
    <x v="21"/>
    <x v="0"/>
    <x v="16"/>
    <x v="0"/>
    <x v="58"/>
    <x v="18"/>
    <x v="1"/>
    <x v="1"/>
  </r>
  <r>
    <x v="286"/>
    <x v="1"/>
    <x v="2"/>
    <x v="0"/>
    <x v="2"/>
    <x v="2"/>
    <x v="99"/>
    <x v="2"/>
    <x v="2"/>
    <x v="2"/>
  </r>
  <r>
    <x v="286"/>
    <x v="2"/>
    <x v="6"/>
    <x v="0"/>
    <x v="5"/>
    <x v="2"/>
    <x v="132"/>
    <x v="6"/>
    <x v="1"/>
    <x v="1"/>
  </r>
  <r>
    <x v="286"/>
    <x v="3"/>
    <x v="0"/>
    <x v="0"/>
    <x v="0"/>
    <x v="2"/>
    <x v="7"/>
    <x v="0"/>
    <x v="0"/>
    <x v="0"/>
  </r>
  <r>
    <x v="287"/>
    <x v="0"/>
    <x v="4"/>
    <x v="0"/>
    <x v="3"/>
    <x v="0"/>
    <x v="4"/>
    <x v="4"/>
    <x v="1"/>
    <x v="1"/>
  </r>
  <r>
    <x v="287"/>
    <x v="1"/>
    <x v="2"/>
    <x v="0"/>
    <x v="2"/>
    <x v="3"/>
    <x v="139"/>
    <x v="2"/>
    <x v="2"/>
    <x v="2"/>
  </r>
  <r>
    <x v="287"/>
    <x v="2"/>
    <x v="14"/>
    <x v="1"/>
    <x v="12"/>
    <x v="2"/>
    <x v="74"/>
    <x v="13"/>
    <x v="1"/>
    <x v="1"/>
  </r>
  <r>
    <x v="288"/>
    <x v="0"/>
    <x v="17"/>
    <x v="0"/>
    <x v="11"/>
    <x v="1"/>
    <x v="36"/>
    <x v="15"/>
    <x v="0"/>
    <x v="0"/>
  </r>
  <r>
    <x v="288"/>
    <x v="1"/>
    <x v="24"/>
    <x v="0"/>
    <x v="8"/>
    <x v="0"/>
    <x v="57"/>
    <x v="9"/>
    <x v="3"/>
    <x v="3"/>
  </r>
  <r>
    <x v="288"/>
    <x v="2"/>
    <x v="7"/>
    <x v="0"/>
    <x v="6"/>
    <x v="0"/>
    <x v="81"/>
    <x v="7"/>
    <x v="0"/>
    <x v="0"/>
  </r>
  <r>
    <x v="289"/>
    <x v="0"/>
    <x v="6"/>
    <x v="1"/>
    <x v="5"/>
    <x v="1"/>
    <x v="130"/>
    <x v="6"/>
    <x v="1"/>
    <x v="1"/>
  </r>
  <r>
    <x v="289"/>
    <x v="1"/>
    <x v="21"/>
    <x v="1"/>
    <x v="16"/>
    <x v="1"/>
    <x v="129"/>
    <x v="18"/>
    <x v="1"/>
    <x v="1"/>
  </r>
  <r>
    <x v="289"/>
    <x v="2"/>
    <x v="20"/>
    <x v="0"/>
    <x v="11"/>
    <x v="3"/>
    <x v="21"/>
    <x v="15"/>
    <x v="5"/>
    <x v="5"/>
  </r>
  <r>
    <x v="290"/>
    <x v="0"/>
    <x v="18"/>
    <x v="1"/>
    <x v="14"/>
    <x v="2"/>
    <x v="124"/>
    <x v="16"/>
    <x v="1"/>
    <x v="1"/>
  </r>
  <r>
    <x v="290"/>
    <x v="1"/>
    <x v="20"/>
    <x v="1"/>
    <x v="11"/>
    <x v="1"/>
    <x v="35"/>
    <x v="15"/>
    <x v="5"/>
    <x v="5"/>
  </r>
  <r>
    <x v="291"/>
    <x v="0"/>
    <x v="9"/>
    <x v="1"/>
    <x v="7"/>
    <x v="3"/>
    <x v="106"/>
    <x v="8"/>
    <x v="0"/>
    <x v="0"/>
  </r>
  <r>
    <x v="291"/>
    <x v="1"/>
    <x v="4"/>
    <x v="0"/>
    <x v="3"/>
    <x v="1"/>
    <x v="123"/>
    <x v="4"/>
    <x v="1"/>
    <x v="1"/>
  </r>
  <r>
    <x v="291"/>
    <x v="2"/>
    <x v="2"/>
    <x v="1"/>
    <x v="2"/>
    <x v="2"/>
    <x v="2"/>
    <x v="2"/>
    <x v="2"/>
    <x v="2"/>
  </r>
  <r>
    <x v="292"/>
    <x v="0"/>
    <x v="23"/>
    <x v="1"/>
    <x v="7"/>
    <x v="2"/>
    <x v="32"/>
    <x v="20"/>
    <x v="0"/>
    <x v="0"/>
  </r>
  <r>
    <x v="292"/>
    <x v="1"/>
    <x v="18"/>
    <x v="0"/>
    <x v="14"/>
    <x v="0"/>
    <x v="63"/>
    <x v="16"/>
    <x v="1"/>
    <x v="1"/>
  </r>
  <r>
    <x v="293"/>
    <x v="0"/>
    <x v="9"/>
    <x v="0"/>
    <x v="7"/>
    <x v="0"/>
    <x v="59"/>
    <x v="8"/>
    <x v="0"/>
    <x v="0"/>
  </r>
  <r>
    <x v="293"/>
    <x v="1"/>
    <x v="15"/>
    <x v="0"/>
    <x v="11"/>
    <x v="0"/>
    <x v="51"/>
    <x v="12"/>
    <x v="0"/>
    <x v="0"/>
  </r>
  <r>
    <x v="293"/>
    <x v="2"/>
    <x v="14"/>
    <x v="1"/>
    <x v="12"/>
    <x v="2"/>
    <x v="74"/>
    <x v="13"/>
    <x v="1"/>
    <x v="1"/>
  </r>
  <r>
    <x v="293"/>
    <x v="3"/>
    <x v="22"/>
    <x v="1"/>
    <x v="17"/>
    <x v="0"/>
    <x v="91"/>
    <x v="19"/>
    <x v="3"/>
    <x v="3"/>
  </r>
  <r>
    <x v="294"/>
    <x v="0"/>
    <x v="13"/>
    <x v="1"/>
    <x v="11"/>
    <x v="1"/>
    <x v="35"/>
    <x v="12"/>
    <x v="5"/>
    <x v="5"/>
  </r>
  <r>
    <x v="295"/>
    <x v="0"/>
    <x v="22"/>
    <x v="1"/>
    <x v="17"/>
    <x v="1"/>
    <x v="85"/>
    <x v="19"/>
    <x v="3"/>
    <x v="3"/>
  </r>
  <r>
    <x v="295"/>
    <x v="1"/>
    <x v="10"/>
    <x v="1"/>
    <x v="8"/>
    <x v="3"/>
    <x v="97"/>
    <x v="9"/>
    <x v="0"/>
    <x v="0"/>
  </r>
  <r>
    <x v="295"/>
    <x v="2"/>
    <x v="16"/>
    <x v="1"/>
    <x v="13"/>
    <x v="3"/>
    <x v="104"/>
    <x v="14"/>
    <x v="2"/>
    <x v="2"/>
  </r>
  <r>
    <x v="295"/>
    <x v="3"/>
    <x v="11"/>
    <x v="0"/>
    <x v="9"/>
    <x v="0"/>
    <x v="141"/>
    <x v="10"/>
    <x v="4"/>
    <x v="4"/>
  </r>
  <r>
    <x v="296"/>
    <x v="0"/>
    <x v="4"/>
    <x v="1"/>
    <x v="3"/>
    <x v="0"/>
    <x v="84"/>
    <x v="4"/>
    <x v="1"/>
    <x v="1"/>
  </r>
  <r>
    <x v="297"/>
    <x v="0"/>
    <x v="19"/>
    <x v="0"/>
    <x v="15"/>
    <x v="0"/>
    <x v="122"/>
    <x v="17"/>
    <x v="5"/>
    <x v="5"/>
  </r>
  <r>
    <x v="297"/>
    <x v="1"/>
    <x v="18"/>
    <x v="1"/>
    <x v="14"/>
    <x v="2"/>
    <x v="124"/>
    <x v="16"/>
    <x v="1"/>
    <x v="1"/>
  </r>
  <r>
    <x v="297"/>
    <x v="2"/>
    <x v="13"/>
    <x v="0"/>
    <x v="11"/>
    <x v="0"/>
    <x v="51"/>
    <x v="12"/>
    <x v="5"/>
    <x v="5"/>
  </r>
  <r>
    <x v="297"/>
    <x v="3"/>
    <x v="11"/>
    <x v="0"/>
    <x v="9"/>
    <x v="1"/>
    <x v="45"/>
    <x v="10"/>
    <x v="4"/>
    <x v="4"/>
  </r>
  <r>
    <x v="297"/>
    <x v="4"/>
    <x v="15"/>
    <x v="1"/>
    <x v="11"/>
    <x v="3"/>
    <x v="23"/>
    <x v="12"/>
    <x v="0"/>
    <x v="0"/>
  </r>
  <r>
    <x v="298"/>
    <x v="0"/>
    <x v="16"/>
    <x v="1"/>
    <x v="13"/>
    <x v="2"/>
    <x v="67"/>
    <x v="14"/>
    <x v="2"/>
    <x v="2"/>
  </r>
  <r>
    <x v="298"/>
    <x v="1"/>
    <x v="2"/>
    <x v="1"/>
    <x v="2"/>
    <x v="0"/>
    <x v="54"/>
    <x v="2"/>
    <x v="2"/>
    <x v="2"/>
  </r>
  <r>
    <x v="299"/>
    <x v="0"/>
    <x v="3"/>
    <x v="1"/>
    <x v="0"/>
    <x v="3"/>
    <x v="28"/>
    <x v="3"/>
    <x v="0"/>
    <x v="0"/>
  </r>
  <r>
    <x v="299"/>
    <x v="1"/>
    <x v="11"/>
    <x v="1"/>
    <x v="9"/>
    <x v="3"/>
    <x v="42"/>
    <x v="10"/>
    <x v="4"/>
    <x v="4"/>
  </r>
  <r>
    <x v="299"/>
    <x v="2"/>
    <x v="2"/>
    <x v="0"/>
    <x v="2"/>
    <x v="3"/>
    <x v="139"/>
    <x v="2"/>
    <x v="2"/>
    <x v="2"/>
  </r>
  <r>
    <x v="299"/>
    <x v="3"/>
    <x v="16"/>
    <x v="1"/>
    <x v="13"/>
    <x v="0"/>
    <x v="108"/>
    <x v="14"/>
    <x v="2"/>
    <x v="2"/>
  </r>
  <r>
    <x v="300"/>
    <x v="0"/>
    <x v="18"/>
    <x v="0"/>
    <x v="14"/>
    <x v="2"/>
    <x v="62"/>
    <x v="16"/>
    <x v="1"/>
    <x v="1"/>
  </r>
  <r>
    <x v="300"/>
    <x v="1"/>
    <x v="13"/>
    <x v="0"/>
    <x v="11"/>
    <x v="3"/>
    <x v="21"/>
    <x v="12"/>
    <x v="5"/>
    <x v="5"/>
  </r>
  <r>
    <x v="301"/>
    <x v="0"/>
    <x v="24"/>
    <x v="1"/>
    <x v="8"/>
    <x v="0"/>
    <x v="118"/>
    <x v="9"/>
    <x v="3"/>
    <x v="3"/>
  </r>
  <r>
    <x v="301"/>
    <x v="1"/>
    <x v="9"/>
    <x v="1"/>
    <x v="7"/>
    <x v="1"/>
    <x v="53"/>
    <x v="8"/>
    <x v="0"/>
    <x v="0"/>
  </r>
  <r>
    <x v="301"/>
    <x v="2"/>
    <x v="6"/>
    <x v="1"/>
    <x v="5"/>
    <x v="0"/>
    <x v="39"/>
    <x v="6"/>
    <x v="1"/>
    <x v="1"/>
  </r>
  <r>
    <x v="302"/>
    <x v="0"/>
    <x v="1"/>
    <x v="1"/>
    <x v="1"/>
    <x v="2"/>
    <x v="134"/>
    <x v="1"/>
    <x v="1"/>
    <x v="1"/>
  </r>
  <r>
    <x v="302"/>
    <x v="1"/>
    <x v="24"/>
    <x v="1"/>
    <x v="8"/>
    <x v="2"/>
    <x v="11"/>
    <x v="9"/>
    <x v="3"/>
    <x v="3"/>
  </r>
  <r>
    <x v="303"/>
    <x v="0"/>
    <x v="2"/>
    <x v="0"/>
    <x v="2"/>
    <x v="2"/>
    <x v="99"/>
    <x v="2"/>
    <x v="2"/>
    <x v="2"/>
  </r>
  <r>
    <x v="303"/>
    <x v="1"/>
    <x v="14"/>
    <x v="1"/>
    <x v="12"/>
    <x v="3"/>
    <x v="20"/>
    <x v="13"/>
    <x v="1"/>
    <x v="1"/>
  </r>
  <r>
    <x v="303"/>
    <x v="2"/>
    <x v="0"/>
    <x v="0"/>
    <x v="0"/>
    <x v="3"/>
    <x v="12"/>
    <x v="0"/>
    <x v="0"/>
    <x v="0"/>
  </r>
  <r>
    <x v="304"/>
    <x v="0"/>
    <x v="2"/>
    <x v="0"/>
    <x v="2"/>
    <x v="1"/>
    <x v="43"/>
    <x v="2"/>
    <x v="2"/>
    <x v="2"/>
  </r>
  <r>
    <x v="304"/>
    <x v="1"/>
    <x v="18"/>
    <x v="0"/>
    <x v="14"/>
    <x v="3"/>
    <x v="107"/>
    <x v="16"/>
    <x v="1"/>
    <x v="1"/>
  </r>
  <r>
    <x v="304"/>
    <x v="2"/>
    <x v="5"/>
    <x v="1"/>
    <x v="4"/>
    <x v="0"/>
    <x v="73"/>
    <x v="5"/>
    <x v="1"/>
    <x v="1"/>
  </r>
  <r>
    <x v="305"/>
    <x v="0"/>
    <x v="2"/>
    <x v="0"/>
    <x v="2"/>
    <x v="0"/>
    <x v="135"/>
    <x v="2"/>
    <x v="2"/>
    <x v="2"/>
  </r>
  <r>
    <x v="305"/>
    <x v="1"/>
    <x v="13"/>
    <x v="0"/>
    <x v="11"/>
    <x v="1"/>
    <x v="36"/>
    <x v="12"/>
    <x v="5"/>
    <x v="5"/>
  </r>
  <r>
    <x v="306"/>
    <x v="0"/>
    <x v="12"/>
    <x v="1"/>
    <x v="10"/>
    <x v="2"/>
    <x v="94"/>
    <x v="11"/>
    <x v="0"/>
    <x v="0"/>
  </r>
  <r>
    <x v="307"/>
    <x v="0"/>
    <x v="14"/>
    <x v="0"/>
    <x v="12"/>
    <x v="3"/>
    <x v="40"/>
    <x v="13"/>
    <x v="1"/>
    <x v="1"/>
  </r>
  <r>
    <x v="307"/>
    <x v="1"/>
    <x v="9"/>
    <x v="1"/>
    <x v="7"/>
    <x v="0"/>
    <x v="83"/>
    <x v="8"/>
    <x v="0"/>
    <x v="0"/>
  </r>
  <r>
    <x v="307"/>
    <x v="2"/>
    <x v="15"/>
    <x v="0"/>
    <x v="11"/>
    <x v="0"/>
    <x v="51"/>
    <x v="12"/>
    <x v="0"/>
    <x v="0"/>
  </r>
  <r>
    <x v="308"/>
    <x v="0"/>
    <x v="5"/>
    <x v="0"/>
    <x v="4"/>
    <x v="2"/>
    <x v="6"/>
    <x v="5"/>
    <x v="1"/>
    <x v="1"/>
  </r>
  <r>
    <x v="308"/>
    <x v="1"/>
    <x v="10"/>
    <x v="0"/>
    <x v="8"/>
    <x v="2"/>
    <x v="101"/>
    <x v="9"/>
    <x v="0"/>
    <x v="0"/>
  </r>
  <r>
    <x v="309"/>
    <x v="0"/>
    <x v="14"/>
    <x v="1"/>
    <x v="12"/>
    <x v="1"/>
    <x v="102"/>
    <x v="13"/>
    <x v="1"/>
    <x v="1"/>
  </r>
  <r>
    <x v="309"/>
    <x v="1"/>
    <x v="15"/>
    <x v="1"/>
    <x v="11"/>
    <x v="3"/>
    <x v="23"/>
    <x v="12"/>
    <x v="0"/>
    <x v="0"/>
  </r>
  <r>
    <x v="309"/>
    <x v="2"/>
    <x v="21"/>
    <x v="1"/>
    <x v="16"/>
    <x v="0"/>
    <x v="95"/>
    <x v="18"/>
    <x v="1"/>
    <x v="1"/>
  </r>
  <r>
    <x v="309"/>
    <x v="3"/>
    <x v="1"/>
    <x v="0"/>
    <x v="1"/>
    <x v="0"/>
    <x v="34"/>
    <x v="1"/>
    <x v="1"/>
    <x v="1"/>
  </r>
  <r>
    <x v="310"/>
    <x v="0"/>
    <x v="7"/>
    <x v="1"/>
    <x v="6"/>
    <x v="2"/>
    <x v="27"/>
    <x v="7"/>
    <x v="0"/>
    <x v="0"/>
  </r>
  <r>
    <x v="310"/>
    <x v="1"/>
    <x v="21"/>
    <x v="1"/>
    <x v="16"/>
    <x v="0"/>
    <x v="95"/>
    <x v="18"/>
    <x v="1"/>
    <x v="1"/>
  </r>
  <r>
    <x v="311"/>
    <x v="0"/>
    <x v="24"/>
    <x v="1"/>
    <x v="8"/>
    <x v="2"/>
    <x v="11"/>
    <x v="9"/>
    <x v="3"/>
    <x v="3"/>
  </r>
  <r>
    <x v="311"/>
    <x v="1"/>
    <x v="15"/>
    <x v="1"/>
    <x v="11"/>
    <x v="1"/>
    <x v="35"/>
    <x v="12"/>
    <x v="0"/>
    <x v="0"/>
  </r>
  <r>
    <x v="311"/>
    <x v="2"/>
    <x v="3"/>
    <x v="1"/>
    <x v="0"/>
    <x v="2"/>
    <x v="3"/>
    <x v="3"/>
    <x v="0"/>
    <x v="0"/>
  </r>
  <r>
    <x v="312"/>
    <x v="0"/>
    <x v="4"/>
    <x v="0"/>
    <x v="3"/>
    <x v="1"/>
    <x v="123"/>
    <x v="4"/>
    <x v="1"/>
    <x v="1"/>
  </r>
  <r>
    <x v="312"/>
    <x v="1"/>
    <x v="2"/>
    <x v="1"/>
    <x v="2"/>
    <x v="1"/>
    <x v="46"/>
    <x v="2"/>
    <x v="2"/>
    <x v="2"/>
  </r>
  <r>
    <x v="313"/>
    <x v="0"/>
    <x v="21"/>
    <x v="0"/>
    <x v="16"/>
    <x v="1"/>
    <x v="105"/>
    <x v="18"/>
    <x v="1"/>
    <x v="1"/>
  </r>
  <r>
    <x v="313"/>
    <x v="1"/>
    <x v="11"/>
    <x v="0"/>
    <x v="9"/>
    <x v="2"/>
    <x v="121"/>
    <x v="10"/>
    <x v="4"/>
    <x v="4"/>
  </r>
  <r>
    <x v="313"/>
    <x v="2"/>
    <x v="13"/>
    <x v="1"/>
    <x v="11"/>
    <x v="0"/>
    <x v="78"/>
    <x v="12"/>
    <x v="5"/>
    <x v="5"/>
  </r>
  <r>
    <x v="313"/>
    <x v="3"/>
    <x v="14"/>
    <x v="1"/>
    <x v="12"/>
    <x v="1"/>
    <x v="102"/>
    <x v="13"/>
    <x v="1"/>
    <x v="1"/>
  </r>
  <r>
    <x v="314"/>
    <x v="0"/>
    <x v="16"/>
    <x v="0"/>
    <x v="13"/>
    <x v="0"/>
    <x v="114"/>
    <x v="14"/>
    <x v="2"/>
    <x v="2"/>
  </r>
  <r>
    <x v="314"/>
    <x v="1"/>
    <x v="11"/>
    <x v="0"/>
    <x v="9"/>
    <x v="3"/>
    <x v="128"/>
    <x v="10"/>
    <x v="4"/>
    <x v="4"/>
  </r>
  <r>
    <x v="315"/>
    <x v="0"/>
    <x v="6"/>
    <x v="1"/>
    <x v="5"/>
    <x v="0"/>
    <x v="39"/>
    <x v="6"/>
    <x v="1"/>
    <x v="1"/>
  </r>
  <r>
    <x v="315"/>
    <x v="1"/>
    <x v="3"/>
    <x v="1"/>
    <x v="0"/>
    <x v="3"/>
    <x v="28"/>
    <x v="3"/>
    <x v="0"/>
    <x v="0"/>
  </r>
  <r>
    <x v="315"/>
    <x v="2"/>
    <x v="0"/>
    <x v="0"/>
    <x v="0"/>
    <x v="3"/>
    <x v="12"/>
    <x v="0"/>
    <x v="0"/>
    <x v="0"/>
  </r>
  <r>
    <x v="315"/>
    <x v="3"/>
    <x v="23"/>
    <x v="0"/>
    <x v="7"/>
    <x v="0"/>
    <x v="59"/>
    <x v="20"/>
    <x v="0"/>
    <x v="0"/>
  </r>
  <r>
    <x v="315"/>
    <x v="4"/>
    <x v="7"/>
    <x v="0"/>
    <x v="6"/>
    <x v="2"/>
    <x v="113"/>
    <x v="7"/>
    <x v="0"/>
    <x v="0"/>
  </r>
  <r>
    <x v="316"/>
    <x v="0"/>
    <x v="2"/>
    <x v="0"/>
    <x v="2"/>
    <x v="0"/>
    <x v="135"/>
    <x v="2"/>
    <x v="2"/>
    <x v="2"/>
  </r>
  <r>
    <x v="316"/>
    <x v="1"/>
    <x v="13"/>
    <x v="0"/>
    <x v="11"/>
    <x v="2"/>
    <x v="18"/>
    <x v="12"/>
    <x v="5"/>
    <x v="5"/>
  </r>
  <r>
    <x v="316"/>
    <x v="2"/>
    <x v="12"/>
    <x v="0"/>
    <x v="10"/>
    <x v="2"/>
    <x v="119"/>
    <x v="11"/>
    <x v="0"/>
    <x v="0"/>
  </r>
  <r>
    <x v="316"/>
    <x v="3"/>
    <x v="17"/>
    <x v="1"/>
    <x v="11"/>
    <x v="0"/>
    <x v="78"/>
    <x v="15"/>
    <x v="0"/>
    <x v="0"/>
  </r>
  <r>
    <x v="317"/>
    <x v="0"/>
    <x v="17"/>
    <x v="1"/>
    <x v="11"/>
    <x v="3"/>
    <x v="23"/>
    <x v="15"/>
    <x v="0"/>
    <x v="0"/>
  </r>
  <r>
    <x v="317"/>
    <x v="1"/>
    <x v="22"/>
    <x v="1"/>
    <x v="17"/>
    <x v="0"/>
    <x v="91"/>
    <x v="19"/>
    <x v="3"/>
    <x v="3"/>
  </r>
  <r>
    <x v="317"/>
    <x v="2"/>
    <x v="11"/>
    <x v="0"/>
    <x v="9"/>
    <x v="2"/>
    <x v="121"/>
    <x v="10"/>
    <x v="4"/>
    <x v="4"/>
  </r>
  <r>
    <x v="318"/>
    <x v="0"/>
    <x v="16"/>
    <x v="0"/>
    <x v="13"/>
    <x v="1"/>
    <x v="142"/>
    <x v="14"/>
    <x v="2"/>
    <x v="2"/>
  </r>
  <r>
    <x v="318"/>
    <x v="1"/>
    <x v="20"/>
    <x v="0"/>
    <x v="11"/>
    <x v="0"/>
    <x v="51"/>
    <x v="15"/>
    <x v="5"/>
    <x v="5"/>
  </r>
  <r>
    <x v="318"/>
    <x v="2"/>
    <x v="12"/>
    <x v="1"/>
    <x v="10"/>
    <x v="3"/>
    <x v="120"/>
    <x v="11"/>
    <x v="0"/>
    <x v="0"/>
  </r>
  <r>
    <x v="318"/>
    <x v="3"/>
    <x v="19"/>
    <x v="0"/>
    <x v="15"/>
    <x v="2"/>
    <x v="115"/>
    <x v="17"/>
    <x v="5"/>
    <x v="5"/>
  </r>
  <r>
    <x v="319"/>
    <x v="0"/>
    <x v="6"/>
    <x v="0"/>
    <x v="5"/>
    <x v="3"/>
    <x v="92"/>
    <x v="6"/>
    <x v="1"/>
    <x v="1"/>
  </r>
  <r>
    <x v="320"/>
    <x v="0"/>
    <x v="4"/>
    <x v="1"/>
    <x v="3"/>
    <x v="0"/>
    <x v="84"/>
    <x v="4"/>
    <x v="1"/>
    <x v="1"/>
  </r>
  <r>
    <x v="320"/>
    <x v="1"/>
    <x v="10"/>
    <x v="1"/>
    <x v="8"/>
    <x v="0"/>
    <x v="118"/>
    <x v="9"/>
    <x v="0"/>
    <x v="0"/>
  </r>
  <r>
    <x v="320"/>
    <x v="2"/>
    <x v="8"/>
    <x v="0"/>
    <x v="0"/>
    <x v="0"/>
    <x v="0"/>
    <x v="3"/>
    <x v="3"/>
    <x v="3"/>
  </r>
  <r>
    <x v="320"/>
    <x v="3"/>
    <x v="19"/>
    <x v="1"/>
    <x v="15"/>
    <x v="0"/>
    <x v="33"/>
    <x v="17"/>
    <x v="5"/>
    <x v="5"/>
  </r>
  <r>
    <x v="321"/>
    <x v="0"/>
    <x v="17"/>
    <x v="1"/>
    <x v="11"/>
    <x v="0"/>
    <x v="78"/>
    <x v="15"/>
    <x v="0"/>
    <x v="0"/>
  </r>
  <r>
    <x v="321"/>
    <x v="1"/>
    <x v="20"/>
    <x v="0"/>
    <x v="11"/>
    <x v="1"/>
    <x v="36"/>
    <x v="15"/>
    <x v="5"/>
    <x v="5"/>
  </r>
  <r>
    <x v="322"/>
    <x v="0"/>
    <x v="17"/>
    <x v="1"/>
    <x v="11"/>
    <x v="1"/>
    <x v="35"/>
    <x v="15"/>
    <x v="0"/>
    <x v="0"/>
  </r>
  <r>
    <x v="322"/>
    <x v="1"/>
    <x v="8"/>
    <x v="1"/>
    <x v="0"/>
    <x v="3"/>
    <x v="28"/>
    <x v="3"/>
    <x v="3"/>
    <x v="3"/>
  </r>
  <r>
    <x v="323"/>
    <x v="0"/>
    <x v="6"/>
    <x v="1"/>
    <x v="5"/>
    <x v="3"/>
    <x v="8"/>
    <x v="6"/>
    <x v="1"/>
    <x v="1"/>
  </r>
  <r>
    <x v="323"/>
    <x v="1"/>
    <x v="7"/>
    <x v="0"/>
    <x v="6"/>
    <x v="0"/>
    <x v="81"/>
    <x v="7"/>
    <x v="0"/>
    <x v="0"/>
  </r>
  <r>
    <x v="323"/>
    <x v="2"/>
    <x v="13"/>
    <x v="1"/>
    <x v="11"/>
    <x v="0"/>
    <x v="78"/>
    <x v="12"/>
    <x v="5"/>
    <x v="5"/>
  </r>
  <r>
    <x v="323"/>
    <x v="3"/>
    <x v="23"/>
    <x v="0"/>
    <x v="7"/>
    <x v="2"/>
    <x v="72"/>
    <x v="20"/>
    <x v="0"/>
    <x v="0"/>
  </r>
  <r>
    <x v="323"/>
    <x v="4"/>
    <x v="10"/>
    <x v="0"/>
    <x v="8"/>
    <x v="2"/>
    <x v="101"/>
    <x v="9"/>
    <x v="0"/>
    <x v="0"/>
  </r>
  <r>
    <x v="324"/>
    <x v="0"/>
    <x v="14"/>
    <x v="0"/>
    <x v="12"/>
    <x v="2"/>
    <x v="55"/>
    <x v="13"/>
    <x v="1"/>
    <x v="1"/>
  </r>
  <r>
    <x v="324"/>
    <x v="1"/>
    <x v="10"/>
    <x v="0"/>
    <x v="8"/>
    <x v="0"/>
    <x v="57"/>
    <x v="9"/>
    <x v="0"/>
    <x v="0"/>
  </r>
  <r>
    <x v="324"/>
    <x v="2"/>
    <x v="18"/>
    <x v="1"/>
    <x v="14"/>
    <x v="0"/>
    <x v="117"/>
    <x v="16"/>
    <x v="1"/>
    <x v="1"/>
  </r>
  <r>
    <x v="325"/>
    <x v="0"/>
    <x v="10"/>
    <x v="0"/>
    <x v="8"/>
    <x v="3"/>
    <x v="98"/>
    <x v="9"/>
    <x v="0"/>
    <x v="0"/>
  </r>
  <r>
    <x v="325"/>
    <x v="1"/>
    <x v="19"/>
    <x v="0"/>
    <x v="15"/>
    <x v="1"/>
    <x v="75"/>
    <x v="17"/>
    <x v="5"/>
    <x v="5"/>
  </r>
  <r>
    <x v="326"/>
    <x v="0"/>
    <x v="10"/>
    <x v="1"/>
    <x v="8"/>
    <x v="1"/>
    <x v="30"/>
    <x v="9"/>
    <x v="0"/>
    <x v="0"/>
  </r>
  <r>
    <x v="326"/>
    <x v="1"/>
    <x v="17"/>
    <x v="0"/>
    <x v="11"/>
    <x v="1"/>
    <x v="36"/>
    <x v="15"/>
    <x v="0"/>
    <x v="0"/>
  </r>
  <r>
    <x v="326"/>
    <x v="2"/>
    <x v="4"/>
    <x v="0"/>
    <x v="3"/>
    <x v="2"/>
    <x v="143"/>
    <x v="4"/>
    <x v="1"/>
    <x v="1"/>
  </r>
  <r>
    <x v="327"/>
    <x v="0"/>
    <x v="18"/>
    <x v="1"/>
    <x v="14"/>
    <x v="3"/>
    <x v="110"/>
    <x v="16"/>
    <x v="1"/>
    <x v="1"/>
  </r>
  <r>
    <x v="328"/>
    <x v="0"/>
    <x v="15"/>
    <x v="1"/>
    <x v="11"/>
    <x v="1"/>
    <x v="35"/>
    <x v="12"/>
    <x v="0"/>
    <x v="0"/>
  </r>
  <r>
    <x v="328"/>
    <x v="1"/>
    <x v="1"/>
    <x v="1"/>
    <x v="1"/>
    <x v="2"/>
    <x v="134"/>
    <x v="1"/>
    <x v="1"/>
    <x v="1"/>
  </r>
  <r>
    <x v="328"/>
    <x v="2"/>
    <x v="19"/>
    <x v="0"/>
    <x v="15"/>
    <x v="0"/>
    <x v="122"/>
    <x v="17"/>
    <x v="5"/>
    <x v="5"/>
  </r>
  <r>
    <x v="328"/>
    <x v="3"/>
    <x v="7"/>
    <x v="0"/>
    <x v="6"/>
    <x v="1"/>
    <x v="9"/>
    <x v="7"/>
    <x v="0"/>
    <x v="0"/>
  </r>
  <r>
    <x v="328"/>
    <x v="4"/>
    <x v="8"/>
    <x v="1"/>
    <x v="0"/>
    <x v="2"/>
    <x v="3"/>
    <x v="3"/>
    <x v="3"/>
    <x v="3"/>
  </r>
  <r>
    <x v="329"/>
    <x v="0"/>
    <x v="20"/>
    <x v="1"/>
    <x v="11"/>
    <x v="2"/>
    <x v="64"/>
    <x v="15"/>
    <x v="5"/>
    <x v="5"/>
  </r>
  <r>
    <x v="330"/>
    <x v="0"/>
    <x v="7"/>
    <x v="1"/>
    <x v="6"/>
    <x v="3"/>
    <x v="17"/>
    <x v="7"/>
    <x v="0"/>
    <x v="0"/>
  </r>
  <r>
    <x v="331"/>
    <x v="0"/>
    <x v="9"/>
    <x v="1"/>
    <x v="7"/>
    <x v="2"/>
    <x v="32"/>
    <x v="8"/>
    <x v="0"/>
    <x v="0"/>
  </r>
  <r>
    <x v="332"/>
    <x v="0"/>
    <x v="9"/>
    <x v="1"/>
    <x v="7"/>
    <x v="1"/>
    <x v="53"/>
    <x v="8"/>
    <x v="0"/>
    <x v="0"/>
  </r>
  <r>
    <x v="332"/>
    <x v="1"/>
    <x v="1"/>
    <x v="1"/>
    <x v="1"/>
    <x v="2"/>
    <x v="134"/>
    <x v="1"/>
    <x v="1"/>
    <x v="1"/>
  </r>
  <r>
    <x v="332"/>
    <x v="2"/>
    <x v="5"/>
    <x v="0"/>
    <x v="4"/>
    <x v="0"/>
    <x v="90"/>
    <x v="5"/>
    <x v="1"/>
    <x v="1"/>
  </r>
  <r>
    <x v="333"/>
    <x v="0"/>
    <x v="3"/>
    <x v="1"/>
    <x v="0"/>
    <x v="0"/>
    <x v="24"/>
    <x v="3"/>
    <x v="0"/>
    <x v="0"/>
  </r>
  <r>
    <x v="333"/>
    <x v="1"/>
    <x v="11"/>
    <x v="0"/>
    <x v="9"/>
    <x v="2"/>
    <x v="121"/>
    <x v="10"/>
    <x v="4"/>
    <x v="4"/>
  </r>
  <r>
    <x v="333"/>
    <x v="2"/>
    <x v="5"/>
    <x v="1"/>
    <x v="4"/>
    <x v="2"/>
    <x v="79"/>
    <x v="5"/>
    <x v="1"/>
    <x v="1"/>
  </r>
  <r>
    <x v="334"/>
    <x v="0"/>
    <x v="18"/>
    <x v="0"/>
    <x v="14"/>
    <x v="3"/>
    <x v="107"/>
    <x v="16"/>
    <x v="1"/>
    <x v="1"/>
  </r>
  <r>
    <x v="334"/>
    <x v="1"/>
    <x v="6"/>
    <x v="1"/>
    <x v="5"/>
    <x v="3"/>
    <x v="8"/>
    <x v="6"/>
    <x v="1"/>
    <x v="1"/>
  </r>
  <r>
    <x v="334"/>
    <x v="2"/>
    <x v="20"/>
    <x v="0"/>
    <x v="11"/>
    <x v="1"/>
    <x v="36"/>
    <x v="15"/>
    <x v="5"/>
    <x v="5"/>
  </r>
  <r>
    <x v="335"/>
    <x v="0"/>
    <x v="4"/>
    <x v="0"/>
    <x v="3"/>
    <x v="3"/>
    <x v="66"/>
    <x v="4"/>
    <x v="1"/>
    <x v="1"/>
  </r>
  <r>
    <x v="335"/>
    <x v="1"/>
    <x v="10"/>
    <x v="0"/>
    <x v="8"/>
    <x v="0"/>
    <x v="57"/>
    <x v="9"/>
    <x v="0"/>
    <x v="0"/>
  </r>
  <r>
    <x v="336"/>
    <x v="0"/>
    <x v="9"/>
    <x v="0"/>
    <x v="7"/>
    <x v="2"/>
    <x v="72"/>
    <x v="8"/>
    <x v="0"/>
    <x v="0"/>
  </r>
  <r>
    <x v="336"/>
    <x v="1"/>
    <x v="4"/>
    <x v="0"/>
    <x v="3"/>
    <x v="2"/>
    <x v="143"/>
    <x v="4"/>
    <x v="1"/>
    <x v="1"/>
  </r>
  <r>
    <x v="337"/>
    <x v="0"/>
    <x v="18"/>
    <x v="1"/>
    <x v="14"/>
    <x v="1"/>
    <x v="138"/>
    <x v="16"/>
    <x v="1"/>
    <x v="1"/>
  </r>
  <r>
    <x v="337"/>
    <x v="1"/>
    <x v="2"/>
    <x v="0"/>
    <x v="2"/>
    <x v="1"/>
    <x v="43"/>
    <x v="2"/>
    <x v="2"/>
    <x v="2"/>
  </r>
  <r>
    <x v="337"/>
    <x v="2"/>
    <x v="13"/>
    <x v="0"/>
    <x v="11"/>
    <x v="3"/>
    <x v="21"/>
    <x v="12"/>
    <x v="5"/>
    <x v="5"/>
  </r>
  <r>
    <x v="337"/>
    <x v="3"/>
    <x v="16"/>
    <x v="1"/>
    <x v="13"/>
    <x v="1"/>
    <x v="136"/>
    <x v="14"/>
    <x v="2"/>
    <x v="2"/>
  </r>
  <r>
    <x v="337"/>
    <x v="4"/>
    <x v="11"/>
    <x v="0"/>
    <x v="9"/>
    <x v="2"/>
    <x v="121"/>
    <x v="10"/>
    <x v="4"/>
    <x v="4"/>
  </r>
  <r>
    <x v="338"/>
    <x v="0"/>
    <x v="17"/>
    <x v="0"/>
    <x v="11"/>
    <x v="3"/>
    <x v="21"/>
    <x v="15"/>
    <x v="0"/>
    <x v="0"/>
  </r>
  <r>
    <x v="338"/>
    <x v="1"/>
    <x v="12"/>
    <x v="1"/>
    <x v="10"/>
    <x v="2"/>
    <x v="94"/>
    <x v="11"/>
    <x v="0"/>
    <x v="0"/>
  </r>
  <r>
    <x v="339"/>
    <x v="0"/>
    <x v="16"/>
    <x v="0"/>
    <x v="13"/>
    <x v="2"/>
    <x v="26"/>
    <x v="14"/>
    <x v="2"/>
    <x v="2"/>
  </r>
  <r>
    <x v="339"/>
    <x v="1"/>
    <x v="24"/>
    <x v="0"/>
    <x v="8"/>
    <x v="2"/>
    <x v="101"/>
    <x v="9"/>
    <x v="3"/>
    <x v="3"/>
  </r>
  <r>
    <x v="339"/>
    <x v="2"/>
    <x v="17"/>
    <x v="1"/>
    <x v="11"/>
    <x v="3"/>
    <x v="23"/>
    <x v="15"/>
    <x v="0"/>
    <x v="0"/>
  </r>
  <r>
    <x v="339"/>
    <x v="3"/>
    <x v="10"/>
    <x v="1"/>
    <x v="8"/>
    <x v="1"/>
    <x v="30"/>
    <x v="9"/>
    <x v="0"/>
    <x v="0"/>
  </r>
  <r>
    <x v="339"/>
    <x v="4"/>
    <x v="2"/>
    <x v="1"/>
    <x v="2"/>
    <x v="3"/>
    <x v="70"/>
    <x v="2"/>
    <x v="2"/>
    <x v="2"/>
  </r>
  <r>
    <x v="340"/>
    <x v="0"/>
    <x v="19"/>
    <x v="1"/>
    <x v="15"/>
    <x v="2"/>
    <x v="89"/>
    <x v="17"/>
    <x v="5"/>
    <x v="5"/>
  </r>
  <r>
    <x v="341"/>
    <x v="0"/>
    <x v="8"/>
    <x v="0"/>
    <x v="0"/>
    <x v="1"/>
    <x v="5"/>
    <x v="3"/>
    <x v="3"/>
    <x v="3"/>
  </r>
  <r>
    <x v="341"/>
    <x v="1"/>
    <x v="11"/>
    <x v="0"/>
    <x v="9"/>
    <x v="0"/>
    <x v="141"/>
    <x v="10"/>
    <x v="4"/>
    <x v="4"/>
  </r>
  <r>
    <x v="341"/>
    <x v="2"/>
    <x v="3"/>
    <x v="1"/>
    <x v="0"/>
    <x v="3"/>
    <x v="28"/>
    <x v="3"/>
    <x v="0"/>
    <x v="0"/>
  </r>
  <r>
    <x v="342"/>
    <x v="0"/>
    <x v="0"/>
    <x v="1"/>
    <x v="0"/>
    <x v="0"/>
    <x v="24"/>
    <x v="0"/>
    <x v="0"/>
    <x v="0"/>
  </r>
  <r>
    <x v="342"/>
    <x v="1"/>
    <x v="22"/>
    <x v="0"/>
    <x v="17"/>
    <x v="2"/>
    <x v="111"/>
    <x v="19"/>
    <x v="3"/>
    <x v="3"/>
  </r>
  <r>
    <x v="342"/>
    <x v="2"/>
    <x v="21"/>
    <x v="1"/>
    <x v="16"/>
    <x v="2"/>
    <x v="131"/>
    <x v="18"/>
    <x v="1"/>
    <x v="1"/>
  </r>
  <r>
    <x v="342"/>
    <x v="3"/>
    <x v="2"/>
    <x v="0"/>
    <x v="2"/>
    <x v="3"/>
    <x v="139"/>
    <x v="2"/>
    <x v="2"/>
    <x v="2"/>
  </r>
  <r>
    <x v="343"/>
    <x v="0"/>
    <x v="13"/>
    <x v="0"/>
    <x v="11"/>
    <x v="2"/>
    <x v="18"/>
    <x v="12"/>
    <x v="5"/>
    <x v="5"/>
  </r>
  <r>
    <x v="343"/>
    <x v="1"/>
    <x v="9"/>
    <x v="1"/>
    <x v="7"/>
    <x v="1"/>
    <x v="53"/>
    <x v="8"/>
    <x v="0"/>
    <x v="0"/>
  </r>
  <r>
    <x v="343"/>
    <x v="2"/>
    <x v="15"/>
    <x v="0"/>
    <x v="11"/>
    <x v="0"/>
    <x v="51"/>
    <x v="12"/>
    <x v="0"/>
    <x v="0"/>
  </r>
  <r>
    <x v="344"/>
    <x v="0"/>
    <x v="9"/>
    <x v="1"/>
    <x v="7"/>
    <x v="3"/>
    <x v="106"/>
    <x v="8"/>
    <x v="0"/>
    <x v="0"/>
  </r>
  <r>
    <x v="344"/>
    <x v="1"/>
    <x v="24"/>
    <x v="1"/>
    <x v="8"/>
    <x v="1"/>
    <x v="30"/>
    <x v="9"/>
    <x v="3"/>
    <x v="3"/>
  </r>
  <r>
    <x v="345"/>
    <x v="0"/>
    <x v="17"/>
    <x v="0"/>
    <x v="11"/>
    <x v="1"/>
    <x v="36"/>
    <x v="15"/>
    <x v="0"/>
    <x v="0"/>
  </r>
  <r>
    <x v="345"/>
    <x v="1"/>
    <x v="19"/>
    <x v="0"/>
    <x v="15"/>
    <x v="0"/>
    <x v="122"/>
    <x v="17"/>
    <x v="5"/>
    <x v="5"/>
  </r>
  <r>
    <x v="345"/>
    <x v="2"/>
    <x v="20"/>
    <x v="0"/>
    <x v="11"/>
    <x v="3"/>
    <x v="21"/>
    <x v="15"/>
    <x v="5"/>
    <x v="5"/>
  </r>
  <r>
    <x v="345"/>
    <x v="3"/>
    <x v="12"/>
    <x v="0"/>
    <x v="10"/>
    <x v="2"/>
    <x v="119"/>
    <x v="11"/>
    <x v="0"/>
    <x v="0"/>
  </r>
  <r>
    <x v="345"/>
    <x v="4"/>
    <x v="9"/>
    <x v="1"/>
    <x v="7"/>
    <x v="2"/>
    <x v="32"/>
    <x v="8"/>
    <x v="0"/>
    <x v="0"/>
  </r>
  <r>
    <x v="346"/>
    <x v="0"/>
    <x v="19"/>
    <x v="0"/>
    <x v="15"/>
    <x v="1"/>
    <x v="75"/>
    <x v="17"/>
    <x v="5"/>
    <x v="5"/>
  </r>
  <r>
    <x v="347"/>
    <x v="0"/>
    <x v="21"/>
    <x v="1"/>
    <x v="16"/>
    <x v="2"/>
    <x v="131"/>
    <x v="18"/>
    <x v="1"/>
    <x v="1"/>
  </r>
  <r>
    <x v="347"/>
    <x v="1"/>
    <x v="12"/>
    <x v="1"/>
    <x v="10"/>
    <x v="1"/>
    <x v="109"/>
    <x v="11"/>
    <x v="0"/>
    <x v="0"/>
  </r>
  <r>
    <x v="348"/>
    <x v="0"/>
    <x v="0"/>
    <x v="1"/>
    <x v="0"/>
    <x v="0"/>
    <x v="24"/>
    <x v="0"/>
    <x v="0"/>
    <x v="0"/>
  </r>
  <r>
    <x v="349"/>
    <x v="0"/>
    <x v="18"/>
    <x v="1"/>
    <x v="14"/>
    <x v="2"/>
    <x v="124"/>
    <x v="16"/>
    <x v="1"/>
    <x v="1"/>
  </r>
  <r>
    <x v="349"/>
    <x v="1"/>
    <x v="0"/>
    <x v="0"/>
    <x v="0"/>
    <x v="1"/>
    <x v="5"/>
    <x v="0"/>
    <x v="0"/>
    <x v="0"/>
  </r>
  <r>
    <x v="349"/>
    <x v="2"/>
    <x v="5"/>
    <x v="0"/>
    <x v="4"/>
    <x v="1"/>
    <x v="133"/>
    <x v="5"/>
    <x v="1"/>
    <x v="1"/>
  </r>
  <r>
    <x v="350"/>
    <x v="0"/>
    <x v="4"/>
    <x v="1"/>
    <x v="3"/>
    <x v="2"/>
    <x v="49"/>
    <x v="4"/>
    <x v="1"/>
    <x v="1"/>
  </r>
  <r>
    <x v="350"/>
    <x v="1"/>
    <x v="24"/>
    <x v="1"/>
    <x v="8"/>
    <x v="3"/>
    <x v="97"/>
    <x v="9"/>
    <x v="3"/>
    <x v="3"/>
  </r>
  <r>
    <x v="350"/>
    <x v="2"/>
    <x v="0"/>
    <x v="0"/>
    <x v="0"/>
    <x v="0"/>
    <x v="0"/>
    <x v="0"/>
    <x v="0"/>
    <x v="0"/>
  </r>
  <r>
    <x v="350"/>
    <x v="3"/>
    <x v="13"/>
    <x v="1"/>
    <x v="11"/>
    <x v="1"/>
    <x v="35"/>
    <x v="12"/>
    <x v="5"/>
    <x v="5"/>
  </r>
  <r>
    <x v="351"/>
    <x v="0"/>
    <x v="16"/>
    <x v="0"/>
    <x v="13"/>
    <x v="0"/>
    <x v="114"/>
    <x v="14"/>
    <x v="2"/>
    <x v="2"/>
  </r>
  <r>
    <x v="351"/>
    <x v="1"/>
    <x v="15"/>
    <x v="0"/>
    <x v="11"/>
    <x v="0"/>
    <x v="51"/>
    <x v="12"/>
    <x v="0"/>
    <x v="0"/>
  </r>
  <r>
    <x v="352"/>
    <x v="0"/>
    <x v="6"/>
    <x v="1"/>
    <x v="5"/>
    <x v="0"/>
    <x v="39"/>
    <x v="6"/>
    <x v="1"/>
    <x v="1"/>
  </r>
  <r>
    <x v="353"/>
    <x v="0"/>
    <x v="20"/>
    <x v="0"/>
    <x v="11"/>
    <x v="0"/>
    <x v="51"/>
    <x v="15"/>
    <x v="5"/>
    <x v="5"/>
  </r>
  <r>
    <x v="353"/>
    <x v="1"/>
    <x v="23"/>
    <x v="0"/>
    <x v="7"/>
    <x v="2"/>
    <x v="72"/>
    <x v="20"/>
    <x v="0"/>
    <x v="0"/>
  </r>
  <r>
    <x v="354"/>
    <x v="0"/>
    <x v="3"/>
    <x v="0"/>
    <x v="0"/>
    <x v="3"/>
    <x v="12"/>
    <x v="3"/>
    <x v="0"/>
    <x v="0"/>
  </r>
  <r>
    <x v="354"/>
    <x v="1"/>
    <x v="15"/>
    <x v="1"/>
    <x v="11"/>
    <x v="1"/>
    <x v="35"/>
    <x v="12"/>
    <x v="0"/>
    <x v="0"/>
  </r>
  <r>
    <x v="355"/>
    <x v="0"/>
    <x v="19"/>
    <x v="1"/>
    <x v="15"/>
    <x v="2"/>
    <x v="89"/>
    <x v="17"/>
    <x v="5"/>
    <x v="5"/>
  </r>
  <r>
    <x v="355"/>
    <x v="1"/>
    <x v="4"/>
    <x v="0"/>
    <x v="3"/>
    <x v="2"/>
    <x v="143"/>
    <x v="4"/>
    <x v="1"/>
    <x v="1"/>
  </r>
  <r>
    <x v="355"/>
    <x v="2"/>
    <x v="17"/>
    <x v="0"/>
    <x v="11"/>
    <x v="2"/>
    <x v="18"/>
    <x v="15"/>
    <x v="0"/>
    <x v="0"/>
  </r>
  <r>
    <x v="356"/>
    <x v="0"/>
    <x v="7"/>
    <x v="1"/>
    <x v="6"/>
    <x v="2"/>
    <x v="27"/>
    <x v="7"/>
    <x v="0"/>
    <x v="0"/>
  </r>
  <r>
    <x v="356"/>
    <x v="1"/>
    <x v="20"/>
    <x v="1"/>
    <x v="11"/>
    <x v="1"/>
    <x v="35"/>
    <x v="15"/>
    <x v="5"/>
    <x v="5"/>
  </r>
  <r>
    <x v="356"/>
    <x v="2"/>
    <x v="24"/>
    <x v="0"/>
    <x v="8"/>
    <x v="1"/>
    <x v="77"/>
    <x v="9"/>
    <x v="3"/>
    <x v="3"/>
  </r>
  <r>
    <x v="356"/>
    <x v="3"/>
    <x v="11"/>
    <x v="0"/>
    <x v="9"/>
    <x v="2"/>
    <x v="121"/>
    <x v="10"/>
    <x v="4"/>
    <x v="4"/>
  </r>
  <r>
    <x v="357"/>
    <x v="0"/>
    <x v="20"/>
    <x v="1"/>
    <x v="11"/>
    <x v="3"/>
    <x v="23"/>
    <x v="15"/>
    <x v="5"/>
    <x v="5"/>
  </r>
  <r>
    <x v="357"/>
    <x v="1"/>
    <x v="18"/>
    <x v="1"/>
    <x v="14"/>
    <x v="1"/>
    <x v="138"/>
    <x v="16"/>
    <x v="1"/>
    <x v="1"/>
  </r>
  <r>
    <x v="357"/>
    <x v="2"/>
    <x v="1"/>
    <x v="1"/>
    <x v="1"/>
    <x v="2"/>
    <x v="134"/>
    <x v="1"/>
    <x v="1"/>
    <x v="1"/>
  </r>
  <r>
    <x v="357"/>
    <x v="3"/>
    <x v="9"/>
    <x v="1"/>
    <x v="7"/>
    <x v="3"/>
    <x v="106"/>
    <x v="8"/>
    <x v="0"/>
    <x v="0"/>
  </r>
  <r>
    <x v="358"/>
    <x v="0"/>
    <x v="12"/>
    <x v="1"/>
    <x v="10"/>
    <x v="1"/>
    <x v="109"/>
    <x v="11"/>
    <x v="0"/>
    <x v="0"/>
  </r>
  <r>
    <x v="358"/>
    <x v="1"/>
    <x v="11"/>
    <x v="1"/>
    <x v="9"/>
    <x v="1"/>
    <x v="14"/>
    <x v="10"/>
    <x v="4"/>
    <x v="4"/>
  </r>
  <r>
    <x v="358"/>
    <x v="2"/>
    <x v="14"/>
    <x v="1"/>
    <x v="12"/>
    <x v="0"/>
    <x v="61"/>
    <x v="13"/>
    <x v="1"/>
    <x v="1"/>
  </r>
  <r>
    <x v="359"/>
    <x v="0"/>
    <x v="8"/>
    <x v="0"/>
    <x v="0"/>
    <x v="2"/>
    <x v="7"/>
    <x v="3"/>
    <x v="3"/>
    <x v="3"/>
  </r>
  <r>
    <x v="359"/>
    <x v="1"/>
    <x v="14"/>
    <x v="1"/>
    <x v="12"/>
    <x v="0"/>
    <x v="61"/>
    <x v="13"/>
    <x v="1"/>
    <x v="1"/>
  </r>
  <r>
    <x v="359"/>
    <x v="2"/>
    <x v="17"/>
    <x v="1"/>
    <x v="11"/>
    <x v="2"/>
    <x v="64"/>
    <x v="15"/>
    <x v="0"/>
    <x v="0"/>
  </r>
  <r>
    <x v="359"/>
    <x v="3"/>
    <x v="22"/>
    <x v="0"/>
    <x v="17"/>
    <x v="3"/>
    <x v="93"/>
    <x v="19"/>
    <x v="3"/>
    <x v="3"/>
  </r>
  <r>
    <x v="360"/>
    <x v="0"/>
    <x v="24"/>
    <x v="1"/>
    <x v="8"/>
    <x v="2"/>
    <x v="11"/>
    <x v="9"/>
    <x v="3"/>
    <x v="3"/>
  </r>
  <r>
    <x v="360"/>
    <x v="1"/>
    <x v="18"/>
    <x v="1"/>
    <x v="14"/>
    <x v="3"/>
    <x v="110"/>
    <x v="16"/>
    <x v="1"/>
    <x v="1"/>
  </r>
  <r>
    <x v="360"/>
    <x v="2"/>
    <x v="16"/>
    <x v="0"/>
    <x v="13"/>
    <x v="3"/>
    <x v="86"/>
    <x v="14"/>
    <x v="2"/>
    <x v="2"/>
  </r>
  <r>
    <x v="361"/>
    <x v="0"/>
    <x v="6"/>
    <x v="0"/>
    <x v="5"/>
    <x v="1"/>
    <x v="116"/>
    <x v="6"/>
    <x v="1"/>
    <x v="1"/>
  </r>
  <r>
    <x v="362"/>
    <x v="0"/>
    <x v="20"/>
    <x v="1"/>
    <x v="11"/>
    <x v="3"/>
    <x v="23"/>
    <x v="15"/>
    <x v="5"/>
    <x v="5"/>
  </r>
  <r>
    <x v="362"/>
    <x v="1"/>
    <x v="15"/>
    <x v="0"/>
    <x v="11"/>
    <x v="1"/>
    <x v="36"/>
    <x v="12"/>
    <x v="0"/>
    <x v="0"/>
  </r>
  <r>
    <x v="362"/>
    <x v="2"/>
    <x v="12"/>
    <x v="0"/>
    <x v="10"/>
    <x v="3"/>
    <x v="80"/>
    <x v="11"/>
    <x v="0"/>
    <x v="0"/>
  </r>
  <r>
    <x v="362"/>
    <x v="3"/>
    <x v="0"/>
    <x v="0"/>
    <x v="0"/>
    <x v="0"/>
    <x v="0"/>
    <x v="0"/>
    <x v="0"/>
    <x v="0"/>
  </r>
  <r>
    <x v="363"/>
    <x v="0"/>
    <x v="22"/>
    <x v="1"/>
    <x v="17"/>
    <x v="2"/>
    <x v="41"/>
    <x v="19"/>
    <x v="3"/>
    <x v="3"/>
  </r>
  <r>
    <x v="364"/>
    <x v="0"/>
    <x v="24"/>
    <x v="1"/>
    <x v="8"/>
    <x v="1"/>
    <x v="30"/>
    <x v="9"/>
    <x v="3"/>
    <x v="3"/>
  </r>
  <r>
    <x v="365"/>
    <x v="0"/>
    <x v="20"/>
    <x v="0"/>
    <x v="11"/>
    <x v="3"/>
    <x v="21"/>
    <x v="15"/>
    <x v="5"/>
    <x v="5"/>
  </r>
  <r>
    <x v="365"/>
    <x v="1"/>
    <x v="4"/>
    <x v="0"/>
    <x v="3"/>
    <x v="1"/>
    <x v="123"/>
    <x v="4"/>
    <x v="1"/>
    <x v="1"/>
  </r>
  <r>
    <x v="365"/>
    <x v="2"/>
    <x v="3"/>
    <x v="1"/>
    <x v="0"/>
    <x v="0"/>
    <x v="24"/>
    <x v="3"/>
    <x v="0"/>
    <x v="0"/>
  </r>
  <r>
    <x v="366"/>
    <x v="0"/>
    <x v="8"/>
    <x v="1"/>
    <x v="0"/>
    <x v="3"/>
    <x v="28"/>
    <x v="3"/>
    <x v="3"/>
    <x v="3"/>
  </r>
  <r>
    <x v="366"/>
    <x v="1"/>
    <x v="15"/>
    <x v="0"/>
    <x v="11"/>
    <x v="2"/>
    <x v="18"/>
    <x v="12"/>
    <x v="0"/>
    <x v="0"/>
  </r>
  <r>
    <x v="366"/>
    <x v="2"/>
    <x v="2"/>
    <x v="1"/>
    <x v="2"/>
    <x v="2"/>
    <x v="2"/>
    <x v="2"/>
    <x v="2"/>
    <x v="2"/>
  </r>
  <r>
    <x v="367"/>
    <x v="0"/>
    <x v="21"/>
    <x v="0"/>
    <x v="16"/>
    <x v="0"/>
    <x v="58"/>
    <x v="18"/>
    <x v="1"/>
    <x v="1"/>
  </r>
  <r>
    <x v="367"/>
    <x v="1"/>
    <x v="2"/>
    <x v="1"/>
    <x v="2"/>
    <x v="0"/>
    <x v="54"/>
    <x v="2"/>
    <x v="2"/>
    <x v="2"/>
  </r>
  <r>
    <x v="367"/>
    <x v="2"/>
    <x v="20"/>
    <x v="1"/>
    <x v="11"/>
    <x v="3"/>
    <x v="23"/>
    <x v="15"/>
    <x v="5"/>
    <x v="5"/>
  </r>
  <r>
    <x v="367"/>
    <x v="3"/>
    <x v="23"/>
    <x v="0"/>
    <x v="7"/>
    <x v="2"/>
    <x v="72"/>
    <x v="20"/>
    <x v="0"/>
    <x v="0"/>
  </r>
  <r>
    <x v="368"/>
    <x v="0"/>
    <x v="2"/>
    <x v="1"/>
    <x v="2"/>
    <x v="1"/>
    <x v="46"/>
    <x v="2"/>
    <x v="2"/>
    <x v="2"/>
  </r>
  <r>
    <x v="369"/>
    <x v="0"/>
    <x v="22"/>
    <x v="1"/>
    <x v="17"/>
    <x v="2"/>
    <x v="41"/>
    <x v="19"/>
    <x v="3"/>
    <x v="3"/>
  </r>
  <r>
    <x v="369"/>
    <x v="1"/>
    <x v="4"/>
    <x v="1"/>
    <x v="3"/>
    <x v="3"/>
    <x v="25"/>
    <x v="4"/>
    <x v="1"/>
    <x v="1"/>
  </r>
  <r>
    <x v="370"/>
    <x v="0"/>
    <x v="15"/>
    <x v="0"/>
    <x v="11"/>
    <x v="0"/>
    <x v="51"/>
    <x v="12"/>
    <x v="0"/>
    <x v="0"/>
  </r>
  <r>
    <x v="370"/>
    <x v="1"/>
    <x v="10"/>
    <x v="0"/>
    <x v="8"/>
    <x v="0"/>
    <x v="57"/>
    <x v="9"/>
    <x v="0"/>
    <x v="0"/>
  </r>
  <r>
    <x v="371"/>
    <x v="0"/>
    <x v="16"/>
    <x v="0"/>
    <x v="13"/>
    <x v="2"/>
    <x v="26"/>
    <x v="14"/>
    <x v="2"/>
    <x v="2"/>
  </r>
  <r>
    <x v="371"/>
    <x v="1"/>
    <x v="15"/>
    <x v="1"/>
    <x v="11"/>
    <x v="3"/>
    <x v="23"/>
    <x v="12"/>
    <x v="0"/>
    <x v="0"/>
  </r>
  <r>
    <x v="371"/>
    <x v="2"/>
    <x v="21"/>
    <x v="0"/>
    <x v="16"/>
    <x v="3"/>
    <x v="38"/>
    <x v="18"/>
    <x v="1"/>
    <x v="1"/>
  </r>
  <r>
    <x v="372"/>
    <x v="0"/>
    <x v="1"/>
    <x v="1"/>
    <x v="1"/>
    <x v="2"/>
    <x v="134"/>
    <x v="1"/>
    <x v="1"/>
    <x v="1"/>
  </r>
  <r>
    <x v="372"/>
    <x v="1"/>
    <x v="13"/>
    <x v="0"/>
    <x v="11"/>
    <x v="3"/>
    <x v="21"/>
    <x v="12"/>
    <x v="5"/>
    <x v="5"/>
  </r>
  <r>
    <x v="372"/>
    <x v="2"/>
    <x v="23"/>
    <x v="1"/>
    <x v="7"/>
    <x v="0"/>
    <x v="83"/>
    <x v="20"/>
    <x v="0"/>
    <x v="0"/>
  </r>
  <r>
    <x v="372"/>
    <x v="3"/>
    <x v="10"/>
    <x v="0"/>
    <x v="8"/>
    <x v="3"/>
    <x v="98"/>
    <x v="9"/>
    <x v="0"/>
    <x v="0"/>
  </r>
  <r>
    <x v="372"/>
    <x v="4"/>
    <x v="17"/>
    <x v="0"/>
    <x v="11"/>
    <x v="3"/>
    <x v="21"/>
    <x v="15"/>
    <x v="0"/>
    <x v="0"/>
  </r>
  <r>
    <x v="373"/>
    <x v="0"/>
    <x v="2"/>
    <x v="0"/>
    <x v="2"/>
    <x v="3"/>
    <x v="139"/>
    <x v="2"/>
    <x v="2"/>
    <x v="2"/>
  </r>
  <r>
    <x v="373"/>
    <x v="1"/>
    <x v="14"/>
    <x v="0"/>
    <x v="12"/>
    <x v="1"/>
    <x v="140"/>
    <x v="13"/>
    <x v="1"/>
    <x v="1"/>
  </r>
  <r>
    <x v="374"/>
    <x v="0"/>
    <x v="20"/>
    <x v="1"/>
    <x v="11"/>
    <x v="2"/>
    <x v="64"/>
    <x v="15"/>
    <x v="5"/>
    <x v="5"/>
  </r>
  <r>
    <x v="374"/>
    <x v="1"/>
    <x v="6"/>
    <x v="1"/>
    <x v="5"/>
    <x v="2"/>
    <x v="125"/>
    <x v="6"/>
    <x v="1"/>
    <x v="1"/>
  </r>
  <r>
    <x v="374"/>
    <x v="2"/>
    <x v="4"/>
    <x v="1"/>
    <x v="3"/>
    <x v="1"/>
    <x v="127"/>
    <x v="4"/>
    <x v="1"/>
    <x v="1"/>
  </r>
  <r>
    <x v="374"/>
    <x v="3"/>
    <x v="10"/>
    <x v="1"/>
    <x v="8"/>
    <x v="2"/>
    <x v="11"/>
    <x v="9"/>
    <x v="0"/>
    <x v="0"/>
  </r>
  <r>
    <x v="375"/>
    <x v="0"/>
    <x v="6"/>
    <x v="1"/>
    <x v="5"/>
    <x v="1"/>
    <x v="130"/>
    <x v="6"/>
    <x v="1"/>
    <x v="1"/>
  </r>
  <r>
    <x v="375"/>
    <x v="1"/>
    <x v="19"/>
    <x v="1"/>
    <x v="15"/>
    <x v="3"/>
    <x v="50"/>
    <x v="17"/>
    <x v="5"/>
    <x v="5"/>
  </r>
  <r>
    <x v="376"/>
    <x v="0"/>
    <x v="1"/>
    <x v="0"/>
    <x v="1"/>
    <x v="2"/>
    <x v="22"/>
    <x v="1"/>
    <x v="1"/>
    <x v="1"/>
  </r>
  <r>
    <x v="376"/>
    <x v="1"/>
    <x v="15"/>
    <x v="0"/>
    <x v="11"/>
    <x v="1"/>
    <x v="36"/>
    <x v="12"/>
    <x v="0"/>
    <x v="0"/>
  </r>
  <r>
    <x v="377"/>
    <x v="0"/>
    <x v="8"/>
    <x v="1"/>
    <x v="0"/>
    <x v="2"/>
    <x v="3"/>
    <x v="3"/>
    <x v="3"/>
    <x v="3"/>
  </r>
  <r>
    <x v="378"/>
    <x v="0"/>
    <x v="11"/>
    <x v="0"/>
    <x v="9"/>
    <x v="1"/>
    <x v="45"/>
    <x v="10"/>
    <x v="4"/>
    <x v="4"/>
  </r>
  <r>
    <x v="378"/>
    <x v="1"/>
    <x v="3"/>
    <x v="0"/>
    <x v="0"/>
    <x v="0"/>
    <x v="0"/>
    <x v="3"/>
    <x v="0"/>
    <x v="0"/>
  </r>
  <r>
    <x v="379"/>
    <x v="0"/>
    <x v="3"/>
    <x v="0"/>
    <x v="0"/>
    <x v="2"/>
    <x v="7"/>
    <x v="3"/>
    <x v="0"/>
    <x v="0"/>
  </r>
  <r>
    <x v="379"/>
    <x v="1"/>
    <x v="16"/>
    <x v="1"/>
    <x v="13"/>
    <x v="2"/>
    <x v="67"/>
    <x v="14"/>
    <x v="2"/>
    <x v="2"/>
  </r>
  <r>
    <x v="380"/>
    <x v="0"/>
    <x v="20"/>
    <x v="1"/>
    <x v="11"/>
    <x v="1"/>
    <x v="35"/>
    <x v="15"/>
    <x v="5"/>
    <x v="5"/>
  </r>
  <r>
    <x v="381"/>
    <x v="0"/>
    <x v="1"/>
    <x v="0"/>
    <x v="1"/>
    <x v="3"/>
    <x v="112"/>
    <x v="1"/>
    <x v="1"/>
    <x v="1"/>
  </r>
  <r>
    <x v="381"/>
    <x v="1"/>
    <x v="11"/>
    <x v="0"/>
    <x v="9"/>
    <x v="3"/>
    <x v="128"/>
    <x v="10"/>
    <x v="4"/>
    <x v="4"/>
  </r>
  <r>
    <x v="381"/>
    <x v="2"/>
    <x v="17"/>
    <x v="0"/>
    <x v="11"/>
    <x v="1"/>
    <x v="36"/>
    <x v="15"/>
    <x v="0"/>
    <x v="0"/>
  </r>
  <r>
    <x v="382"/>
    <x v="0"/>
    <x v="23"/>
    <x v="0"/>
    <x v="7"/>
    <x v="1"/>
    <x v="10"/>
    <x v="20"/>
    <x v="0"/>
    <x v="0"/>
  </r>
  <r>
    <x v="382"/>
    <x v="1"/>
    <x v="13"/>
    <x v="1"/>
    <x v="11"/>
    <x v="2"/>
    <x v="64"/>
    <x v="12"/>
    <x v="5"/>
    <x v="5"/>
  </r>
  <r>
    <x v="382"/>
    <x v="2"/>
    <x v="17"/>
    <x v="0"/>
    <x v="11"/>
    <x v="3"/>
    <x v="21"/>
    <x v="15"/>
    <x v="0"/>
    <x v="0"/>
  </r>
  <r>
    <x v="382"/>
    <x v="3"/>
    <x v="20"/>
    <x v="1"/>
    <x v="11"/>
    <x v="2"/>
    <x v="64"/>
    <x v="15"/>
    <x v="5"/>
    <x v="5"/>
  </r>
  <r>
    <x v="382"/>
    <x v="4"/>
    <x v="15"/>
    <x v="0"/>
    <x v="11"/>
    <x v="3"/>
    <x v="21"/>
    <x v="12"/>
    <x v="0"/>
    <x v="0"/>
  </r>
  <r>
    <x v="383"/>
    <x v="0"/>
    <x v="0"/>
    <x v="0"/>
    <x v="0"/>
    <x v="3"/>
    <x v="12"/>
    <x v="0"/>
    <x v="0"/>
    <x v="0"/>
  </r>
  <r>
    <x v="383"/>
    <x v="1"/>
    <x v="20"/>
    <x v="1"/>
    <x v="11"/>
    <x v="0"/>
    <x v="78"/>
    <x v="15"/>
    <x v="5"/>
    <x v="5"/>
  </r>
  <r>
    <x v="383"/>
    <x v="2"/>
    <x v="1"/>
    <x v="0"/>
    <x v="1"/>
    <x v="2"/>
    <x v="22"/>
    <x v="1"/>
    <x v="1"/>
    <x v="1"/>
  </r>
  <r>
    <x v="383"/>
    <x v="3"/>
    <x v="12"/>
    <x v="0"/>
    <x v="10"/>
    <x v="3"/>
    <x v="80"/>
    <x v="11"/>
    <x v="0"/>
    <x v="0"/>
  </r>
  <r>
    <x v="383"/>
    <x v="4"/>
    <x v="4"/>
    <x v="0"/>
    <x v="3"/>
    <x v="0"/>
    <x v="4"/>
    <x v="4"/>
    <x v="1"/>
    <x v="1"/>
  </r>
  <r>
    <x v="384"/>
    <x v="0"/>
    <x v="20"/>
    <x v="0"/>
    <x v="11"/>
    <x v="1"/>
    <x v="36"/>
    <x v="15"/>
    <x v="5"/>
    <x v="5"/>
  </r>
  <r>
    <x v="384"/>
    <x v="1"/>
    <x v="14"/>
    <x v="1"/>
    <x v="12"/>
    <x v="0"/>
    <x v="61"/>
    <x v="13"/>
    <x v="1"/>
    <x v="1"/>
  </r>
  <r>
    <x v="384"/>
    <x v="2"/>
    <x v="8"/>
    <x v="1"/>
    <x v="0"/>
    <x v="2"/>
    <x v="3"/>
    <x v="3"/>
    <x v="3"/>
    <x v="3"/>
  </r>
  <r>
    <x v="385"/>
    <x v="0"/>
    <x v="1"/>
    <x v="0"/>
    <x v="1"/>
    <x v="0"/>
    <x v="34"/>
    <x v="1"/>
    <x v="1"/>
    <x v="1"/>
  </r>
  <r>
    <x v="385"/>
    <x v="1"/>
    <x v="5"/>
    <x v="1"/>
    <x v="4"/>
    <x v="2"/>
    <x v="79"/>
    <x v="5"/>
    <x v="1"/>
    <x v="1"/>
  </r>
  <r>
    <x v="385"/>
    <x v="2"/>
    <x v="3"/>
    <x v="1"/>
    <x v="0"/>
    <x v="0"/>
    <x v="24"/>
    <x v="3"/>
    <x v="0"/>
    <x v="0"/>
  </r>
  <r>
    <x v="386"/>
    <x v="0"/>
    <x v="9"/>
    <x v="0"/>
    <x v="7"/>
    <x v="0"/>
    <x v="59"/>
    <x v="8"/>
    <x v="0"/>
    <x v="0"/>
  </r>
  <r>
    <x v="387"/>
    <x v="0"/>
    <x v="23"/>
    <x v="1"/>
    <x v="7"/>
    <x v="0"/>
    <x v="83"/>
    <x v="20"/>
    <x v="0"/>
    <x v="0"/>
  </r>
  <r>
    <x v="387"/>
    <x v="1"/>
    <x v="17"/>
    <x v="1"/>
    <x v="11"/>
    <x v="1"/>
    <x v="35"/>
    <x v="15"/>
    <x v="0"/>
    <x v="0"/>
  </r>
  <r>
    <x v="387"/>
    <x v="2"/>
    <x v="6"/>
    <x v="0"/>
    <x v="5"/>
    <x v="1"/>
    <x v="116"/>
    <x v="6"/>
    <x v="1"/>
    <x v="1"/>
  </r>
  <r>
    <x v="387"/>
    <x v="3"/>
    <x v="16"/>
    <x v="0"/>
    <x v="13"/>
    <x v="3"/>
    <x v="86"/>
    <x v="14"/>
    <x v="2"/>
    <x v="2"/>
  </r>
  <r>
    <x v="388"/>
    <x v="0"/>
    <x v="6"/>
    <x v="0"/>
    <x v="5"/>
    <x v="1"/>
    <x v="116"/>
    <x v="6"/>
    <x v="1"/>
    <x v="1"/>
  </r>
  <r>
    <x v="388"/>
    <x v="1"/>
    <x v="12"/>
    <x v="1"/>
    <x v="10"/>
    <x v="1"/>
    <x v="109"/>
    <x v="11"/>
    <x v="0"/>
    <x v="0"/>
  </r>
  <r>
    <x v="388"/>
    <x v="2"/>
    <x v="2"/>
    <x v="1"/>
    <x v="2"/>
    <x v="2"/>
    <x v="2"/>
    <x v="2"/>
    <x v="2"/>
    <x v="2"/>
  </r>
  <r>
    <x v="388"/>
    <x v="3"/>
    <x v="21"/>
    <x v="0"/>
    <x v="16"/>
    <x v="2"/>
    <x v="60"/>
    <x v="18"/>
    <x v="1"/>
    <x v="1"/>
  </r>
  <r>
    <x v="388"/>
    <x v="4"/>
    <x v="11"/>
    <x v="0"/>
    <x v="9"/>
    <x v="0"/>
    <x v="141"/>
    <x v="10"/>
    <x v="4"/>
    <x v="4"/>
  </r>
  <r>
    <x v="389"/>
    <x v="0"/>
    <x v="19"/>
    <x v="0"/>
    <x v="15"/>
    <x v="2"/>
    <x v="115"/>
    <x v="17"/>
    <x v="5"/>
    <x v="5"/>
  </r>
  <r>
    <x v="389"/>
    <x v="1"/>
    <x v="14"/>
    <x v="1"/>
    <x v="12"/>
    <x v="1"/>
    <x v="102"/>
    <x v="13"/>
    <x v="1"/>
    <x v="1"/>
  </r>
  <r>
    <x v="389"/>
    <x v="2"/>
    <x v="11"/>
    <x v="0"/>
    <x v="9"/>
    <x v="2"/>
    <x v="121"/>
    <x v="10"/>
    <x v="4"/>
    <x v="4"/>
  </r>
  <r>
    <x v="390"/>
    <x v="0"/>
    <x v="1"/>
    <x v="0"/>
    <x v="1"/>
    <x v="1"/>
    <x v="31"/>
    <x v="1"/>
    <x v="1"/>
    <x v="1"/>
  </r>
  <r>
    <x v="390"/>
    <x v="1"/>
    <x v="21"/>
    <x v="1"/>
    <x v="16"/>
    <x v="0"/>
    <x v="95"/>
    <x v="18"/>
    <x v="1"/>
    <x v="1"/>
  </r>
  <r>
    <x v="390"/>
    <x v="2"/>
    <x v="24"/>
    <x v="1"/>
    <x v="8"/>
    <x v="1"/>
    <x v="30"/>
    <x v="9"/>
    <x v="3"/>
    <x v="3"/>
  </r>
  <r>
    <x v="391"/>
    <x v="0"/>
    <x v="15"/>
    <x v="1"/>
    <x v="11"/>
    <x v="3"/>
    <x v="23"/>
    <x v="12"/>
    <x v="0"/>
    <x v="0"/>
  </r>
  <r>
    <x v="391"/>
    <x v="1"/>
    <x v="5"/>
    <x v="1"/>
    <x v="4"/>
    <x v="2"/>
    <x v="79"/>
    <x v="5"/>
    <x v="1"/>
    <x v="1"/>
  </r>
  <r>
    <x v="392"/>
    <x v="0"/>
    <x v="18"/>
    <x v="1"/>
    <x v="14"/>
    <x v="0"/>
    <x v="117"/>
    <x v="16"/>
    <x v="1"/>
    <x v="1"/>
  </r>
  <r>
    <x v="393"/>
    <x v="0"/>
    <x v="19"/>
    <x v="0"/>
    <x v="15"/>
    <x v="2"/>
    <x v="115"/>
    <x v="17"/>
    <x v="5"/>
    <x v="5"/>
  </r>
  <r>
    <x v="393"/>
    <x v="1"/>
    <x v="3"/>
    <x v="0"/>
    <x v="0"/>
    <x v="0"/>
    <x v="0"/>
    <x v="3"/>
    <x v="0"/>
    <x v="0"/>
  </r>
  <r>
    <x v="393"/>
    <x v="2"/>
    <x v="15"/>
    <x v="1"/>
    <x v="11"/>
    <x v="0"/>
    <x v="78"/>
    <x v="12"/>
    <x v="0"/>
    <x v="0"/>
  </r>
  <r>
    <x v="394"/>
    <x v="0"/>
    <x v="15"/>
    <x v="0"/>
    <x v="11"/>
    <x v="2"/>
    <x v="18"/>
    <x v="12"/>
    <x v="0"/>
    <x v="0"/>
  </r>
  <r>
    <x v="395"/>
    <x v="0"/>
    <x v="10"/>
    <x v="0"/>
    <x v="8"/>
    <x v="3"/>
    <x v="98"/>
    <x v="9"/>
    <x v="0"/>
    <x v="0"/>
  </r>
  <r>
    <x v="395"/>
    <x v="1"/>
    <x v="22"/>
    <x v="1"/>
    <x v="17"/>
    <x v="2"/>
    <x v="41"/>
    <x v="19"/>
    <x v="3"/>
    <x v="3"/>
  </r>
  <r>
    <x v="395"/>
    <x v="2"/>
    <x v="21"/>
    <x v="0"/>
    <x v="16"/>
    <x v="0"/>
    <x v="58"/>
    <x v="18"/>
    <x v="1"/>
    <x v="1"/>
  </r>
  <r>
    <x v="396"/>
    <x v="0"/>
    <x v="14"/>
    <x v="0"/>
    <x v="12"/>
    <x v="2"/>
    <x v="55"/>
    <x v="13"/>
    <x v="1"/>
    <x v="1"/>
  </r>
  <r>
    <x v="397"/>
    <x v="0"/>
    <x v="1"/>
    <x v="1"/>
    <x v="1"/>
    <x v="2"/>
    <x v="134"/>
    <x v="1"/>
    <x v="1"/>
    <x v="1"/>
  </r>
  <r>
    <x v="397"/>
    <x v="1"/>
    <x v="9"/>
    <x v="1"/>
    <x v="7"/>
    <x v="2"/>
    <x v="32"/>
    <x v="8"/>
    <x v="0"/>
    <x v="0"/>
  </r>
  <r>
    <x v="397"/>
    <x v="2"/>
    <x v="22"/>
    <x v="0"/>
    <x v="17"/>
    <x v="0"/>
    <x v="76"/>
    <x v="19"/>
    <x v="3"/>
    <x v="3"/>
  </r>
  <r>
    <x v="397"/>
    <x v="3"/>
    <x v="7"/>
    <x v="0"/>
    <x v="6"/>
    <x v="2"/>
    <x v="113"/>
    <x v="7"/>
    <x v="0"/>
    <x v="0"/>
  </r>
  <r>
    <x v="398"/>
    <x v="0"/>
    <x v="22"/>
    <x v="0"/>
    <x v="17"/>
    <x v="2"/>
    <x v="111"/>
    <x v="19"/>
    <x v="3"/>
    <x v="3"/>
  </r>
  <r>
    <x v="398"/>
    <x v="1"/>
    <x v="16"/>
    <x v="1"/>
    <x v="13"/>
    <x v="2"/>
    <x v="67"/>
    <x v="14"/>
    <x v="2"/>
    <x v="2"/>
  </r>
  <r>
    <x v="398"/>
    <x v="2"/>
    <x v="15"/>
    <x v="0"/>
    <x v="11"/>
    <x v="3"/>
    <x v="21"/>
    <x v="12"/>
    <x v="0"/>
    <x v="0"/>
  </r>
  <r>
    <x v="399"/>
    <x v="0"/>
    <x v="24"/>
    <x v="1"/>
    <x v="8"/>
    <x v="1"/>
    <x v="30"/>
    <x v="9"/>
    <x v="3"/>
    <x v="3"/>
  </r>
  <r>
    <x v="399"/>
    <x v="1"/>
    <x v="11"/>
    <x v="0"/>
    <x v="9"/>
    <x v="0"/>
    <x v="141"/>
    <x v="10"/>
    <x v="4"/>
    <x v="4"/>
  </r>
  <r>
    <x v="399"/>
    <x v="2"/>
    <x v="5"/>
    <x v="1"/>
    <x v="4"/>
    <x v="0"/>
    <x v="73"/>
    <x v="5"/>
    <x v="1"/>
    <x v="1"/>
  </r>
  <r>
    <x v="400"/>
    <x v="0"/>
    <x v="19"/>
    <x v="0"/>
    <x v="15"/>
    <x v="0"/>
    <x v="122"/>
    <x v="17"/>
    <x v="5"/>
    <x v="5"/>
  </r>
  <r>
    <x v="400"/>
    <x v="1"/>
    <x v="2"/>
    <x v="1"/>
    <x v="2"/>
    <x v="0"/>
    <x v="54"/>
    <x v="2"/>
    <x v="2"/>
    <x v="2"/>
  </r>
  <r>
    <x v="401"/>
    <x v="0"/>
    <x v="18"/>
    <x v="1"/>
    <x v="14"/>
    <x v="1"/>
    <x v="138"/>
    <x v="16"/>
    <x v="1"/>
    <x v="1"/>
  </r>
  <r>
    <x v="401"/>
    <x v="1"/>
    <x v="21"/>
    <x v="0"/>
    <x v="16"/>
    <x v="1"/>
    <x v="105"/>
    <x v="18"/>
    <x v="1"/>
    <x v="1"/>
  </r>
  <r>
    <x v="401"/>
    <x v="2"/>
    <x v="8"/>
    <x v="0"/>
    <x v="0"/>
    <x v="2"/>
    <x v="7"/>
    <x v="3"/>
    <x v="3"/>
    <x v="3"/>
  </r>
  <r>
    <x v="402"/>
    <x v="0"/>
    <x v="10"/>
    <x v="1"/>
    <x v="8"/>
    <x v="3"/>
    <x v="97"/>
    <x v="9"/>
    <x v="0"/>
    <x v="0"/>
  </r>
  <r>
    <x v="402"/>
    <x v="1"/>
    <x v="14"/>
    <x v="1"/>
    <x v="12"/>
    <x v="0"/>
    <x v="61"/>
    <x v="13"/>
    <x v="1"/>
    <x v="1"/>
  </r>
  <r>
    <x v="402"/>
    <x v="2"/>
    <x v="13"/>
    <x v="1"/>
    <x v="11"/>
    <x v="2"/>
    <x v="64"/>
    <x v="12"/>
    <x v="5"/>
    <x v="5"/>
  </r>
  <r>
    <x v="402"/>
    <x v="3"/>
    <x v="24"/>
    <x v="0"/>
    <x v="8"/>
    <x v="0"/>
    <x v="57"/>
    <x v="9"/>
    <x v="3"/>
    <x v="3"/>
  </r>
  <r>
    <x v="403"/>
    <x v="0"/>
    <x v="11"/>
    <x v="0"/>
    <x v="9"/>
    <x v="1"/>
    <x v="45"/>
    <x v="10"/>
    <x v="4"/>
    <x v="4"/>
  </r>
  <r>
    <x v="403"/>
    <x v="1"/>
    <x v="22"/>
    <x v="1"/>
    <x v="17"/>
    <x v="2"/>
    <x v="41"/>
    <x v="19"/>
    <x v="3"/>
    <x v="3"/>
  </r>
  <r>
    <x v="403"/>
    <x v="2"/>
    <x v="3"/>
    <x v="1"/>
    <x v="0"/>
    <x v="0"/>
    <x v="24"/>
    <x v="3"/>
    <x v="0"/>
    <x v="0"/>
  </r>
  <r>
    <x v="404"/>
    <x v="0"/>
    <x v="5"/>
    <x v="1"/>
    <x v="4"/>
    <x v="0"/>
    <x v="73"/>
    <x v="5"/>
    <x v="1"/>
    <x v="1"/>
  </r>
  <r>
    <x v="404"/>
    <x v="1"/>
    <x v="2"/>
    <x v="1"/>
    <x v="2"/>
    <x v="3"/>
    <x v="70"/>
    <x v="2"/>
    <x v="2"/>
    <x v="2"/>
  </r>
  <r>
    <x v="404"/>
    <x v="2"/>
    <x v="15"/>
    <x v="1"/>
    <x v="11"/>
    <x v="1"/>
    <x v="35"/>
    <x v="12"/>
    <x v="0"/>
    <x v="0"/>
  </r>
  <r>
    <x v="405"/>
    <x v="0"/>
    <x v="4"/>
    <x v="0"/>
    <x v="3"/>
    <x v="0"/>
    <x v="4"/>
    <x v="4"/>
    <x v="1"/>
    <x v="1"/>
  </r>
  <r>
    <x v="406"/>
    <x v="0"/>
    <x v="0"/>
    <x v="0"/>
    <x v="0"/>
    <x v="0"/>
    <x v="0"/>
    <x v="0"/>
    <x v="0"/>
    <x v="0"/>
  </r>
  <r>
    <x v="406"/>
    <x v="1"/>
    <x v="21"/>
    <x v="0"/>
    <x v="16"/>
    <x v="2"/>
    <x v="60"/>
    <x v="18"/>
    <x v="1"/>
    <x v="1"/>
  </r>
  <r>
    <x v="407"/>
    <x v="0"/>
    <x v="9"/>
    <x v="0"/>
    <x v="7"/>
    <x v="0"/>
    <x v="59"/>
    <x v="8"/>
    <x v="0"/>
    <x v="0"/>
  </r>
  <r>
    <x v="407"/>
    <x v="1"/>
    <x v="5"/>
    <x v="0"/>
    <x v="4"/>
    <x v="1"/>
    <x v="133"/>
    <x v="5"/>
    <x v="1"/>
    <x v="1"/>
  </r>
  <r>
    <x v="407"/>
    <x v="2"/>
    <x v="6"/>
    <x v="1"/>
    <x v="5"/>
    <x v="1"/>
    <x v="130"/>
    <x v="6"/>
    <x v="1"/>
    <x v="1"/>
  </r>
  <r>
    <x v="407"/>
    <x v="3"/>
    <x v="7"/>
    <x v="1"/>
    <x v="6"/>
    <x v="0"/>
    <x v="71"/>
    <x v="7"/>
    <x v="0"/>
    <x v="0"/>
  </r>
  <r>
    <x v="408"/>
    <x v="0"/>
    <x v="12"/>
    <x v="0"/>
    <x v="10"/>
    <x v="1"/>
    <x v="15"/>
    <x v="11"/>
    <x v="0"/>
    <x v="0"/>
  </r>
  <r>
    <x v="408"/>
    <x v="1"/>
    <x v="3"/>
    <x v="1"/>
    <x v="0"/>
    <x v="0"/>
    <x v="24"/>
    <x v="3"/>
    <x v="0"/>
    <x v="0"/>
  </r>
  <r>
    <x v="408"/>
    <x v="2"/>
    <x v="20"/>
    <x v="0"/>
    <x v="11"/>
    <x v="2"/>
    <x v="18"/>
    <x v="15"/>
    <x v="5"/>
    <x v="5"/>
  </r>
  <r>
    <x v="409"/>
    <x v="0"/>
    <x v="22"/>
    <x v="0"/>
    <x v="17"/>
    <x v="3"/>
    <x v="93"/>
    <x v="19"/>
    <x v="3"/>
    <x v="3"/>
  </r>
  <r>
    <x v="409"/>
    <x v="1"/>
    <x v="11"/>
    <x v="1"/>
    <x v="9"/>
    <x v="2"/>
    <x v="126"/>
    <x v="10"/>
    <x v="4"/>
    <x v="4"/>
  </r>
  <r>
    <x v="409"/>
    <x v="2"/>
    <x v="24"/>
    <x v="1"/>
    <x v="8"/>
    <x v="3"/>
    <x v="97"/>
    <x v="9"/>
    <x v="3"/>
    <x v="3"/>
  </r>
  <r>
    <x v="410"/>
    <x v="0"/>
    <x v="6"/>
    <x v="0"/>
    <x v="5"/>
    <x v="1"/>
    <x v="116"/>
    <x v="6"/>
    <x v="1"/>
    <x v="1"/>
  </r>
  <r>
    <x v="410"/>
    <x v="1"/>
    <x v="8"/>
    <x v="1"/>
    <x v="0"/>
    <x v="2"/>
    <x v="3"/>
    <x v="3"/>
    <x v="3"/>
    <x v="3"/>
  </r>
  <r>
    <x v="411"/>
    <x v="0"/>
    <x v="14"/>
    <x v="0"/>
    <x v="12"/>
    <x v="3"/>
    <x v="40"/>
    <x v="13"/>
    <x v="1"/>
    <x v="1"/>
  </r>
  <r>
    <x v="411"/>
    <x v="1"/>
    <x v="24"/>
    <x v="0"/>
    <x v="8"/>
    <x v="1"/>
    <x v="77"/>
    <x v="9"/>
    <x v="3"/>
    <x v="3"/>
  </r>
  <r>
    <x v="411"/>
    <x v="2"/>
    <x v="7"/>
    <x v="0"/>
    <x v="6"/>
    <x v="3"/>
    <x v="47"/>
    <x v="7"/>
    <x v="0"/>
    <x v="0"/>
  </r>
  <r>
    <x v="412"/>
    <x v="0"/>
    <x v="1"/>
    <x v="1"/>
    <x v="1"/>
    <x v="2"/>
    <x v="134"/>
    <x v="1"/>
    <x v="1"/>
    <x v="1"/>
  </r>
  <r>
    <x v="412"/>
    <x v="1"/>
    <x v="22"/>
    <x v="0"/>
    <x v="17"/>
    <x v="3"/>
    <x v="93"/>
    <x v="19"/>
    <x v="3"/>
    <x v="3"/>
  </r>
  <r>
    <x v="412"/>
    <x v="2"/>
    <x v="11"/>
    <x v="0"/>
    <x v="9"/>
    <x v="1"/>
    <x v="45"/>
    <x v="10"/>
    <x v="4"/>
    <x v="4"/>
  </r>
  <r>
    <x v="413"/>
    <x v="0"/>
    <x v="4"/>
    <x v="1"/>
    <x v="3"/>
    <x v="3"/>
    <x v="25"/>
    <x v="4"/>
    <x v="1"/>
    <x v="1"/>
  </r>
  <r>
    <x v="414"/>
    <x v="0"/>
    <x v="5"/>
    <x v="0"/>
    <x v="4"/>
    <x v="1"/>
    <x v="133"/>
    <x v="5"/>
    <x v="1"/>
    <x v="1"/>
  </r>
  <r>
    <x v="414"/>
    <x v="1"/>
    <x v="19"/>
    <x v="1"/>
    <x v="15"/>
    <x v="0"/>
    <x v="33"/>
    <x v="17"/>
    <x v="5"/>
    <x v="5"/>
  </r>
  <r>
    <x v="414"/>
    <x v="2"/>
    <x v="21"/>
    <x v="0"/>
    <x v="16"/>
    <x v="0"/>
    <x v="58"/>
    <x v="18"/>
    <x v="1"/>
    <x v="1"/>
  </r>
  <r>
    <x v="414"/>
    <x v="3"/>
    <x v="18"/>
    <x v="1"/>
    <x v="14"/>
    <x v="2"/>
    <x v="124"/>
    <x v="16"/>
    <x v="1"/>
    <x v="1"/>
  </r>
  <r>
    <x v="415"/>
    <x v="0"/>
    <x v="13"/>
    <x v="0"/>
    <x v="11"/>
    <x v="1"/>
    <x v="36"/>
    <x v="12"/>
    <x v="5"/>
    <x v="5"/>
  </r>
  <r>
    <x v="415"/>
    <x v="1"/>
    <x v="15"/>
    <x v="0"/>
    <x v="11"/>
    <x v="1"/>
    <x v="36"/>
    <x v="12"/>
    <x v="0"/>
    <x v="0"/>
  </r>
  <r>
    <x v="415"/>
    <x v="2"/>
    <x v="24"/>
    <x v="0"/>
    <x v="8"/>
    <x v="3"/>
    <x v="98"/>
    <x v="9"/>
    <x v="3"/>
    <x v="3"/>
  </r>
  <r>
    <x v="416"/>
    <x v="0"/>
    <x v="8"/>
    <x v="1"/>
    <x v="0"/>
    <x v="1"/>
    <x v="19"/>
    <x v="3"/>
    <x v="3"/>
    <x v="3"/>
  </r>
  <r>
    <x v="416"/>
    <x v="1"/>
    <x v="18"/>
    <x v="1"/>
    <x v="14"/>
    <x v="1"/>
    <x v="138"/>
    <x v="16"/>
    <x v="1"/>
    <x v="1"/>
  </r>
  <r>
    <x v="417"/>
    <x v="0"/>
    <x v="10"/>
    <x v="0"/>
    <x v="8"/>
    <x v="2"/>
    <x v="101"/>
    <x v="9"/>
    <x v="0"/>
    <x v="0"/>
  </r>
  <r>
    <x v="417"/>
    <x v="1"/>
    <x v="0"/>
    <x v="0"/>
    <x v="0"/>
    <x v="2"/>
    <x v="7"/>
    <x v="0"/>
    <x v="0"/>
    <x v="0"/>
  </r>
  <r>
    <x v="418"/>
    <x v="0"/>
    <x v="11"/>
    <x v="0"/>
    <x v="9"/>
    <x v="2"/>
    <x v="121"/>
    <x v="10"/>
    <x v="4"/>
    <x v="4"/>
  </r>
  <r>
    <x v="419"/>
    <x v="0"/>
    <x v="7"/>
    <x v="1"/>
    <x v="6"/>
    <x v="0"/>
    <x v="71"/>
    <x v="7"/>
    <x v="0"/>
    <x v="0"/>
  </r>
  <r>
    <x v="419"/>
    <x v="1"/>
    <x v="12"/>
    <x v="1"/>
    <x v="10"/>
    <x v="3"/>
    <x v="120"/>
    <x v="11"/>
    <x v="0"/>
    <x v="0"/>
  </r>
  <r>
    <x v="419"/>
    <x v="2"/>
    <x v="5"/>
    <x v="1"/>
    <x v="4"/>
    <x v="2"/>
    <x v="79"/>
    <x v="5"/>
    <x v="1"/>
    <x v="1"/>
  </r>
  <r>
    <x v="420"/>
    <x v="0"/>
    <x v="18"/>
    <x v="1"/>
    <x v="14"/>
    <x v="1"/>
    <x v="138"/>
    <x v="16"/>
    <x v="1"/>
    <x v="1"/>
  </r>
  <r>
    <x v="420"/>
    <x v="1"/>
    <x v="5"/>
    <x v="1"/>
    <x v="4"/>
    <x v="0"/>
    <x v="73"/>
    <x v="5"/>
    <x v="1"/>
    <x v="1"/>
  </r>
  <r>
    <x v="420"/>
    <x v="2"/>
    <x v="0"/>
    <x v="1"/>
    <x v="0"/>
    <x v="0"/>
    <x v="24"/>
    <x v="0"/>
    <x v="0"/>
    <x v="0"/>
  </r>
  <r>
    <x v="420"/>
    <x v="3"/>
    <x v="4"/>
    <x v="0"/>
    <x v="3"/>
    <x v="1"/>
    <x v="123"/>
    <x v="4"/>
    <x v="1"/>
    <x v="1"/>
  </r>
  <r>
    <x v="420"/>
    <x v="4"/>
    <x v="19"/>
    <x v="1"/>
    <x v="15"/>
    <x v="0"/>
    <x v="33"/>
    <x v="17"/>
    <x v="5"/>
    <x v="5"/>
  </r>
  <r>
    <x v="421"/>
    <x v="0"/>
    <x v="0"/>
    <x v="1"/>
    <x v="0"/>
    <x v="2"/>
    <x v="3"/>
    <x v="0"/>
    <x v="0"/>
    <x v="0"/>
  </r>
  <r>
    <x v="422"/>
    <x v="0"/>
    <x v="1"/>
    <x v="1"/>
    <x v="1"/>
    <x v="2"/>
    <x v="134"/>
    <x v="1"/>
    <x v="1"/>
    <x v="1"/>
  </r>
  <r>
    <x v="422"/>
    <x v="1"/>
    <x v="7"/>
    <x v="0"/>
    <x v="6"/>
    <x v="0"/>
    <x v="81"/>
    <x v="7"/>
    <x v="0"/>
    <x v="0"/>
  </r>
  <r>
    <x v="422"/>
    <x v="2"/>
    <x v="19"/>
    <x v="1"/>
    <x v="15"/>
    <x v="1"/>
    <x v="69"/>
    <x v="17"/>
    <x v="5"/>
    <x v="5"/>
  </r>
  <r>
    <x v="422"/>
    <x v="3"/>
    <x v="6"/>
    <x v="0"/>
    <x v="5"/>
    <x v="0"/>
    <x v="56"/>
    <x v="6"/>
    <x v="1"/>
    <x v="1"/>
  </r>
  <r>
    <x v="423"/>
    <x v="0"/>
    <x v="13"/>
    <x v="0"/>
    <x v="11"/>
    <x v="3"/>
    <x v="21"/>
    <x v="12"/>
    <x v="5"/>
    <x v="5"/>
  </r>
  <r>
    <x v="423"/>
    <x v="1"/>
    <x v="18"/>
    <x v="0"/>
    <x v="14"/>
    <x v="2"/>
    <x v="62"/>
    <x v="16"/>
    <x v="1"/>
    <x v="1"/>
  </r>
  <r>
    <x v="424"/>
    <x v="0"/>
    <x v="18"/>
    <x v="0"/>
    <x v="14"/>
    <x v="3"/>
    <x v="107"/>
    <x v="16"/>
    <x v="1"/>
    <x v="1"/>
  </r>
  <r>
    <x v="424"/>
    <x v="1"/>
    <x v="20"/>
    <x v="1"/>
    <x v="11"/>
    <x v="1"/>
    <x v="35"/>
    <x v="15"/>
    <x v="5"/>
    <x v="5"/>
  </r>
  <r>
    <x v="424"/>
    <x v="2"/>
    <x v="23"/>
    <x v="0"/>
    <x v="7"/>
    <x v="2"/>
    <x v="72"/>
    <x v="20"/>
    <x v="0"/>
    <x v="0"/>
  </r>
  <r>
    <x v="425"/>
    <x v="0"/>
    <x v="2"/>
    <x v="0"/>
    <x v="2"/>
    <x v="3"/>
    <x v="139"/>
    <x v="2"/>
    <x v="2"/>
    <x v="2"/>
  </r>
  <r>
    <x v="425"/>
    <x v="1"/>
    <x v="19"/>
    <x v="1"/>
    <x v="15"/>
    <x v="2"/>
    <x v="89"/>
    <x v="17"/>
    <x v="5"/>
    <x v="5"/>
  </r>
  <r>
    <x v="426"/>
    <x v="0"/>
    <x v="10"/>
    <x v="1"/>
    <x v="8"/>
    <x v="1"/>
    <x v="30"/>
    <x v="9"/>
    <x v="0"/>
    <x v="0"/>
  </r>
  <r>
    <x v="426"/>
    <x v="1"/>
    <x v="12"/>
    <x v="1"/>
    <x v="10"/>
    <x v="3"/>
    <x v="120"/>
    <x v="11"/>
    <x v="0"/>
    <x v="0"/>
  </r>
  <r>
    <x v="426"/>
    <x v="2"/>
    <x v="8"/>
    <x v="1"/>
    <x v="0"/>
    <x v="1"/>
    <x v="19"/>
    <x v="3"/>
    <x v="3"/>
    <x v="3"/>
  </r>
  <r>
    <x v="427"/>
    <x v="0"/>
    <x v="21"/>
    <x v="1"/>
    <x v="16"/>
    <x v="0"/>
    <x v="95"/>
    <x v="18"/>
    <x v="1"/>
    <x v="1"/>
  </r>
  <r>
    <x v="427"/>
    <x v="1"/>
    <x v="15"/>
    <x v="0"/>
    <x v="11"/>
    <x v="0"/>
    <x v="51"/>
    <x v="12"/>
    <x v="0"/>
    <x v="0"/>
  </r>
  <r>
    <x v="428"/>
    <x v="0"/>
    <x v="16"/>
    <x v="0"/>
    <x v="13"/>
    <x v="0"/>
    <x v="114"/>
    <x v="14"/>
    <x v="2"/>
    <x v="2"/>
  </r>
  <r>
    <x v="428"/>
    <x v="1"/>
    <x v="4"/>
    <x v="1"/>
    <x v="3"/>
    <x v="3"/>
    <x v="25"/>
    <x v="4"/>
    <x v="1"/>
    <x v="1"/>
  </r>
  <r>
    <x v="428"/>
    <x v="2"/>
    <x v="21"/>
    <x v="1"/>
    <x v="16"/>
    <x v="2"/>
    <x v="131"/>
    <x v="18"/>
    <x v="1"/>
    <x v="1"/>
  </r>
  <r>
    <x v="428"/>
    <x v="3"/>
    <x v="18"/>
    <x v="0"/>
    <x v="14"/>
    <x v="1"/>
    <x v="29"/>
    <x v="16"/>
    <x v="1"/>
    <x v="1"/>
  </r>
  <r>
    <x v="428"/>
    <x v="4"/>
    <x v="6"/>
    <x v="0"/>
    <x v="5"/>
    <x v="3"/>
    <x v="92"/>
    <x v="6"/>
    <x v="1"/>
    <x v="1"/>
  </r>
  <r>
    <x v="429"/>
    <x v="0"/>
    <x v="13"/>
    <x v="1"/>
    <x v="11"/>
    <x v="3"/>
    <x v="23"/>
    <x v="12"/>
    <x v="5"/>
    <x v="5"/>
  </r>
  <r>
    <x v="429"/>
    <x v="1"/>
    <x v="16"/>
    <x v="0"/>
    <x v="13"/>
    <x v="1"/>
    <x v="142"/>
    <x v="14"/>
    <x v="2"/>
    <x v="2"/>
  </r>
  <r>
    <x v="429"/>
    <x v="2"/>
    <x v="4"/>
    <x v="1"/>
    <x v="3"/>
    <x v="0"/>
    <x v="84"/>
    <x v="4"/>
    <x v="1"/>
    <x v="1"/>
  </r>
  <r>
    <x v="429"/>
    <x v="3"/>
    <x v="17"/>
    <x v="1"/>
    <x v="11"/>
    <x v="0"/>
    <x v="78"/>
    <x v="15"/>
    <x v="0"/>
    <x v="0"/>
  </r>
  <r>
    <x v="429"/>
    <x v="4"/>
    <x v="1"/>
    <x v="0"/>
    <x v="1"/>
    <x v="0"/>
    <x v="34"/>
    <x v="1"/>
    <x v="1"/>
    <x v="1"/>
  </r>
  <r>
    <x v="430"/>
    <x v="0"/>
    <x v="15"/>
    <x v="1"/>
    <x v="11"/>
    <x v="0"/>
    <x v="78"/>
    <x v="12"/>
    <x v="0"/>
    <x v="0"/>
  </r>
  <r>
    <x v="430"/>
    <x v="1"/>
    <x v="18"/>
    <x v="0"/>
    <x v="14"/>
    <x v="3"/>
    <x v="107"/>
    <x v="16"/>
    <x v="1"/>
    <x v="1"/>
  </r>
  <r>
    <x v="430"/>
    <x v="2"/>
    <x v="9"/>
    <x v="0"/>
    <x v="7"/>
    <x v="0"/>
    <x v="59"/>
    <x v="8"/>
    <x v="0"/>
    <x v="0"/>
  </r>
  <r>
    <x v="430"/>
    <x v="3"/>
    <x v="17"/>
    <x v="1"/>
    <x v="11"/>
    <x v="1"/>
    <x v="35"/>
    <x v="15"/>
    <x v="0"/>
    <x v="0"/>
  </r>
  <r>
    <x v="430"/>
    <x v="4"/>
    <x v="23"/>
    <x v="0"/>
    <x v="7"/>
    <x v="1"/>
    <x v="10"/>
    <x v="20"/>
    <x v="0"/>
    <x v="0"/>
  </r>
  <r>
    <x v="431"/>
    <x v="0"/>
    <x v="2"/>
    <x v="1"/>
    <x v="2"/>
    <x v="0"/>
    <x v="54"/>
    <x v="2"/>
    <x v="2"/>
    <x v="2"/>
  </r>
  <r>
    <x v="431"/>
    <x v="1"/>
    <x v="14"/>
    <x v="1"/>
    <x v="12"/>
    <x v="2"/>
    <x v="74"/>
    <x v="13"/>
    <x v="1"/>
    <x v="1"/>
  </r>
  <r>
    <x v="432"/>
    <x v="0"/>
    <x v="18"/>
    <x v="0"/>
    <x v="14"/>
    <x v="3"/>
    <x v="107"/>
    <x v="16"/>
    <x v="1"/>
    <x v="1"/>
  </r>
  <r>
    <x v="432"/>
    <x v="1"/>
    <x v="2"/>
    <x v="0"/>
    <x v="2"/>
    <x v="0"/>
    <x v="135"/>
    <x v="2"/>
    <x v="2"/>
    <x v="2"/>
  </r>
  <r>
    <x v="432"/>
    <x v="2"/>
    <x v="24"/>
    <x v="0"/>
    <x v="8"/>
    <x v="3"/>
    <x v="98"/>
    <x v="9"/>
    <x v="3"/>
    <x v="3"/>
  </r>
  <r>
    <x v="432"/>
    <x v="3"/>
    <x v="4"/>
    <x v="0"/>
    <x v="3"/>
    <x v="0"/>
    <x v="4"/>
    <x v="4"/>
    <x v="1"/>
    <x v="1"/>
  </r>
  <r>
    <x v="433"/>
    <x v="0"/>
    <x v="20"/>
    <x v="0"/>
    <x v="11"/>
    <x v="2"/>
    <x v="18"/>
    <x v="15"/>
    <x v="5"/>
    <x v="5"/>
  </r>
  <r>
    <x v="433"/>
    <x v="1"/>
    <x v="0"/>
    <x v="0"/>
    <x v="0"/>
    <x v="3"/>
    <x v="12"/>
    <x v="0"/>
    <x v="0"/>
    <x v="0"/>
  </r>
  <r>
    <x v="433"/>
    <x v="2"/>
    <x v="11"/>
    <x v="0"/>
    <x v="9"/>
    <x v="0"/>
    <x v="141"/>
    <x v="10"/>
    <x v="4"/>
    <x v="4"/>
  </r>
  <r>
    <x v="433"/>
    <x v="3"/>
    <x v="16"/>
    <x v="1"/>
    <x v="13"/>
    <x v="1"/>
    <x v="136"/>
    <x v="14"/>
    <x v="2"/>
    <x v="2"/>
  </r>
  <r>
    <x v="433"/>
    <x v="4"/>
    <x v="9"/>
    <x v="1"/>
    <x v="7"/>
    <x v="2"/>
    <x v="32"/>
    <x v="8"/>
    <x v="0"/>
    <x v="0"/>
  </r>
  <r>
    <x v="434"/>
    <x v="0"/>
    <x v="13"/>
    <x v="0"/>
    <x v="11"/>
    <x v="2"/>
    <x v="18"/>
    <x v="12"/>
    <x v="5"/>
    <x v="5"/>
  </r>
  <r>
    <x v="434"/>
    <x v="1"/>
    <x v="11"/>
    <x v="0"/>
    <x v="9"/>
    <x v="2"/>
    <x v="121"/>
    <x v="10"/>
    <x v="4"/>
    <x v="4"/>
  </r>
  <r>
    <x v="434"/>
    <x v="2"/>
    <x v="9"/>
    <x v="0"/>
    <x v="7"/>
    <x v="2"/>
    <x v="72"/>
    <x v="8"/>
    <x v="0"/>
    <x v="0"/>
  </r>
  <r>
    <x v="435"/>
    <x v="0"/>
    <x v="5"/>
    <x v="0"/>
    <x v="4"/>
    <x v="2"/>
    <x v="6"/>
    <x v="5"/>
    <x v="1"/>
    <x v="1"/>
  </r>
  <r>
    <x v="435"/>
    <x v="1"/>
    <x v="19"/>
    <x v="0"/>
    <x v="15"/>
    <x v="0"/>
    <x v="122"/>
    <x v="17"/>
    <x v="5"/>
    <x v="5"/>
  </r>
  <r>
    <x v="436"/>
    <x v="0"/>
    <x v="5"/>
    <x v="0"/>
    <x v="4"/>
    <x v="2"/>
    <x v="6"/>
    <x v="5"/>
    <x v="1"/>
    <x v="1"/>
  </r>
  <r>
    <x v="436"/>
    <x v="1"/>
    <x v="2"/>
    <x v="0"/>
    <x v="2"/>
    <x v="2"/>
    <x v="99"/>
    <x v="2"/>
    <x v="2"/>
    <x v="2"/>
  </r>
  <r>
    <x v="436"/>
    <x v="2"/>
    <x v="1"/>
    <x v="1"/>
    <x v="1"/>
    <x v="2"/>
    <x v="134"/>
    <x v="1"/>
    <x v="1"/>
    <x v="1"/>
  </r>
  <r>
    <x v="437"/>
    <x v="0"/>
    <x v="4"/>
    <x v="0"/>
    <x v="3"/>
    <x v="1"/>
    <x v="123"/>
    <x v="4"/>
    <x v="1"/>
    <x v="1"/>
  </r>
  <r>
    <x v="437"/>
    <x v="1"/>
    <x v="13"/>
    <x v="0"/>
    <x v="11"/>
    <x v="3"/>
    <x v="21"/>
    <x v="12"/>
    <x v="5"/>
    <x v="5"/>
  </r>
  <r>
    <x v="437"/>
    <x v="2"/>
    <x v="1"/>
    <x v="1"/>
    <x v="1"/>
    <x v="2"/>
    <x v="134"/>
    <x v="1"/>
    <x v="1"/>
    <x v="1"/>
  </r>
  <r>
    <x v="437"/>
    <x v="3"/>
    <x v="17"/>
    <x v="1"/>
    <x v="11"/>
    <x v="2"/>
    <x v="64"/>
    <x v="15"/>
    <x v="0"/>
    <x v="0"/>
  </r>
  <r>
    <x v="438"/>
    <x v="0"/>
    <x v="18"/>
    <x v="1"/>
    <x v="14"/>
    <x v="1"/>
    <x v="138"/>
    <x v="16"/>
    <x v="1"/>
    <x v="1"/>
  </r>
  <r>
    <x v="438"/>
    <x v="1"/>
    <x v="14"/>
    <x v="1"/>
    <x v="12"/>
    <x v="2"/>
    <x v="74"/>
    <x v="13"/>
    <x v="1"/>
    <x v="1"/>
  </r>
  <r>
    <x v="439"/>
    <x v="0"/>
    <x v="23"/>
    <x v="1"/>
    <x v="7"/>
    <x v="1"/>
    <x v="53"/>
    <x v="20"/>
    <x v="0"/>
    <x v="0"/>
  </r>
  <r>
    <x v="439"/>
    <x v="1"/>
    <x v="4"/>
    <x v="1"/>
    <x v="3"/>
    <x v="1"/>
    <x v="127"/>
    <x v="4"/>
    <x v="1"/>
    <x v="1"/>
  </r>
  <r>
    <x v="440"/>
    <x v="0"/>
    <x v="10"/>
    <x v="0"/>
    <x v="8"/>
    <x v="1"/>
    <x v="77"/>
    <x v="9"/>
    <x v="0"/>
    <x v="0"/>
  </r>
  <r>
    <x v="440"/>
    <x v="1"/>
    <x v="12"/>
    <x v="0"/>
    <x v="10"/>
    <x v="3"/>
    <x v="80"/>
    <x v="11"/>
    <x v="0"/>
    <x v="0"/>
  </r>
  <r>
    <x v="441"/>
    <x v="0"/>
    <x v="3"/>
    <x v="1"/>
    <x v="0"/>
    <x v="1"/>
    <x v="19"/>
    <x v="3"/>
    <x v="0"/>
    <x v="0"/>
  </r>
  <r>
    <x v="441"/>
    <x v="1"/>
    <x v="8"/>
    <x v="1"/>
    <x v="0"/>
    <x v="0"/>
    <x v="24"/>
    <x v="3"/>
    <x v="3"/>
    <x v="3"/>
  </r>
  <r>
    <x v="441"/>
    <x v="2"/>
    <x v="18"/>
    <x v="1"/>
    <x v="14"/>
    <x v="0"/>
    <x v="117"/>
    <x v="16"/>
    <x v="1"/>
    <x v="1"/>
  </r>
  <r>
    <x v="442"/>
    <x v="0"/>
    <x v="21"/>
    <x v="0"/>
    <x v="16"/>
    <x v="2"/>
    <x v="60"/>
    <x v="18"/>
    <x v="1"/>
    <x v="1"/>
  </r>
  <r>
    <x v="442"/>
    <x v="1"/>
    <x v="8"/>
    <x v="0"/>
    <x v="0"/>
    <x v="0"/>
    <x v="0"/>
    <x v="3"/>
    <x v="3"/>
    <x v="3"/>
  </r>
  <r>
    <x v="443"/>
    <x v="0"/>
    <x v="13"/>
    <x v="0"/>
    <x v="11"/>
    <x v="1"/>
    <x v="36"/>
    <x v="12"/>
    <x v="5"/>
    <x v="5"/>
  </r>
  <r>
    <x v="443"/>
    <x v="1"/>
    <x v="12"/>
    <x v="1"/>
    <x v="10"/>
    <x v="1"/>
    <x v="109"/>
    <x v="11"/>
    <x v="0"/>
    <x v="0"/>
  </r>
  <r>
    <x v="443"/>
    <x v="2"/>
    <x v="0"/>
    <x v="1"/>
    <x v="0"/>
    <x v="2"/>
    <x v="3"/>
    <x v="0"/>
    <x v="0"/>
    <x v="0"/>
  </r>
  <r>
    <x v="443"/>
    <x v="3"/>
    <x v="3"/>
    <x v="0"/>
    <x v="0"/>
    <x v="3"/>
    <x v="12"/>
    <x v="3"/>
    <x v="0"/>
    <x v="0"/>
  </r>
  <r>
    <x v="443"/>
    <x v="4"/>
    <x v="2"/>
    <x v="1"/>
    <x v="2"/>
    <x v="0"/>
    <x v="54"/>
    <x v="2"/>
    <x v="2"/>
    <x v="2"/>
  </r>
  <r>
    <x v="444"/>
    <x v="0"/>
    <x v="14"/>
    <x v="0"/>
    <x v="12"/>
    <x v="0"/>
    <x v="137"/>
    <x v="13"/>
    <x v="1"/>
    <x v="1"/>
  </r>
  <r>
    <x v="444"/>
    <x v="1"/>
    <x v="3"/>
    <x v="0"/>
    <x v="0"/>
    <x v="1"/>
    <x v="5"/>
    <x v="3"/>
    <x v="0"/>
    <x v="0"/>
  </r>
  <r>
    <x v="444"/>
    <x v="2"/>
    <x v="19"/>
    <x v="0"/>
    <x v="15"/>
    <x v="0"/>
    <x v="122"/>
    <x v="17"/>
    <x v="5"/>
    <x v="5"/>
  </r>
  <r>
    <x v="445"/>
    <x v="0"/>
    <x v="13"/>
    <x v="0"/>
    <x v="11"/>
    <x v="0"/>
    <x v="51"/>
    <x v="12"/>
    <x v="5"/>
    <x v="5"/>
  </r>
  <r>
    <x v="445"/>
    <x v="1"/>
    <x v="3"/>
    <x v="1"/>
    <x v="0"/>
    <x v="1"/>
    <x v="19"/>
    <x v="3"/>
    <x v="0"/>
    <x v="0"/>
  </r>
  <r>
    <x v="446"/>
    <x v="0"/>
    <x v="4"/>
    <x v="1"/>
    <x v="3"/>
    <x v="2"/>
    <x v="49"/>
    <x v="4"/>
    <x v="1"/>
    <x v="1"/>
  </r>
  <r>
    <x v="446"/>
    <x v="1"/>
    <x v="5"/>
    <x v="0"/>
    <x v="4"/>
    <x v="3"/>
    <x v="16"/>
    <x v="5"/>
    <x v="1"/>
    <x v="1"/>
  </r>
  <r>
    <x v="446"/>
    <x v="2"/>
    <x v="1"/>
    <x v="0"/>
    <x v="1"/>
    <x v="1"/>
    <x v="31"/>
    <x v="1"/>
    <x v="1"/>
    <x v="1"/>
  </r>
  <r>
    <x v="447"/>
    <x v="0"/>
    <x v="17"/>
    <x v="1"/>
    <x v="11"/>
    <x v="2"/>
    <x v="64"/>
    <x v="15"/>
    <x v="0"/>
    <x v="0"/>
  </r>
  <r>
    <x v="447"/>
    <x v="1"/>
    <x v="18"/>
    <x v="1"/>
    <x v="14"/>
    <x v="2"/>
    <x v="124"/>
    <x v="16"/>
    <x v="1"/>
    <x v="1"/>
  </r>
  <r>
    <x v="448"/>
    <x v="0"/>
    <x v="7"/>
    <x v="1"/>
    <x v="6"/>
    <x v="2"/>
    <x v="27"/>
    <x v="7"/>
    <x v="0"/>
    <x v="0"/>
  </r>
  <r>
    <x v="448"/>
    <x v="1"/>
    <x v="6"/>
    <x v="0"/>
    <x v="5"/>
    <x v="2"/>
    <x v="132"/>
    <x v="6"/>
    <x v="1"/>
    <x v="1"/>
  </r>
  <r>
    <x v="448"/>
    <x v="2"/>
    <x v="14"/>
    <x v="1"/>
    <x v="12"/>
    <x v="1"/>
    <x v="102"/>
    <x v="13"/>
    <x v="1"/>
    <x v="1"/>
  </r>
  <r>
    <x v="448"/>
    <x v="3"/>
    <x v="8"/>
    <x v="1"/>
    <x v="0"/>
    <x v="0"/>
    <x v="24"/>
    <x v="3"/>
    <x v="3"/>
    <x v="3"/>
  </r>
  <r>
    <x v="449"/>
    <x v="0"/>
    <x v="24"/>
    <x v="0"/>
    <x v="8"/>
    <x v="2"/>
    <x v="101"/>
    <x v="9"/>
    <x v="3"/>
    <x v="3"/>
  </r>
  <r>
    <x v="449"/>
    <x v="1"/>
    <x v="10"/>
    <x v="0"/>
    <x v="8"/>
    <x v="1"/>
    <x v="77"/>
    <x v="9"/>
    <x v="0"/>
    <x v="0"/>
  </r>
  <r>
    <x v="449"/>
    <x v="2"/>
    <x v="21"/>
    <x v="0"/>
    <x v="16"/>
    <x v="3"/>
    <x v="38"/>
    <x v="18"/>
    <x v="1"/>
    <x v="1"/>
  </r>
  <r>
    <x v="450"/>
    <x v="0"/>
    <x v="15"/>
    <x v="1"/>
    <x v="11"/>
    <x v="2"/>
    <x v="64"/>
    <x v="12"/>
    <x v="0"/>
    <x v="0"/>
  </r>
  <r>
    <x v="451"/>
    <x v="0"/>
    <x v="16"/>
    <x v="0"/>
    <x v="13"/>
    <x v="2"/>
    <x v="26"/>
    <x v="14"/>
    <x v="2"/>
    <x v="2"/>
  </r>
  <r>
    <x v="451"/>
    <x v="1"/>
    <x v="3"/>
    <x v="0"/>
    <x v="0"/>
    <x v="2"/>
    <x v="7"/>
    <x v="3"/>
    <x v="0"/>
    <x v="0"/>
  </r>
  <r>
    <x v="451"/>
    <x v="2"/>
    <x v="14"/>
    <x v="1"/>
    <x v="12"/>
    <x v="3"/>
    <x v="20"/>
    <x v="13"/>
    <x v="1"/>
    <x v="1"/>
  </r>
  <r>
    <x v="451"/>
    <x v="3"/>
    <x v="1"/>
    <x v="0"/>
    <x v="1"/>
    <x v="3"/>
    <x v="112"/>
    <x v="1"/>
    <x v="1"/>
    <x v="1"/>
  </r>
  <r>
    <x v="452"/>
    <x v="0"/>
    <x v="19"/>
    <x v="0"/>
    <x v="15"/>
    <x v="2"/>
    <x v="115"/>
    <x v="17"/>
    <x v="5"/>
    <x v="5"/>
  </r>
  <r>
    <x v="452"/>
    <x v="1"/>
    <x v="0"/>
    <x v="1"/>
    <x v="0"/>
    <x v="0"/>
    <x v="24"/>
    <x v="0"/>
    <x v="0"/>
    <x v="0"/>
  </r>
  <r>
    <x v="452"/>
    <x v="2"/>
    <x v="4"/>
    <x v="0"/>
    <x v="3"/>
    <x v="0"/>
    <x v="4"/>
    <x v="4"/>
    <x v="1"/>
    <x v="1"/>
  </r>
  <r>
    <x v="453"/>
    <x v="0"/>
    <x v="22"/>
    <x v="1"/>
    <x v="17"/>
    <x v="1"/>
    <x v="85"/>
    <x v="19"/>
    <x v="3"/>
    <x v="3"/>
  </r>
  <r>
    <x v="453"/>
    <x v="1"/>
    <x v="17"/>
    <x v="1"/>
    <x v="11"/>
    <x v="2"/>
    <x v="64"/>
    <x v="15"/>
    <x v="0"/>
    <x v="0"/>
  </r>
  <r>
    <x v="453"/>
    <x v="2"/>
    <x v="24"/>
    <x v="1"/>
    <x v="8"/>
    <x v="3"/>
    <x v="97"/>
    <x v="9"/>
    <x v="3"/>
    <x v="3"/>
  </r>
  <r>
    <x v="454"/>
    <x v="0"/>
    <x v="11"/>
    <x v="0"/>
    <x v="9"/>
    <x v="2"/>
    <x v="121"/>
    <x v="10"/>
    <x v="4"/>
    <x v="4"/>
  </r>
  <r>
    <x v="455"/>
    <x v="0"/>
    <x v="7"/>
    <x v="1"/>
    <x v="6"/>
    <x v="1"/>
    <x v="100"/>
    <x v="7"/>
    <x v="0"/>
    <x v="0"/>
  </r>
  <r>
    <x v="455"/>
    <x v="1"/>
    <x v="19"/>
    <x v="0"/>
    <x v="15"/>
    <x v="1"/>
    <x v="75"/>
    <x v="17"/>
    <x v="5"/>
    <x v="5"/>
  </r>
  <r>
    <x v="456"/>
    <x v="0"/>
    <x v="24"/>
    <x v="1"/>
    <x v="8"/>
    <x v="1"/>
    <x v="30"/>
    <x v="9"/>
    <x v="3"/>
    <x v="3"/>
  </r>
  <r>
    <x v="456"/>
    <x v="1"/>
    <x v="6"/>
    <x v="0"/>
    <x v="5"/>
    <x v="2"/>
    <x v="132"/>
    <x v="6"/>
    <x v="1"/>
    <x v="1"/>
  </r>
  <r>
    <x v="456"/>
    <x v="2"/>
    <x v="14"/>
    <x v="1"/>
    <x v="12"/>
    <x v="3"/>
    <x v="20"/>
    <x v="13"/>
    <x v="1"/>
    <x v="1"/>
  </r>
  <r>
    <x v="456"/>
    <x v="3"/>
    <x v="7"/>
    <x v="0"/>
    <x v="6"/>
    <x v="0"/>
    <x v="81"/>
    <x v="7"/>
    <x v="0"/>
    <x v="0"/>
  </r>
  <r>
    <x v="457"/>
    <x v="0"/>
    <x v="6"/>
    <x v="0"/>
    <x v="5"/>
    <x v="0"/>
    <x v="56"/>
    <x v="6"/>
    <x v="1"/>
    <x v="1"/>
  </r>
  <r>
    <x v="457"/>
    <x v="1"/>
    <x v="20"/>
    <x v="1"/>
    <x v="11"/>
    <x v="1"/>
    <x v="35"/>
    <x v="15"/>
    <x v="5"/>
    <x v="5"/>
  </r>
  <r>
    <x v="457"/>
    <x v="2"/>
    <x v="16"/>
    <x v="0"/>
    <x v="13"/>
    <x v="3"/>
    <x v="86"/>
    <x v="14"/>
    <x v="2"/>
    <x v="2"/>
  </r>
  <r>
    <x v="457"/>
    <x v="3"/>
    <x v="24"/>
    <x v="0"/>
    <x v="8"/>
    <x v="0"/>
    <x v="57"/>
    <x v="9"/>
    <x v="3"/>
    <x v="3"/>
  </r>
  <r>
    <x v="457"/>
    <x v="4"/>
    <x v="5"/>
    <x v="1"/>
    <x v="4"/>
    <x v="0"/>
    <x v="73"/>
    <x v="5"/>
    <x v="1"/>
    <x v="1"/>
  </r>
  <r>
    <x v="458"/>
    <x v="0"/>
    <x v="16"/>
    <x v="0"/>
    <x v="13"/>
    <x v="0"/>
    <x v="114"/>
    <x v="14"/>
    <x v="2"/>
    <x v="2"/>
  </r>
  <r>
    <x v="459"/>
    <x v="0"/>
    <x v="23"/>
    <x v="0"/>
    <x v="7"/>
    <x v="2"/>
    <x v="72"/>
    <x v="20"/>
    <x v="0"/>
    <x v="0"/>
  </r>
  <r>
    <x v="459"/>
    <x v="1"/>
    <x v="9"/>
    <x v="1"/>
    <x v="7"/>
    <x v="1"/>
    <x v="53"/>
    <x v="8"/>
    <x v="0"/>
    <x v="0"/>
  </r>
  <r>
    <x v="459"/>
    <x v="2"/>
    <x v="4"/>
    <x v="0"/>
    <x v="3"/>
    <x v="0"/>
    <x v="4"/>
    <x v="4"/>
    <x v="1"/>
    <x v="1"/>
  </r>
  <r>
    <x v="459"/>
    <x v="3"/>
    <x v="13"/>
    <x v="1"/>
    <x v="11"/>
    <x v="3"/>
    <x v="23"/>
    <x v="12"/>
    <x v="5"/>
    <x v="5"/>
  </r>
  <r>
    <x v="460"/>
    <x v="0"/>
    <x v="3"/>
    <x v="0"/>
    <x v="0"/>
    <x v="1"/>
    <x v="5"/>
    <x v="3"/>
    <x v="0"/>
    <x v="0"/>
  </r>
  <r>
    <x v="460"/>
    <x v="1"/>
    <x v="4"/>
    <x v="0"/>
    <x v="3"/>
    <x v="0"/>
    <x v="4"/>
    <x v="4"/>
    <x v="1"/>
    <x v="1"/>
  </r>
  <r>
    <x v="460"/>
    <x v="2"/>
    <x v="1"/>
    <x v="1"/>
    <x v="1"/>
    <x v="2"/>
    <x v="134"/>
    <x v="1"/>
    <x v="1"/>
    <x v="1"/>
  </r>
  <r>
    <x v="460"/>
    <x v="3"/>
    <x v="24"/>
    <x v="0"/>
    <x v="8"/>
    <x v="3"/>
    <x v="98"/>
    <x v="9"/>
    <x v="3"/>
    <x v="3"/>
  </r>
  <r>
    <x v="460"/>
    <x v="4"/>
    <x v="9"/>
    <x v="1"/>
    <x v="7"/>
    <x v="3"/>
    <x v="106"/>
    <x v="8"/>
    <x v="0"/>
    <x v="0"/>
  </r>
  <r>
    <x v="461"/>
    <x v="0"/>
    <x v="10"/>
    <x v="1"/>
    <x v="8"/>
    <x v="3"/>
    <x v="97"/>
    <x v="9"/>
    <x v="0"/>
    <x v="0"/>
  </r>
  <r>
    <x v="462"/>
    <x v="0"/>
    <x v="17"/>
    <x v="1"/>
    <x v="11"/>
    <x v="1"/>
    <x v="35"/>
    <x v="15"/>
    <x v="0"/>
    <x v="0"/>
  </r>
  <r>
    <x v="463"/>
    <x v="0"/>
    <x v="14"/>
    <x v="0"/>
    <x v="12"/>
    <x v="3"/>
    <x v="40"/>
    <x v="13"/>
    <x v="1"/>
    <x v="1"/>
  </r>
  <r>
    <x v="464"/>
    <x v="0"/>
    <x v="18"/>
    <x v="1"/>
    <x v="14"/>
    <x v="3"/>
    <x v="110"/>
    <x v="16"/>
    <x v="1"/>
    <x v="1"/>
  </r>
  <r>
    <x v="464"/>
    <x v="1"/>
    <x v="22"/>
    <x v="1"/>
    <x v="17"/>
    <x v="3"/>
    <x v="68"/>
    <x v="19"/>
    <x v="3"/>
    <x v="3"/>
  </r>
  <r>
    <x v="465"/>
    <x v="0"/>
    <x v="23"/>
    <x v="1"/>
    <x v="7"/>
    <x v="0"/>
    <x v="83"/>
    <x v="20"/>
    <x v="0"/>
    <x v="0"/>
  </r>
  <r>
    <x v="465"/>
    <x v="1"/>
    <x v="18"/>
    <x v="0"/>
    <x v="14"/>
    <x v="0"/>
    <x v="63"/>
    <x v="16"/>
    <x v="1"/>
    <x v="1"/>
  </r>
  <r>
    <x v="465"/>
    <x v="2"/>
    <x v="14"/>
    <x v="1"/>
    <x v="12"/>
    <x v="2"/>
    <x v="74"/>
    <x v="13"/>
    <x v="1"/>
    <x v="1"/>
  </r>
  <r>
    <x v="465"/>
    <x v="3"/>
    <x v="12"/>
    <x v="0"/>
    <x v="10"/>
    <x v="3"/>
    <x v="80"/>
    <x v="11"/>
    <x v="0"/>
    <x v="0"/>
  </r>
  <r>
    <x v="465"/>
    <x v="4"/>
    <x v="21"/>
    <x v="0"/>
    <x v="16"/>
    <x v="3"/>
    <x v="38"/>
    <x v="18"/>
    <x v="1"/>
    <x v="1"/>
  </r>
  <r>
    <x v="466"/>
    <x v="0"/>
    <x v="23"/>
    <x v="0"/>
    <x v="7"/>
    <x v="1"/>
    <x v="10"/>
    <x v="20"/>
    <x v="0"/>
    <x v="0"/>
  </r>
  <r>
    <x v="466"/>
    <x v="1"/>
    <x v="2"/>
    <x v="0"/>
    <x v="2"/>
    <x v="1"/>
    <x v="43"/>
    <x v="2"/>
    <x v="2"/>
    <x v="2"/>
  </r>
  <r>
    <x v="466"/>
    <x v="2"/>
    <x v="13"/>
    <x v="1"/>
    <x v="11"/>
    <x v="3"/>
    <x v="23"/>
    <x v="12"/>
    <x v="5"/>
    <x v="5"/>
  </r>
  <r>
    <x v="466"/>
    <x v="3"/>
    <x v="7"/>
    <x v="1"/>
    <x v="6"/>
    <x v="1"/>
    <x v="100"/>
    <x v="7"/>
    <x v="0"/>
    <x v="0"/>
  </r>
  <r>
    <x v="466"/>
    <x v="4"/>
    <x v="16"/>
    <x v="0"/>
    <x v="13"/>
    <x v="3"/>
    <x v="86"/>
    <x v="14"/>
    <x v="2"/>
    <x v="2"/>
  </r>
  <r>
    <x v="467"/>
    <x v="0"/>
    <x v="23"/>
    <x v="0"/>
    <x v="7"/>
    <x v="3"/>
    <x v="65"/>
    <x v="20"/>
    <x v="0"/>
    <x v="0"/>
  </r>
  <r>
    <x v="467"/>
    <x v="1"/>
    <x v="11"/>
    <x v="1"/>
    <x v="9"/>
    <x v="2"/>
    <x v="126"/>
    <x v="10"/>
    <x v="4"/>
    <x v="4"/>
  </r>
  <r>
    <x v="467"/>
    <x v="2"/>
    <x v="2"/>
    <x v="1"/>
    <x v="2"/>
    <x v="2"/>
    <x v="2"/>
    <x v="2"/>
    <x v="2"/>
    <x v="2"/>
  </r>
  <r>
    <x v="467"/>
    <x v="3"/>
    <x v="22"/>
    <x v="0"/>
    <x v="17"/>
    <x v="3"/>
    <x v="93"/>
    <x v="19"/>
    <x v="3"/>
    <x v="3"/>
  </r>
  <r>
    <x v="468"/>
    <x v="0"/>
    <x v="1"/>
    <x v="1"/>
    <x v="1"/>
    <x v="3"/>
    <x v="96"/>
    <x v="1"/>
    <x v="1"/>
    <x v="1"/>
  </r>
  <r>
    <x v="468"/>
    <x v="1"/>
    <x v="4"/>
    <x v="0"/>
    <x v="3"/>
    <x v="1"/>
    <x v="123"/>
    <x v="4"/>
    <x v="1"/>
    <x v="1"/>
  </r>
  <r>
    <x v="468"/>
    <x v="2"/>
    <x v="12"/>
    <x v="1"/>
    <x v="10"/>
    <x v="0"/>
    <x v="48"/>
    <x v="11"/>
    <x v="0"/>
    <x v="0"/>
  </r>
  <r>
    <x v="469"/>
    <x v="0"/>
    <x v="9"/>
    <x v="0"/>
    <x v="7"/>
    <x v="2"/>
    <x v="72"/>
    <x v="8"/>
    <x v="0"/>
    <x v="0"/>
  </r>
  <r>
    <x v="469"/>
    <x v="1"/>
    <x v="17"/>
    <x v="0"/>
    <x v="11"/>
    <x v="2"/>
    <x v="18"/>
    <x v="15"/>
    <x v="0"/>
    <x v="0"/>
  </r>
  <r>
    <x v="469"/>
    <x v="2"/>
    <x v="1"/>
    <x v="1"/>
    <x v="1"/>
    <x v="0"/>
    <x v="82"/>
    <x v="1"/>
    <x v="1"/>
    <x v="1"/>
  </r>
  <r>
    <x v="470"/>
    <x v="0"/>
    <x v="15"/>
    <x v="0"/>
    <x v="11"/>
    <x v="0"/>
    <x v="51"/>
    <x v="12"/>
    <x v="0"/>
    <x v="0"/>
  </r>
  <r>
    <x v="470"/>
    <x v="1"/>
    <x v="17"/>
    <x v="1"/>
    <x v="11"/>
    <x v="2"/>
    <x v="64"/>
    <x v="15"/>
    <x v="0"/>
    <x v="0"/>
  </r>
  <r>
    <x v="471"/>
    <x v="0"/>
    <x v="12"/>
    <x v="0"/>
    <x v="10"/>
    <x v="3"/>
    <x v="80"/>
    <x v="11"/>
    <x v="0"/>
    <x v="0"/>
  </r>
  <r>
    <x v="471"/>
    <x v="1"/>
    <x v="20"/>
    <x v="1"/>
    <x v="11"/>
    <x v="3"/>
    <x v="23"/>
    <x v="15"/>
    <x v="5"/>
    <x v="5"/>
  </r>
  <r>
    <x v="472"/>
    <x v="0"/>
    <x v="8"/>
    <x v="0"/>
    <x v="0"/>
    <x v="1"/>
    <x v="5"/>
    <x v="3"/>
    <x v="3"/>
    <x v="3"/>
  </r>
  <r>
    <x v="473"/>
    <x v="0"/>
    <x v="23"/>
    <x v="1"/>
    <x v="7"/>
    <x v="2"/>
    <x v="32"/>
    <x v="20"/>
    <x v="0"/>
    <x v="0"/>
  </r>
  <r>
    <x v="473"/>
    <x v="1"/>
    <x v="16"/>
    <x v="0"/>
    <x v="13"/>
    <x v="0"/>
    <x v="114"/>
    <x v="14"/>
    <x v="2"/>
    <x v="2"/>
  </r>
  <r>
    <x v="474"/>
    <x v="0"/>
    <x v="7"/>
    <x v="1"/>
    <x v="6"/>
    <x v="1"/>
    <x v="100"/>
    <x v="7"/>
    <x v="0"/>
    <x v="0"/>
  </r>
  <r>
    <x v="474"/>
    <x v="1"/>
    <x v="8"/>
    <x v="1"/>
    <x v="0"/>
    <x v="0"/>
    <x v="24"/>
    <x v="3"/>
    <x v="3"/>
    <x v="3"/>
  </r>
  <r>
    <x v="474"/>
    <x v="2"/>
    <x v="22"/>
    <x v="0"/>
    <x v="17"/>
    <x v="0"/>
    <x v="76"/>
    <x v="19"/>
    <x v="3"/>
    <x v="3"/>
  </r>
  <r>
    <x v="475"/>
    <x v="0"/>
    <x v="13"/>
    <x v="1"/>
    <x v="11"/>
    <x v="1"/>
    <x v="35"/>
    <x v="12"/>
    <x v="5"/>
    <x v="5"/>
  </r>
  <r>
    <x v="475"/>
    <x v="1"/>
    <x v="4"/>
    <x v="1"/>
    <x v="3"/>
    <x v="0"/>
    <x v="84"/>
    <x v="4"/>
    <x v="1"/>
    <x v="1"/>
  </r>
  <r>
    <x v="475"/>
    <x v="2"/>
    <x v="16"/>
    <x v="1"/>
    <x v="13"/>
    <x v="1"/>
    <x v="136"/>
    <x v="14"/>
    <x v="2"/>
    <x v="2"/>
  </r>
  <r>
    <x v="475"/>
    <x v="3"/>
    <x v="0"/>
    <x v="1"/>
    <x v="0"/>
    <x v="2"/>
    <x v="3"/>
    <x v="0"/>
    <x v="0"/>
    <x v="0"/>
  </r>
  <r>
    <x v="476"/>
    <x v="0"/>
    <x v="18"/>
    <x v="0"/>
    <x v="14"/>
    <x v="3"/>
    <x v="107"/>
    <x v="16"/>
    <x v="1"/>
    <x v="1"/>
  </r>
  <r>
    <x v="476"/>
    <x v="1"/>
    <x v="2"/>
    <x v="0"/>
    <x v="2"/>
    <x v="2"/>
    <x v="99"/>
    <x v="2"/>
    <x v="2"/>
    <x v="2"/>
  </r>
  <r>
    <x v="477"/>
    <x v="0"/>
    <x v="20"/>
    <x v="1"/>
    <x v="11"/>
    <x v="1"/>
    <x v="35"/>
    <x v="15"/>
    <x v="5"/>
    <x v="5"/>
  </r>
  <r>
    <x v="478"/>
    <x v="0"/>
    <x v="8"/>
    <x v="0"/>
    <x v="0"/>
    <x v="1"/>
    <x v="5"/>
    <x v="3"/>
    <x v="3"/>
    <x v="3"/>
  </r>
  <r>
    <x v="478"/>
    <x v="1"/>
    <x v="10"/>
    <x v="0"/>
    <x v="8"/>
    <x v="2"/>
    <x v="101"/>
    <x v="9"/>
    <x v="0"/>
    <x v="0"/>
  </r>
  <r>
    <x v="478"/>
    <x v="2"/>
    <x v="20"/>
    <x v="0"/>
    <x v="11"/>
    <x v="0"/>
    <x v="51"/>
    <x v="15"/>
    <x v="5"/>
    <x v="5"/>
  </r>
  <r>
    <x v="478"/>
    <x v="3"/>
    <x v="14"/>
    <x v="0"/>
    <x v="12"/>
    <x v="2"/>
    <x v="55"/>
    <x v="13"/>
    <x v="1"/>
    <x v="1"/>
  </r>
  <r>
    <x v="478"/>
    <x v="4"/>
    <x v="2"/>
    <x v="0"/>
    <x v="2"/>
    <x v="0"/>
    <x v="135"/>
    <x v="2"/>
    <x v="2"/>
    <x v="2"/>
  </r>
  <r>
    <x v="479"/>
    <x v="0"/>
    <x v="4"/>
    <x v="0"/>
    <x v="3"/>
    <x v="2"/>
    <x v="143"/>
    <x v="4"/>
    <x v="1"/>
    <x v="1"/>
  </r>
  <r>
    <x v="479"/>
    <x v="1"/>
    <x v="12"/>
    <x v="0"/>
    <x v="10"/>
    <x v="2"/>
    <x v="119"/>
    <x v="11"/>
    <x v="0"/>
    <x v="0"/>
  </r>
  <r>
    <x v="479"/>
    <x v="2"/>
    <x v="19"/>
    <x v="1"/>
    <x v="15"/>
    <x v="1"/>
    <x v="69"/>
    <x v="17"/>
    <x v="5"/>
    <x v="5"/>
  </r>
  <r>
    <x v="480"/>
    <x v="0"/>
    <x v="17"/>
    <x v="1"/>
    <x v="11"/>
    <x v="0"/>
    <x v="78"/>
    <x v="15"/>
    <x v="0"/>
    <x v="0"/>
  </r>
  <r>
    <x v="480"/>
    <x v="1"/>
    <x v="3"/>
    <x v="1"/>
    <x v="0"/>
    <x v="1"/>
    <x v="19"/>
    <x v="3"/>
    <x v="0"/>
    <x v="0"/>
  </r>
  <r>
    <x v="480"/>
    <x v="2"/>
    <x v="11"/>
    <x v="1"/>
    <x v="9"/>
    <x v="3"/>
    <x v="42"/>
    <x v="10"/>
    <x v="4"/>
    <x v="4"/>
  </r>
  <r>
    <x v="481"/>
    <x v="0"/>
    <x v="17"/>
    <x v="0"/>
    <x v="11"/>
    <x v="0"/>
    <x v="51"/>
    <x v="15"/>
    <x v="0"/>
    <x v="0"/>
  </r>
  <r>
    <x v="481"/>
    <x v="1"/>
    <x v="15"/>
    <x v="0"/>
    <x v="11"/>
    <x v="3"/>
    <x v="21"/>
    <x v="12"/>
    <x v="0"/>
    <x v="0"/>
  </r>
  <r>
    <x v="482"/>
    <x v="0"/>
    <x v="7"/>
    <x v="0"/>
    <x v="6"/>
    <x v="1"/>
    <x v="9"/>
    <x v="7"/>
    <x v="0"/>
    <x v="0"/>
  </r>
  <r>
    <x v="483"/>
    <x v="0"/>
    <x v="1"/>
    <x v="1"/>
    <x v="1"/>
    <x v="3"/>
    <x v="96"/>
    <x v="1"/>
    <x v="1"/>
    <x v="1"/>
  </r>
  <r>
    <x v="483"/>
    <x v="1"/>
    <x v="24"/>
    <x v="0"/>
    <x v="8"/>
    <x v="2"/>
    <x v="101"/>
    <x v="9"/>
    <x v="3"/>
    <x v="3"/>
  </r>
  <r>
    <x v="483"/>
    <x v="2"/>
    <x v="11"/>
    <x v="1"/>
    <x v="9"/>
    <x v="2"/>
    <x v="126"/>
    <x v="10"/>
    <x v="4"/>
    <x v="4"/>
  </r>
  <r>
    <x v="483"/>
    <x v="3"/>
    <x v="18"/>
    <x v="0"/>
    <x v="14"/>
    <x v="0"/>
    <x v="63"/>
    <x v="16"/>
    <x v="1"/>
    <x v="1"/>
  </r>
  <r>
    <x v="484"/>
    <x v="0"/>
    <x v="17"/>
    <x v="0"/>
    <x v="11"/>
    <x v="3"/>
    <x v="21"/>
    <x v="15"/>
    <x v="0"/>
    <x v="0"/>
  </r>
  <r>
    <x v="484"/>
    <x v="1"/>
    <x v="8"/>
    <x v="1"/>
    <x v="0"/>
    <x v="2"/>
    <x v="3"/>
    <x v="3"/>
    <x v="3"/>
    <x v="3"/>
  </r>
  <r>
    <x v="485"/>
    <x v="0"/>
    <x v="11"/>
    <x v="0"/>
    <x v="9"/>
    <x v="1"/>
    <x v="45"/>
    <x v="10"/>
    <x v="4"/>
    <x v="4"/>
  </r>
  <r>
    <x v="485"/>
    <x v="1"/>
    <x v="19"/>
    <x v="1"/>
    <x v="15"/>
    <x v="2"/>
    <x v="89"/>
    <x v="17"/>
    <x v="5"/>
    <x v="5"/>
  </r>
  <r>
    <x v="486"/>
    <x v="0"/>
    <x v="18"/>
    <x v="0"/>
    <x v="14"/>
    <x v="0"/>
    <x v="63"/>
    <x v="16"/>
    <x v="1"/>
    <x v="1"/>
  </r>
  <r>
    <x v="487"/>
    <x v="0"/>
    <x v="17"/>
    <x v="1"/>
    <x v="11"/>
    <x v="1"/>
    <x v="35"/>
    <x v="15"/>
    <x v="0"/>
    <x v="0"/>
  </r>
  <r>
    <x v="487"/>
    <x v="1"/>
    <x v="19"/>
    <x v="1"/>
    <x v="15"/>
    <x v="2"/>
    <x v="89"/>
    <x v="17"/>
    <x v="5"/>
    <x v="5"/>
  </r>
  <r>
    <x v="487"/>
    <x v="2"/>
    <x v="13"/>
    <x v="0"/>
    <x v="11"/>
    <x v="2"/>
    <x v="18"/>
    <x v="12"/>
    <x v="5"/>
    <x v="5"/>
  </r>
  <r>
    <x v="488"/>
    <x v="0"/>
    <x v="1"/>
    <x v="1"/>
    <x v="1"/>
    <x v="3"/>
    <x v="96"/>
    <x v="1"/>
    <x v="1"/>
    <x v="1"/>
  </r>
  <r>
    <x v="489"/>
    <x v="0"/>
    <x v="10"/>
    <x v="0"/>
    <x v="8"/>
    <x v="3"/>
    <x v="98"/>
    <x v="9"/>
    <x v="0"/>
    <x v="0"/>
  </r>
  <r>
    <x v="489"/>
    <x v="1"/>
    <x v="19"/>
    <x v="0"/>
    <x v="15"/>
    <x v="2"/>
    <x v="115"/>
    <x v="17"/>
    <x v="5"/>
    <x v="5"/>
  </r>
  <r>
    <x v="489"/>
    <x v="2"/>
    <x v="15"/>
    <x v="0"/>
    <x v="11"/>
    <x v="3"/>
    <x v="21"/>
    <x v="12"/>
    <x v="0"/>
    <x v="0"/>
  </r>
  <r>
    <x v="489"/>
    <x v="3"/>
    <x v="17"/>
    <x v="1"/>
    <x v="11"/>
    <x v="1"/>
    <x v="35"/>
    <x v="15"/>
    <x v="0"/>
    <x v="0"/>
  </r>
  <r>
    <x v="490"/>
    <x v="0"/>
    <x v="11"/>
    <x v="1"/>
    <x v="9"/>
    <x v="0"/>
    <x v="44"/>
    <x v="10"/>
    <x v="4"/>
    <x v="4"/>
  </r>
  <r>
    <x v="490"/>
    <x v="1"/>
    <x v="20"/>
    <x v="1"/>
    <x v="11"/>
    <x v="2"/>
    <x v="64"/>
    <x v="15"/>
    <x v="5"/>
    <x v="5"/>
  </r>
  <r>
    <x v="490"/>
    <x v="2"/>
    <x v="12"/>
    <x v="1"/>
    <x v="10"/>
    <x v="2"/>
    <x v="94"/>
    <x v="11"/>
    <x v="0"/>
    <x v="0"/>
  </r>
  <r>
    <x v="491"/>
    <x v="0"/>
    <x v="18"/>
    <x v="0"/>
    <x v="14"/>
    <x v="3"/>
    <x v="107"/>
    <x v="16"/>
    <x v="1"/>
    <x v="1"/>
  </r>
  <r>
    <x v="491"/>
    <x v="1"/>
    <x v="13"/>
    <x v="1"/>
    <x v="11"/>
    <x v="3"/>
    <x v="23"/>
    <x v="12"/>
    <x v="5"/>
    <x v="5"/>
  </r>
  <r>
    <x v="491"/>
    <x v="2"/>
    <x v="8"/>
    <x v="0"/>
    <x v="0"/>
    <x v="2"/>
    <x v="7"/>
    <x v="3"/>
    <x v="3"/>
    <x v="3"/>
  </r>
  <r>
    <x v="492"/>
    <x v="0"/>
    <x v="12"/>
    <x v="0"/>
    <x v="10"/>
    <x v="2"/>
    <x v="119"/>
    <x v="11"/>
    <x v="0"/>
    <x v="0"/>
  </r>
  <r>
    <x v="492"/>
    <x v="1"/>
    <x v="9"/>
    <x v="1"/>
    <x v="7"/>
    <x v="2"/>
    <x v="32"/>
    <x v="8"/>
    <x v="0"/>
    <x v="0"/>
  </r>
  <r>
    <x v="492"/>
    <x v="2"/>
    <x v="8"/>
    <x v="0"/>
    <x v="0"/>
    <x v="2"/>
    <x v="7"/>
    <x v="3"/>
    <x v="3"/>
    <x v="3"/>
  </r>
  <r>
    <x v="493"/>
    <x v="0"/>
    <x v="19"/>
    <x v="0"/>
    <x v="15"/>
    <x v="3"/>
    <x v="37"/>
    <x v="17"/>
    <x v="5"/>
    <x v="5"/>
  </r>
  <r>
    <x v="494"/>
    <x v="0"/>
    <x v="13"/>
    <x v="0"/>
    <x v="11"/>
    <x v="0"/>
    <x v="51"/>
    <x v="12"/>
    <x v="5"/>
    <x v="5"/>
  </r>
  <r>
    <x v="494"/>
    <x v="1"/>
    <x v="11"/>
    <x v="0"/>
    <x v="9"/>
    <x v="2"/>
    <x v="121"/>
    <x v="10"/>
    <x v="4"/>
    <x v="4"/>
  </r>
  <r>
    <x v="495"/>
    <x v="0"/>
    <x v="19"/>
    <x v="0"/>
    <x v="15"/>
    <x v="0"/>
    <x v="122"/>
    <x v="17"/>
    <x v="5"/>
    <x v="5"/>
  </r>
  <r>
    <x v="495"/>
    <x v="1"/>
    <x v="17"/>
    <x v="0"/>
    <x v="11"/>
    <x v="3"/>
    <x v="21"/>
    <x v="15"/>
    <x v="0"/>
    <x v="0"/>
  </r>
  <r>
    <x v="495"/>
    <x v="2"/>
    <x v="20"/>
    <x v="1"/>
    <x v="11"/>
    <x v="0"/>
    <x v="78"/>
    <x v="15"/>
    <x v="5"/>
    <x v="5"/>
  </r>
  <r>
    <x v="496"/>
    <x v="0"/>
    <x v="22"/>
    <x v="1"/>
    <x v="17"/>
    <x v="1"/>
    <x v="85"/>
    <x v="19"/>
    <x v="3"/>
    <x v="3"/>
  </r>
  <r>
    <x v="497"/>
    <x v="0"/>
    <x v="24"/>
    <x v="0"/>
    <x v="8"/>
    <x v="1"/>
    <x v="77"/>
    <x v="9"/>
    <x v="3"/>
    <x v="3"/>
  </r>
  <r>
    <x v="497"/>
    <x v="1"/>
    <x v="20"/>
    <x v="0"/>
    <x v="11"/>
    <x v="3"/>
    <x v="21"/>
    <x v="15"/>
    <x v="5"/>
    <x v="5"/>
  </r>
  <r>
    <x v="497"/>
    <x v="2"/>
    <x v="2"/>
    <x v="0"/>
    <x v="2"/>
    <x v="1"/>
    <x v="43"/>
    <x v="2"/>
    <x v="2"/>
    <x v="2"/>
  </r>
  <r>
    <x v="498"/>
    <x v="0"/>
    <x v="16"/>
    <x v="0"/>
    <x v="13"/>
    <x v="0"/>
    <x v="114"/>
    <x v="14"/>
    <x v="2"/>
    <x v="2"/>
  </r>
  <r>
    <x v="498"/>
    <x v="1"/>
    <x v="12"/>
    <x v="0"/>
    <x v="10"/>
    <x v="1"/>
    <x v="15"/>
    <x v="11"/>
    <x v="0"/>
    <x v="0"/>
  </r>
  <r>
    <x v="498"/>
    <x v="2"/>
    <x v="15"/>
    <x v="1"/>
    <x v="11"/>
    <x v="0"/>
    <x v="78"/>
    <x v="12"/>
    <x v="0"/>
    <x v="0"/>
  </r>
  <r>
    <x v="498"/>
    <x v="3"/>
    <x v="0"/>
    <x v="1"/>
    <x v="0"/>
    <x v="3"/>
    <x v="28"/>
    <x v="0"/>
    <x v="0"/>
    <x v="0"/>
  </r>
  <r>
    <x v="499"/>
    <x v="0"/>
    <x v="10"/>
    <x v="1"/>
    <x v="8"/>
    <x v="2"/>
    <x v="11"/>
    <x v="9"/>
    <x v="0"/>
    <x v="0"/>
  </r>
  <r>
    <x v="499"/>
    <x v="1"/>
    <x v="15"/>
    <x v="0"/>
    <x v="11"/>
    <x v="0"/>
    <x v="51"/>
    <x v="12"/>
    <x v="0"/>
    <x v="0"/>
  </r>
  <r>
    <x v="500"/>
    <x v="0"/>
    <x v="23"/>
    <x v="1"/>
    <x v="7"/>
    <x v="2"/>
    <x v="32"/>
    <x v="20"/>
    <x v="0"/>
    <x v="0"/>
  </r>
  <r>
    <x v="500"/>
    <x v="1"/>
    <x v="1"/>
    <x v="0"/>
    <x v="1"/>
    <x v="1"/>
    <x v="31"/>
    <x v="1"/>
    <x v="1"/>
    <x v="1"/>
  </r>
  <r>
    <x v="500"/>
    <x v="2"/>
    <x v="15"/>
    <x v="0"/>
    <x v="11"/>
    <x v="3"/>
    <x v="21"/>
    <x v="12"/>
    <x v="0"/>
    <x v="0"/>
  </r>
  <r>
    <x v="500"/>
    <x v="3"/>
    <x v="19"/>
    <x v="1"/>
    <x v="15"/>
    <x v="1"/>
    <x v="69"/>
    <x v="17"/>
    <x v="5"/>
    <x v="5"/>
  </r>
  <r>
    <x v="501"/>
    <x v="0"/>
    <x v="17"/>
    <x v="0"/>
    <x v="11"/>
    <x v="2"/>
    <x v="18"/>
    <x v="15"/>
    <x v="0"/>
    <x v="0"/>
  </r>
  <r>
    <x v="502"/>
    <x v="0"/>
    <x v="17"/>
    <x v="1"/>
    <x v="11"/>
    <x v="1"/>
    <x v="35"/>
    <x v="15"/>
    <x v="0"/>
    <x v="0"/>
  </r>
  <r>
    <x v="502"/>
    <x v="1"/>
    <x v="2"/>
    <x v="0"/>
    <x v="2"/>
    <x v="2"/>
    <x v="99"/>
    <x v="2"/>
    <x v="2"/>
    <x v="2"/>
  </r>
  <r>
    <x v="503"/>
    <x v="0"/>
    <x v="24"/>
    <x v="1"/>
    <x v="8"/>
    <x v="3"/>
    <x v="97"/>
    <x v="9"/>
    <x v="3"/>
    <x v="3"/>
  </r>
  <r>
    <x v="503"/>
    <x v="1"/>
    <x v="6"/>
    <x v="1"/>
    <x v="5"/>
    <x v="2"/>
    <x v="125"/>
    <x v="6"/>
    <x v="1"/>
    <x v="1"/>
  </r>
  <r>
    <x v="504"/>
    <x v="0"/>
    <x v="8"/>
    <x v="0"/>
    <x v="0"/>
    <x v="0"/>
    <x v="0"/>
    <x v="3"/>
    <x v="3"/>
    <x v="3"/>
  </r>
  <r>
    <x v="505"/>
    <x v="0"/>
    <x v="22"/>
    <x v="0"/>
    <x v="17"/>
    <x v="3"/>
    <x v="93"/>
    <x v="19"/>
    <x v="3"/>
    <x v="3"/>
  </r>
  <r>
    <x v="505"/>
    <x v="1"/>
    <x v="14"/>
    <x v="0"/>
    <x v="12"/>
    <x v="1"/>
    <x v="140"/>
    <x v="13"/>
    <x v="1"/>
    <x v="1"/>
  </r>
  <r>
    <x v="506"/>
    <x v="0"/>
    <x v="16"/>
    <x v="1"/>
    <x v="13"/>
    <x v="2"/>
    <x v="67"/>
    <x v="14"/>
    <x v="2"/>
    <x v="2"/>
  </r>
  <r>
    <x v="506"/>
    <x v="1"/>
    <x v="17"/>
    <x v="1"/>
    <x v="11"/>
    <x v="1"/>
    <x v="35"/>
    <x v="15"/>
    <x v="0"/>
    <x v="0"/>
  </r>
  <r>
    <x v="506"/>
    <x v="2"/>
    <x v="0"/>
    <x v="1"/>
    <x v="0"/>
    <x v="3"/>
    <x v="28"/>
    <x v="0"/>
    <x v="0"/>
    <x v="0"/>
  </r>
  <r>
    <x v="507"/>
    <x v="0"/>
    <x v="1"/>
    <x v="0"/>
    <x v="1"/>
    <x v="2"/>
    <x v="22"/>
    <x v="1"/>
    <x v="1"/>
    <x v="1"/>
  </r>
  <r>
    <x v="507"/>
    <x v="1"/>
    <x v="6"/>
    <x v="1"/>
    <x v="5"/>
    <x v="2"/>
    <x v="125"/>
    <x v="6"/>
    <x v="1"/>
    <x v="1"/>
  </r>
  <r>
    <x v="507"/>
    <x v="2"/>
    <x v="2"/>
    <x v="1"/>
    <x v="2"/>
    <x v="2"/>
    <x v="2"/>
    <x v="2"/>
    <x v="2"/>
    <x v="2"/>
  </r>
  <r>
    <x v="507"/>
    <x v="3"/>
    <x v="22"/>
    <x v="0"/>
    <x v="17"/>
    <x v="1"/>
    <x v="88"/>
    <x v="19"/>
    <x v="3"/>
    <x v="3"/>
  </r>
  <r>
    <x v="508"/>
    <x v="0"/>
    <x v="19"/>
    <x v="1"/>
    <x v="15"/>
    <x v="0"/>
    <x v="33"/>
    <x v="17"/>
    <x v="5"/>
    <x v="5"/>
  </r>
  <r>
    <x v="508"/>
    <x v="1"/>
    <x v="4"/>
    <x v="1"/>
    <x v="3"/>
    <x v="2"/>
    <x v="49"/>
    <x v="4"/>
    <x v="1"/>
    <x v="1"/>
  </r>
  <r>
    <x v="509"/>
    <x v="0"/>
    <x v="7"/>
    <x v="0"/>
    <x v="6"/>
    <x v="3"/>
    <x v="47"/>
    <x v="7"/>
    <x v="0"/>
    <x v="0"/>
  </r>
  <r>
    <x v="510"/>
    <x v="0"/>
    <x v="13"/>
    <x v="1"/>
    <x v="11"/>
    <x v="2"/>
    <x v="64"/>
    <x v="12"/>
    <x v="5"/>
    <x v="5"/>
  </r>
  <r>
    <x v="510"/>
    <x v="1"/>
    <x v="17"/>
    <x v="0"/>
    <x v="11"/>
    <x v="3"/>
    <x v="21"/>
    <x v="15"/>
    <x v="0"/>
    <x v="0"/>
  </r>
  <r>
    <x v="511"/>
    <x v="0"/>
    <x v="20"/>
    <x v="0"/>
    <x v="11"/>
    <x v="1"/>
    <x v="36"/>
    <x v="15"/>
    <x v="5"/>
    <x v="5"/>
  </r>
  <r>
    <x v="512"/>
    <x v="0"/>
    <x v="14"/>
    <x v="0"/>
    <x v="12"/>
    <x v="1"/>
    <x v="140"/>
    <x v="13"/>
    <x v="1"/>
    <x v="1"/>
  </r>
  <r>
    <x v="512"/>
    <x v="1"/>
    <x v="17"/>
    <x v="0"/>
    <x v="11"/>
    <x v="0"/>
    <x v="51"/>
    <x v="15"/>
    <x v="0"/>
    <x v="0"/>
  </r>
  <r>
    <x v="512"/>
    <x v="2"/>
    <x v="19"/>
    <x v="0"/>
    <x v="15"/>
    <x v="1"/>
    <x v="75"/>
    <x v="17"/>
    <x v="5"/>
    <x v="5"/>
  </r>
  <r>
    <x v="513"/>
    <x v="0"/>
    <x v="9"/>
    <x v="1"/>
    <x v="7"/>
    <x v="0"/>
    <x v="83"/>
    <x v="8"/>
    <x v="0"/>
    <x v="0"/>
  </r>
  <r>
    <x v="513"/>
    <x v="1"/>
    <x v="7"/>
    <x v="1"/>
    <x v="6"/>
    <x v="1"/>
    <x v="100"/>
    <x v="7"/>
    <x v="0"/>
    <x v="0"/>
  </r>
  <r>
    <x v="514"/>
    <x v="0"/>
    <x v="1"/>
    <x v="0"/>
    <x v="1"/>
    <x v="1"/>
    <x v="31"/>
    <x v="1"/>
    <x v="1"/>
    <x v="1"/>
  </r>
  <r>
    <x v="514"/>
    <x v="1"/>
    <x v="21"/>
    <x v="0"/>
    <x v="16"/>
    <x v="3"/>
    <x v="38"/>
    <x v="18"/>
    <x v="1"/>
    <x v="1"/>
  </r>
  <r>
    <x v="514"/>
    <x v="2"/>
    <x v="22"/>
    <x v="1"/>
    <x v="17"/>
    <x v="1"/>
    <x v="85"/>
    <x v="19"/>
    <x v="3"/>
    <x v="3"/>
  </r>
  <r>
    <x v="514"/>
    <x v="3"/>
    <x v="18"/>
    <x v="1"/>
    <x v="14"/>
    <x v="0"/>
    <x v="117"/>
    <x v="16"/>
    <x v="1"/>
    <x v="1"/>
  </r>
  <r>
    <x v="515"/>
    <x v="0"/>
    <x v="14"/>
    <x v="0"/>
    <x v="12"/>
    <x v="2"/>
    <x v="55"/>
    <x v="13"/>
    <x v="1"/>
    <x v="1"/>
  </r>
  <r>
    <x v="515"/>
    <x v="1"/>
    <x v="21"/>
    <x v="1"/>
    <x v="16"/>
    <x v="3"/>
    <x v="87"/>
    <x v="18"/>
    <x v="1"/>
    <x v="1"/>
  </r>
  <r>
    <x v="516"/>
    <x v="0"/>
    <x v="20"/>
    <x v="1"/>
    <x v="11"/>
    <x v="1"/>
    <x v="35"/>
    <x v="15"/>
    <x v="5"/>
    <x v="5"/>
  </r>
  <r>
    <x v="517"/>
    <x v="0"/>
    <x v="3"/>
    <x v="1"/>
    <x v="0"/>
    <x v="0"/>
    <x v="24"/>
    <x v="3"/>
    <x v="0"/>
    <x v="0"/>
  </r>
  <r>
    <x v="517"/>
    <x v="1"/>
    <x v="21"/>
    <x v="1"/>
    <x v="16"/>
    <x v="2"/>
    <x v="131"/>
    <x v="18"/>
    <x v="1"/>
    <x v="1"/>
  </r>
  <r>
    <x v="517"/>
    <x v="2"/>
    <x v="22"/>
    <x v="1"/>
    <x v="17"/>
    <x v="2"/>
    <x v="41"/>
    <x v="19"/>
    <x v="3"/>
    <x v="3"/>
  </r>
  <r>
    <x v="517"/>
    <x v="3"/>
    <x v="12"/>
    <x v="1"/>
    <x v="10"/>
    <x v="0"/>
    <x v="48"/>
    <x v="11"/>
    <x v="0"/>
    <x v="0"/>
  </r>
  <r>
    <x v="517"/>
    <x v="4"/>
    <x v="16"/>
    <x v="1"/>
    <x v="13"/>
    <x v="1"/>
    <x v="136"/>
    <x v="14"/>
    <x v="2"/>
    <x v="2"/>
  </r>
  <r>
    <x v="518"/>
    <x v="0"/>
    <x v="18"/>
    <x v="0"/>
    <x v="14"/>
    <x v="1"/>
    <x v="29"/>
    <x v="16"/>
    <x v="1"/>
    <x v="1"/>
  </r>
  <r>
    <x v="518"/>
    <x v="1"/>
    <x v="3"/>
    <x v="0"/>
    <x v="0"/>
    <x v="3"/>
    <x v="12"/>
    <x v="3"/>
    <x v="0"/>
    <x v="0"/>
  </r>
  <r>
    <x v="518"/>
    <x v="2"/>
    <x v="19"/>
    <x v="1"/>
    <x v="15"/>
    <x v="2"/>
    <x v="89"/>
    <x v="17"/>
    <x v="5"/>
    <x v="5"/>
  </r>
  <r>
    <x v="518"/>
    <x v="3"/>
    <x v="9"/>
    <x v="1"/>
    <x v="7"/>
    <x v="0"/>
    <x v="83"/>
    <x v="8"/>
    <x v="0"/>
    <x v="0"/>
  </r>
  <r>
    <x v="518"/>
    <x v="4"/>
    <x v="14"/>
    <x v="0"/>
    <x v="12"/>
    <x v="2"/>
    <x v="55"/>
    <x v="13"/>
    <x v="1"/>
    <x v="1"/>
  </r>
  <r>
    <x v="519"/>
    <x v="0"/>
    <x v="8"/>
    <x v="0"/>
    <x v="0"/>
    <x v="3"/>
    <x v="12"/>
    <x v="3"/>
    <x v="3"/>
    <x v="3"/>
  </r>
  <r>
    <x v="519"/>
    <x v="1"/>
    <x v="24"/>
    <x v="0"/>
    <x v="8"/>
    <x v="0"/>
    <x v="57"/>
    <x v="9"/>
    <x v="3"/>
    <x v="3"/>
  </r>
  <r>
    <x v="519"/>
    <x v="2"/>
    <x v="2"/>
    <x v="0"/>
    <x v="2"/>
    <x v="1"/>
    <x v="43"/>
    <x v="2"/>
    <x v="2"/>
    <x v="2"/>
  </r>
  <r>
    <x v="520"/>
    <x v="0"/>
    <x v="21"/>
    <x v="0"/>
    <x v="16"/>
    <x v="0"/>
    <x v="58"/>
    <x v="18"/>
    <x v="1"/>
    <x v="1"/>
  </r>
  <r>
    <x v="520"/>
    <x v="1"/>
    <x v="15"/>
    <x v="0"/>
    <x v="11"/>
    <x v="0"/>
    <x v="51"/>
    <x v="12"/>
    <x v="0"/>
    <x v="0"/>
  </r>
  <r>
    <x v="521"/>
    <x v="0"/>
    <x v="4"/>
    <x v="1"/>
    <x v="3"/>
    <x v="1"/>
    <x v="127"/>
    <x v="4"/>
    <x v="1"/>
    <x v="1"/>
  </r>
  <r>
    <x v="521"/>
    <x v="1"/>
    <x v="13"/>
    <x v="1"/>
    <x v="11"/>
    <x v="1"/>
    <x v="35"/>
    <x v="12"/>
    <x v="5"/>
    <x v="5"/>
  </r>
  <r>
    <x v="521"/>
    <x v="2"/>
    <x v="20"/>
    <x v="0"/>
    <x v="11"/>
    <x v="2"/>
    <x v="18"/>
    <x v="15"/>
    <x v="5"/>
    <x v="5"/>
  </r>
  <r>
    <x v="522"/>
    <x v="0"/>
    <x v="10"/>
    <x v="0"/>
    <x v="8"/>
    <x v="0"/>
    <x v="57"/>
    <x v="9"/>
    <x v="0"/>
    <x v="0"/>
  </r>
  <r>
    <x v="522"/>
    <x v="1"/>
    <x v="0"/>
    <x v="0"/>
    <x v="0"/>
    <x v="2"/>
    <x v="7"/>
    <x v="0"/>
    <x v="0"/>
    <x v="0"/>
  </r>
  <r>
    <x v="522"/>
    <x v="2"/>
    <x v="21"/>
    <x v="1"/>
    <x v="16"/>
    <x v="3"/>
    <x v="87"/>
    <x v="18"/>
    <x v="1"/>
    <x v="1"/>
  </r>
  <r>
    <x v="522"/>
    <x v="3"/>
    <x v="3"/>
    <x v="1"/>
    <x v="0"/>
    <x v="1"/>
    <x v="19"/>
    <x v="3"/>
    <x v="0"/>
    <x v="0"/>
  </r>
  <r>
    <x v="523"/>
    <x v="0"/>
    <x v="16"/>
    <x v="0"/>
    <x v="13"/>
    <x v="1"/>
    <x v="142"/>
    <x v="14"/>
    <x v="2"/>
    <x v="2"/>
  </r>
  <r>
    <x v="523"/>
    <x v="1"/>
    <x v="6"/>
    <x v="0"/>
    <x v="5"/>
    <x v="2"/>
    <x v="132"/>
    <x v="6"/>
    <x v="1"/>
    <x v="1"/>
  </r>
  <r>
    <x v="523"/>
    <x v="2"/>
    <x v="11"/>
    <x v="0"/>
    <x v="9"/>
    <x v="0"/>
    <x v="141"/>
    <x v="10"/>
    <x v="4"/>
    <x v="4"/>
  </r>
  <r>
    <x v="523"/>
    <x v="3"/>
    <x v="5"/>
    <x v="1"/>
    <x v="4"/>
    <x v="1"/>
    <x v="13"/>
    <x v="5"/>
    <x v="1"/>
    <x v="1"/>
  </r>
  <r>
    <x v="523"/>
    <x v="4"/>
    <x v="8"/>
    <x v="0"/>
    <x v="0"/>
    <x v="2"/>
    <x v="7"/>
    <x v="3"/>
    <x v="3"/>
    <x v="3"/>
  </r>
  <r>
    <x v="524"/>
    <x v="0"/>
    <x v="11"/>
    <x v="1"/>
    <x v="9"/>
    <x v="1"/>
    <x v="14"/>
    <x v="10"/>
    <x v="4"/>
    <x v="4"/>
  </r>
  <r>
    <x v="524"/>
    <x v="1"/>
    <x v="18"/>
    <x v="1"/>
    <x v="14"/>
    <x v="1"/>
    <x v="138"/>
    <x v="16"/>
    <x v="1"/>
    <x v="1"/>
  </r>
  <r>
    <x v="524"/>
    <x v="2"/>
    <x v="2"/>
    <x v="0"/>
    <x v="2"/>
    <x v="3"/>
    <x v="139"/>
    <x v="2"/>
    <x v="2"/>
    <x v="2"/>
  </r>
  <r>
    <x v="525"/>
    <x v="0"/>
    <x v="5"/>
    <x v="1"/>
    <x v="4"/>
    <x v="3"/>
    <x v="52"/>
    <x v="5"/>
    <x v="1"/>
    <x v="1"/>
  </r>
  <r>
    <x v="525"/>
    <x v="1"/>
    <x v="1"/>
    <x v="0"/>
    <x v="1"/>
    <x v="3"/>
    <x v="112"/>
    <x v="1"/>
    <x v="1"/>
    <x v="1"/>
  </r>
  <r>
    <x v="525"/>
    <x v="2"/>
    <x v="20"/>
    <x v="0"/>
    <x v="11"/>
    <x v="2"/>
    <x v="18"/>
    <x v="15"/>
    <x v="5"/>
    <x v="5"/>
  </r>
  <r>
    <x v="525"/>
    <x v="3"/>
    <x v="12"/>
    <x v="0"/>
    <x v="10"/>
    <x v="1"/>
    <x v="15"/>
    <x v="11"/>
    <x v="0"/>
    <x v="0"/>
  </r>
  <r>
    <x v="526"/>
    <x v="0"/>
    <x v="9"/>
    <x v="1"/>
    <x v="7"/>
    <x v="1"/>
    <x v="53"/>
    <x v="8"/>
    <x v="0"/>
    <x v="0"/>
  </r>
  <r>
    <x v="526"/>
    <x v="1"/>
    <x v="4"/>
    <x v="0"/>
    <x v="3"/>
    <x v="0"/>
    <x v="4"/>
    <x v="4"/>
    <x v="1"/>
    <x v="1"/>
  </r>
  <r>
    <x v="526"/>
    <x v="2"/>
    <x v="23"/>
    <x v="0"/>
    <x v="7"/>
    <x v="3"/>
    <x v="65"/>
    <x v="20"/>
    <x v="0"/>
    <x v="0"/>
  </r>
  <r>
    <x v="526"/>
    <x v="3"/>
    <x v="11"/>
    <x v="1"/>
    <x v="9"/>
    <x v="0"/>
    <x v="44"/>
    <x v="10"/>
    <x v="4"/>
    <x v="4"/>
  </r>
  <r>
    <x v="527"/>
    <x v="0"/>
    <x v="20"/>
    <x v="1"/>
    <x v="11"/>
    <x v="2"/>
    <x v="64"/>
    <x v="15"/>
    <x v="5"/>
    <x v="5"/>
  </r>
  <r>
    <x v="528"/>
    <x v="0"/>
    <x v="10"/>
    <x v="1"/>
    <x v="8"/>
    <x v="1"/>
    <x v="30"/>
    <x v="9"/>
    <x v="0"/>
    <x v="0"/>
  </r>
  <r>
    <x v="529"/>
    <x v="0"/>
    <x v="6"/>
    <x v="1"/>
    <x v="5"/>
    <x v="2"/>
    <x v="125"/>
    <x v="6"/>
    <x v="1"/>
    <x v="1"/>
  </r>
  <r>
    <x v="529"/>
    <x v="1"/>
    <x v="4"/>
    <x v="0"/>
    <x v="3"/>
    <x v="1"/>
    <x v="123"/>
    <x v="4"/>
    <x v="1"/>
    <x v="1"/>
  </r>
  <r>
    <x v="529"/>
    <x v="2"/>
    <x v="18"/>
    <x v="1"/>
    <x v="14"/>
    <x v="0"/>
    <x v="117"/>
    <x v="16"/>
    <x v="1"/>
    <x v="1"/>
  </r>
  <r>
    <x v="530"/>
    <x v="0"/>
    <x v="18"/>
    <x v="0"/>
    <x v="14"/>
    <x v="0"/>
    <x v="63"/>
    <x v="16"/>
    <x v="1"/>
    <x v="1"/>
  </r>
  <r>
    <x v="530"/>
    <x v="1"/>
    <x v="10"/>
    <x v="1"/>
    <x v="8"/>
    <x v="0"/>
    <x v="118"/>
    <x v="9"/>
    <x v="0"/>
    <x v="0"/>
  </r>
  <r>
    <x v="530"/>
    <x v="2"/>
    <x v="22"/>
    <x v="0"/>
    <x v="17"/>
    <x v="1"/>
    <x v="88"/>
    <x v="19"/>
    <x v="3"/>
    <x v="3"/>
  </r>
  <r>
    <x v="531"/>
    <x v="0"/>
    <x v="7"/>
    <x v="1"/>
    <x v="6"/>
    <x v="1"/>
    <x v="100"/>
    <x v="7"/>
    <x v="0"/>
    <x v="0"/>
  </r>
  <r>
    <x v="531"/>
    <x v="1"/>
    <x v="3"/>
    <x v="1"/>
    <x v="0"/>
    <x v="0"/>
    <x v="24"/>
    <x v="3"/>
    <x v="0"/>
    <x v="0"/>
  </r>
  <r>
    <x v="531"/>
    <x v="2"/>
    <x v="10"/>
    <x v="0"/>
    <x v="8"/>
    <x v="3"/>
    <x v="98"/>
    <x v="9"/>
    <x v="0"/>
    <x v="0"/>
  </r>
  <r>
    <x v="532"/>
    <x v="0"/>
    <x v="4"/>
    <x v="0"/>
    <x v="3"/>
    <x v="0"/>
    <x v="4"/>
    <x v="4"/>
    <x v="1"/>
    <x v="1"/>
  </r>
  <r>
    <x v="532"/>
    <x v="1"/>
    <x v="10"/>
    <x v="1"/>
    <x v="8"/>
    <x v="3"/>
    <x v="97"/>
    <x v="9"/>
    <x v="0"/>
    <x v="0"/>
  </r>
  <r>
    <x v="532"/>
    <x v="2"/>
    <x v="2"/>
    <x v="0"/>
    <x v="2"/>
    <x v="0"/>
    <x v="135"/>
    <x v="2"/>
    <x v="2"/>
    <x v="2"/>
  </r>
  <r>
    <x v="532"/>
    <x v="3"/>
    <x v="22"/>
    <x v="0"/>
    <x v="17"/>
    <x v="2"/>
    <x v="111"/>
    <x v="19"/>
    <x v="3"/>
    <x v="3"/>
  </r>
  <r>
    <x v="533"/>
    <x v="0"/>
    <x v="20"/>
    <x v="1"/>
    <x v="11"/>
    <x v="2"/>
    <x v="64"/>
    <x v="15"/>
    <x v="5"/>
    <x v="5"/>
  </r>
  <r>
    <x v="533"/>
    <x v="1"/>
    <x v="11"/>
    <x v="1"/>
    <x v="9"/>
    <x v="2"/>
    <x v="126"/>
    <x v="10"/>
    <x v="4"/>
    <x v="4"/>
  </r>
  <r>
    <x v="533"/>
    <x v="2"/>
    <x v="6"/>
    <x v="0"/>
    <x v="5"/>
    <x v="1"/>
    <x v="116"/>
    <x v="6"/>
    <x v="1"/>
    <x v="1"/>
  </r>
  <r>
    <x v="533"/>
    <x v="3"/>
    <x v="24"/>
    <x v="1"/>
    <x v="8"/>
    <x v="3"/>
    <x v="97"/>
    <x v="9"/>
    <x v="3"/>
    <x v="3"/>
  </r>
  <r>
    <x v="534"/>
    <x v="0"/>
    <x v="24"/>
    <x v="0"/>
    <x v="8"/>
    <x v="2"/>
    <x v="101"/>
    <x v="9"/>
    <x v="3"/>
    <x v="3"/>
  </r>
  <r>
    <x v="534"/>
    <x v="1"/>
    <x v="12"/>
    <x v="0"/>
    <x v="10"/>
    <x v="3"/>
    <x v="80"/>
    <x v="11"/>
    <x v="0"/>
    <x v="0"/>
  </r>
  <r>
    <x v="534"/>
    <x v="2"/>
    <x v="13"/>
    <x v="1"/>
    <x v="11"/>
    <x v="3"/>
    <x v="23"/>
    <x v="12"/>
    <x v="5"/>
    <x v="5"/>
  </r>
  <r>
    <x v="535"/>
    <x v="0"/>
    <x v="13"/>
    <x v="0"/>
    <x v="11"/>
    <x v="3"/>
    <x v="21"/>
    <x v="12"/>
    <x v="5"/>
    <x v="5"/>
  </r>
  <r>
    <x v="535"/>
    <x v="1"/>
    <x v="6"/>
    <x v="0"/>
    <x v="5"/>
    <x v="3"/>
    <x v="92"/>
    <x v="6"/>
    <x v="1"/>
    <x v="1"/>
  </r>
  <r>
    <x v="535"/>
    <x v="2"/>
    <x v="10"/>
    <x v="1"/>
    <x v="8"/>
    <x v="2"/>
    <x v="11"/>
    <x v="9"/>
    <x v="0"/>
    <x v="0"/>
  </r>
  <r>
    <x v="535"/>
    <x v="3"/>
    <x v="15"/>
    <x v="0"/>
    <x v="11"/>
    <x v="1"/>
    <x v="36"/>
    <x v="12"/>
    <x v="0"/>
    <x v="0"/>
  </r>
  <r>
    <x v="536"/>
    <x v="0"/>
    <x v="2"/>
    <x v="0"/>
    <x v="2"/>
    <x v="2"/>
    <x v="99"/>
    <x v="2"/>
    <x v="2"/>
    <x v="2"/>
  </r>
  <r>
    <x v="536"/>
    <x v="1"/>
    <x v="8"/>
    <x v="0"/>
    <x v="0"/>
    <x v="2"/>
    <x v="7"/>
    <x v="3"/>
    <x v="3"/>
    <x v="3"/>
  </r>
  <r>
    <x v="536"/>
    <x v="2"/>
    <x v="7"/>
    <x v="1"/>
    <x v="6"/>
    <x v="3"/>
    <x v="17"/>
    <x v="7"/>
    <x v="0"/>
    <x v="0"/>
  </r>
  <r>
    <x v="536"/>
    <x v="3"/>
    <x v="22"/>
    <x v="1"/>
    <x v="17"/>
    <x v="0"/>
    <x v="91"/>
    <x v="19"/>
    <x v="3"/>
    <x v="3"/>
  </r>
  <r>
    <x v="537"/>
    <x v="0"/>
    <x v="6"/>
    <x v="1"/>
    <x v="5"/>
    <x v="0"/>
    <x v="39"/>
    <x v="6"/>
    <x v="1"/>
    <x v="1"/>
  </r>
  <r>
    <x v="538"/>
    <x v="0"/>
    <x v="11"/>
    <x v="1"/>
    <x v="9"/>
    <x v="3"/>
    <x v="42"/>
    <x v="10"/>
    <x v="4"/>
    <x v="4"/>
  </r>
  <r>
    <x v="538"/>
    <x v="1"/>
    <x v="19"/>
    <x v="0"/>
    <x v="15"/>
    <x v="2"/>
    <x v="115"/>
    <x v="17"/>
    <x v="5"/>
    <x v="5"/>
  </r>
  <r>
    <x v="538"/>
    <x v="2"/>
    <x v="20"/>
    <x v="1"/>
    <x v="11"/>
    <x v="1"/>
    <x v="35"/>
    <x v="15"/>
    <x v="5"/>
    <x v="5"/>
  </r>
  <r>
    <x v="539"/>
    <x v="0"/>
    <x v="23"/>
    <x v="0"/>
    <x v="7"/>
    <x v="3"/>
    <x v="65"/>
    <x v="20"/>
    <x v="0"/>
    <x v="0"/>
  </r>
  <r>
    <x v="539"/>
    <x v="1"/>
    <x v="8"/>
    <x v="1"/>
    <x v="0"/>
    <x v="3"/>
    <x v="28"/>
    <x v="3"/>
    <x v="3"/>
    <x v="3"/>
  </r>
  <r>
    <x v="539"/>
    <x v="2"/>
    <x v="19"/>
    <x v="1"/>
    <x v="15"/>
    <x v="1"/>
    <x v="69"/>
    <x v="17"/>
    <x v="5"/>
    <x v="5"/>
  </r>
  <r>
    <x v="540"/>
    <x v="0"/>
    <x v="13"/>
    <x v="1"/>
    <x v="11"/>
    <x v="2"/>
    <x v="64"/>
    <x v="12"/>
    <x v="5"/>
    <x v="5"/>
  </r>
  <r>
    <x v="541"/>
    <x v="0"/>
    <x v="3"/>
    <x v="1"/>
    <x v="0"/>
    <x v="0"/>
    <x v="24"/>
    <x v="3"/>
    <x v="0"/>
    <x v="0"/>
  </r>
  <r>
    <x v="541"/>
    <x v="1"/>
    <x v="11"/>
    <x v="0"/>
    <x v="9"/>
    <x v="3"/>
    <x v="128"/>
    <x v="10"/>
    <x v="4"/>
    <x v="4"/>
  </r>
  <r>
    <x v="541"/>
    <x v="2"/>
    <x v="0"/>
    <x v="0"/>
    <x v="0"/>
    <x v="3"/>
    <x v="12"/>
    <x v="0"/>
    <x v="0"/>
    <x v="0"/>
  </r>
  <r>
    <x v="541"/>
    <x v="3"/>
    <x v="23"/>
    <x v="1"/>
    <x v="7"/>
    <x v="0"/>
    <x v="83"/>
    <x v="20"/>
    <x v="0"/>
    <x v="0"/>
  </r>
  <r>
    <x v="542"/>
    <x v="0"/>
    <x v="22"/>
    <x v="0"/>
    <x v="17"/>
    <x v="0"/>
    <x v="76"/>
    <x v="19"/>
    <x v="3"/>
    <x v="3"/>
  </r>
  <r>
    <x v="542"/>
    <x v="1"/>
    <x v="9"/>
    <x v="0"/>
    <x v="7"/>
    <x v="0"/>
    <x v="59"/>
    <x v="8"/>
    <x v="0"/>
    <x v="0"/>
  </r>
  <r>
    <x v="542"/>
    <x v="2"/>
    <x v="8"/>
    <x v="1"/>
    <x v="0"/>
    <x v="2"/>
    <x v="3"/>
    <x v="3"/>
    <x v="3"/>
    <x v="3"/>
  </r>
  <r>
    <x v="543"/>
    <x v="0"/>
    <x v="10"/>
    <x v="0"/>
    <x v="8"/>
    <x v="2"/>
    <x v="101"/>
    <x v="9"/>
    <x v="0"/>
    <x v="0"/>
  </r>
  <r>
    <x v="543"/>
    <x v="1"/>
    <x v="7"/>
    <x v="0"/>
    <x v="6"/>
    <x v="3"/>
    <x v="47"/>
    <x v="7"/>
    <x v="0"/>
    <x v="0"/>
  </r>
  <r>
    <x v="543"/>
    <x v="2"/>
    <x v="20"/>
    <x v="0"/>
    <x v="11"/>
    <x v="2"/>
    <x v="18"/>
    <x v="15"/>
    <x v="5"/>
    <x v="5"/>
  </r>
  <r>
    <x v="544"/>
    <x v="0"/>
    <x v="22"/>
    <x v="1"/>
    <x v="17"/>
    <x v="0"/>
    <x v="91"/>
    <x v="19"/>
    <x v="3"/>
    <x v="3"/>
  </r>
  <r>
    <x v="544"/>
    <x v="1"/>
    <x v="18"/>
    <x v="0"/>
    <x v="14"/>
    <x v="1"/>
    <x v="29"/>
    <x v="16"/>
    <x v="1"/>
    <x v="1"/>
  </r>
  <r>
    <x v="544"/>
    <x v="2"/>
    <x v="24"/>
    <x v="0"/>
    <x v="8"/>
    <x v="0"/>
    <x v="57"/>
    <x v="9"/>
    <x v="3"/>
    <x v="3"/>
  </r>
  <r>
    <x v="544"/>
    <x v="3"/>
    <x v="0"/>
    <x v="1"/>
    <x v="0"/>
    <x v="1"/>
    <x v="19"/>
    <x v="0"/>
    <x v="0"/>
    <x v="0"/>
  </r>
  <r>
    <x v="545"/>
    <x v="0"/>
    <x v="7"/>
    <x v="1"/>
    <x v="6"/>
    <x v="2"/>
    <x v="27"/>
    <x v="7"/>
    <x v="0"/>
    <x v="0"/>
  </r>
  <r>
    <x v="545"/>
    <x v="1"/>
    <x v="1"/>
    <x v="0"/>
    <x v="1"/>
    <x v="3"/>
    <x v="112"/>
    <x v="1"/>
    <x v="1"/>
    <x v="1"/>
  </r>
  <r>
    <x v="545"/>
    <x v="2"/>
    <x v="9"/>
    <x v="1"/>
    <x v="7"/>
    <x v="1"/>
    <x v="53"/>
    <x v="8"/>
    <x v="0"/>
    <x v="0"/>
  </r>
  <r>
    <x v="546"/>
    <x v="0"/>
    <x v="16"/>
    <x v="1"/>
    <x v="13"/>
    <x v="2"/>
    <x v="67"/>
    <x v="14"/>
    <x v="2"/>
    <x v="2"/>
  </r>
  <r>
    <x v="546"/>
    <x v="1"/>
    <x v="11"/>
    <x v="0"/>
    <x v="9"/>
    <x v="0"/>
    <x v="141"/>
    <x v="10"/>
    <x v="4"/>
    <x v="4"/>
  </r>
  <r>
    <x v="546"/>
    <x v="2"/>
    <x v="21"/>
    <x v="0"/>
    <x v="16"/>
    <x v="3"/>
    <x v="38"/>
    <x v="18"/>
    <x v="1"/>
    <x v="1"/>
  </r>
  <r>
    <x v="547"/>
    <x v="0"/>
    <x v="1"/>
    <x v="0"/>
    <x v="1"/>
    <x v="3"/>
    <x v="112"/>
    <x v="1"/>
    <x v="1"/>
    <x v="1"/>
  </r>
  <r>
    <x v="547"/>
    <x v="1"/>
    <x v="16"/>
    <x v="1"/>
    <x v="13"/>
    <x v="1"/>
    <x v="136"/>
    <x v="14"/>
    <x v="2"/>
    <x v="2"/>
  </r>
  <r>
    <x v="548"/>
    <x v="0"/>
    <x v="12"/>
    <x v="0"/>
    <x v="10"/>
    <x v="1"/>
    <x v="15"/>
    <x v="11"/>
    <x v="0"/>
    <x v="0"/>
  </r>
  <r>
    <x v="548"/>
    <x v="1"/>
    <x v="3"/>
    <x v="0"/>
    <x v="0"/>
    <x v="2"/>
    <x v="7"/>
    <x v="3"/>
    <x v="0"/>
    <x v="0"/>
  </r>
  <r>
    <x v="548"/>
    <x v="2"/>
    <x v="5"/>
    <x v="0"/>
    <x v="4"/>
    <x v="1"/>
    <x v="133"/>
    <x v="5"/>
    <x v="1"/>
    <x v="1"/>
  </r>
  <r>
    <x v="548"/>
    <x v="3"/>
    <x v="14"/>
    <x v="0"/>
    <x v="12"/>
    <x v="2"/>
    <x v="55"/>
    <x v="13"/>
    <x v="1"/>
    <x v="1"/>
  </r>
  <r>
    <x v="548"/>
    <x v="4"/>
    <x v="17"/>
    <x v="1"/>
    <x v="11"/>
    <x v="3"/>
    <x v="23"/>
    <x v="15"/>
    <x v="0"/>
    <x v="0"/>
  </r>
  <r>
    <x v="549"/>
    <x v="0"/>
    <x v="4"/>
    <x v="0"/>
    <x v="3"/>
    <x v="2"/>
    <x v="143"/>
    <x v="4"/>
    <x v="1"/>
    <x v="1"/>
  </r>
  <r>
    <x v="550"/>
    <x v="0"/>
    <x v="3"/>
    <x v="0"/>
    <x v="0"/>
    <x v="2"/>
    <x v="7"/>
    <x v="3"/>
    <x v="0"/>
    <x v="0"/>
  </r>
  <r>
    <x v="550"/>
    <x v="1"/>
    <x v="8"/>
    <x v="0"/>
    <x v="0"/>
    <x v="1"/>
    <x v="5"/>
    <x v="3"/>
    <x v="3"/>
    <x v="3"/>
  </r>
  <r>
    <x v="550"/>
    <x v="2"/>
    <x v="16"/>
    <x v="1"/>
    <x v="13"/>
    <x v="0"/>
    <x v="108"/>
    <x v="14"/>
    <x v="2"/>
    <x v="2"/>
  </r>
  <r>
    <x v="550"/>
    <x v="3"/>
    <x v="12"/>
    <x v="1"/>
    <x v="10"/>
    <x v="0"/>
    <x v="48"/>
    <x v="11"/>
    <x v="0"/>
    <x v="0"/>
  </r>
  <r>
    <x v="551"/>
    <x v="0"/>
    <x v="19"/>
    <x v="0"/>
    <x v="15"/>
    <x v="0"/>
    <x v="122"/>
    <x v="17"/>
    <x v="5"/>
    <x v="5"/>
  </r>
  <r>
    <x v="551"/>
    <x v="1"/>
    <x v="6"/>
    <x v="0"/>
    <x v="5"/>
    <x v="0"/>
    <x v="56"/>
    <x v="6"/>
    <x v="1"/>
    <x v="1"/>
  </r>
  <r>
    <x v="551"/>
    <x v="2"/>
    <x v="24"/>
    <x v="0"/>
    <x v="8"/>
    <x v="0"/>
    <x v="57"/>
    <x v="9"/>
    <x v="3"/>
    <x v="3"/>
  </r>
  <r>
    <x v="551"/>
    <x v="3"/>
    <x v="9"/>
    <x v="0"/>
    <x v="7"/>
    <x v="3"/>
    <x v="65"/>
    <x v="8"/>
    <x v="0"/>
    <x v="0"/>
  </r>
  <r>
    <x v="551"/>
    <x v="4"/>
    <x v="23"/>
    <x v="1"/>
    <x v="7"/>
    <x v="0"/>
    <x v="83"/>
    <x v="20"/>
    <x v="0"/>
    <x v="0"/>
  </r>
  <r>
    <x v="552"/>
    <x v="0"/>
    <x v="24"/>
    <x v="0"/>
    <x v="8"/>
    <x v="3"/>
    <x v="98"/>
    <x v="9"/>
    <x v="3"/>
    <x v="3"/>
  </r>
  <r>
    <x v="552"/>
    <x v="1"/>
    <x v="9"/>
    <x v="1"/>
    <x v="7"/>
    <x v="1"/>
    <x v="53"/>
    <x v="8"/>
    <x v="0"/>
    <x v="0"/>
  </r>
  <r>
    <x v="552"/>
    <x v="2"/>
    <x v="10"/>
    <x v="0"/>
    <x v="8"/>
    <x v="1"/>
    <x v="77"/>
    <x v="9"/>
    <x v="0"/>
    <x v="0"/>
  </r>
  <r>
    <x v="553"/>
    <x v="0"/>
    <x v="5"/>
    <x v="1"/>
    <x v="4"/>
    <x v="1"/>
    <x v="13"/>
    <x v="5"/>
    <x v="1"/>
    <x v="1"/>
  </r>
  <r>
    <x v="553"/>
    <x v="1"/>
    <x v="13"/>
    <x v="0"/>
    <x v="11"/>
    <x v="2"/>
    <x v="18"/>
    <x v="12"/>
    <x v="5"/>
    <x v="5"/>
  </r>
  <r>
    <x v="553"/>
    <x v="2"/>
    <x v="4"/>
    <x v="1"/>
    <x v="3"/>
    <x v="0"/>
    <x v="84"/>
    <x v="4"/>
    <x v="1"/>
    <x v="1"/>
  </r>
  <r>
    <x v="554"/>
    <x v="0"/>
    <x v="1"/>
    <x v="0"/>
    <x v="1"/>
    <x v="0"/>
    <x v="34"/>
    <x v="1"/>
    <x v="1"/>
    <x v="1"/>
  </r>
  <r>
    <x v="554"/>
    <x v="1"/>
    <x v="14"/>
    <x v="0"/>
    <x v="12"/>
    <x v="3"/>
    <x v="40"/>
    <x v="13"/>
    <x v="1"/>
    <x v="1"/>
  </r>
  <r>
    <x v="554"/>
    <x v="2"/>
    <x v="0"/>
    <x v="1"/>
    <x v="0"/>
    <x v="1"/>
    <x v="19"/>
    <x v="0"/>
    <x v="0"/>
    <x v="0"/>
  </r>
  <r>
    <x v="555"/>
    <x v="0"/>
    <x v="3"/>
    <x v="0"/>
    <x v="0"/>
    <x v="3"/>
    <x v="12"/>
    <x v="3"/>
    <x v="0"/>
    <x v="0"/>
  </r>
  <r>
    <x v="555"/>
    <x v="1"/>
    <x v="4"/>
    <x v="1"/>
    <x v="3"/>
    <x v="0"/>
    <x v="84"/>
    <x v="4"/>
    <x v="1"/>
    <x v="1"/>
  </r>
  <r>
    <x v="556"/>
    <x v="0"/>
    <x v="11"/>
    <x v="1"/>
    <x v="9"/>
    <x v="3"/>
    <x v="42"/>
    <x v="10"/>
    <x v="4"/>
    <x v="4"/>
  </r>
  <r>
    <x v="556"/>
    <x v="1"/>
    <x v="2"/>
    <x v="0"/>
    <x v="2"/>
    <x v="3"/>
    <x v="139"/>
    <x v="2"/>
    <x v="2"/>
    <x v="2"/>
  </r>
  <r>
    <x v="557"/>
    <x v="0"/>
    <x v="14"/>
    <x v="0"/>
    <x v="12"/>
    <x v="1"/>
    <x v="140"/>
    <x v="13"/>
    <x v="1"/>
    <x v="1"/>
  </r>
  <r>
    <x v="557"/>
    <x v="1"/>
    <x v="3"/>
    <x v="0"/>
    <x v="0"/>
    <x v="1"/>
    <x v="5"/>
    <x v="3"/>
    <x v="0"/>
    <x v="0"/>
  </r>
  <r>
    <x v="557"/>
    <x v="2"/>
    <x v="11"/>
    <x v="0"/>
    <x v="9"/>
    <x v="3"/>
    <x v="128"/>
    <x v="10"/>
    <x v="4"/>
    <x v="4"/>
  </r>
  <r>
    <x v="557"/>
    <x v="3"/>
    <x v="20"/>
    <x v="1"/>
    <x v="11"/>
    <x v="2"/>
    <x v="64"/>
    <x v="15"/>
    <x v="5"/>
    <x v="5"/>
  </r>
  <r>
    <x v="557"/>
    <x v="4"/>
    <x v="2"/>
    <x v="1"/>
    <x v="2"/>
    <x v="1"/>
    <x v="46"/>
    <x v="2"/>
    <x v="2"/>
    <x v="2"/>
  </r>
  <r>
    <x v="558"/>
    <x v="0"/>
    <x v="12"/>
    <x v="1"/>
    <x v="10"/>
    <x v="3"/>
    <x v="120"/>
    <x v="11"/>
    <x v="0"/>
    <x v="0"/>
  </r>
  <r>
    <x v="558"/>
    <x v="1"/>
    <x v="18"/>
    <x v="0"/>
    <x v="14"/>
    <x v="3"/>
    <x v="107"/>
    <x v="16"/>
    <x v="1"/>
    <x v="1"/>
  </r>
  <r>
    <x v="558"/>
    <x v="2"/>
    <x v="14"/>
    <x v="1"/>
    <x v="12"/>
    <x v="1"/>
    <x v="102"/>
    <x v="13"/>
    <x v="1"/>
    <x v="1"/>
  </r>
  <r>
    <x v="559"/>
    <x v="0"/>
    <x v="3"/>
    <x v="0"/>
    <x v="0"/>
    <x v="2"/>
    <x v="7"/>
    <x v="3"/>
    <x v="0"/>
    <x v="0"/>
  </r>
  <r>
    <x v="559"/>
    <x v="1"/>
    <x v="8"/>
    <x v="1"/>
    <x v="0"/>
    <x v="3"/>
    <x v="28"/>
    <x v="3"/>
    <x v="3"/>
    <x v="3"/>
  </r>
  <r>
    <x v="560"/>
    <x v="0"/>
    <x v="12"/>
    <x v="1"/>
    <x v="10"/>
    <x v="2"/>
    <x v="94"/>
    <x v="11"/>
    <x v="0"/>
    <x v="0"/>
  </r>
  <r>
    <x v="560"/>
    <x v="1"/>
    <x v="9"/>
    <x v="0"/>
    <x v="7"/>
    <x v="2"/>
    <x v="72"/>
    <x v="8"/>
    <x v="0"/>
    <x v="0"/>
  </r>
  <r>
    <x v="560"/>
    <x v="2"/>
    <x v="21"/>
    <x v="0"/>
    <x v="16"/>
    <x v="2"/>
    <x v="60"/>
    <x v="18"/>
    <x v="1"/>
    <x v="1"/>
  </r>
  <r>
    <x v="560"/>
    <x v="3"/>
    <x v="7"/>
    <x v="1"/>
    <x v="6"/>
    <x v="1"/>
    <x v="100"/>
    <x v="7"/>
    <x v="0"/>
    <x v="0"/>
  </r>
  <r>
    <x v="561"/>
    <x v="0"/>
    <x v="22"/>
    <x v="1"/>
    <x v="17"/>
    <x v="1"/>
    <x v="85"/>
    <x v="19"/>
    <x v="3"/>
    <x v="3"/>
  </r>
  <r>
    <x v="561"/>
    <x v="1"/>
    <x v="8"/>
    <x v="0"/>
    <x v="0"/>
    <x v="2"/>
    <x v="7"/>
    <x v="3"/>
    <x v="3"/>
    <x v="3"/>
  </r>
  <r>
    <x v="562"/>
    <x v="0"/>
    <x v="18"/>
    <x v="1"/>
    <x v="14"/>
    <x v="3"/>
    <x v="110"/>
    <x v="16"/>
    <x v="1"/>
    <x v="1"/>
  </r>
  <r>
    <x v="562"/>
    <x v="1"/>
    <x v="23"/>
    <x v="0"/>
    <x v="7"/>
    <x v="2"/>
    <x v="72"/>
    <x v="20"/>
    <x v="0"/>
    <x v="0"/>
  </r>
  <r>
    <x v="562"/>
    <x v="2"/>
    <x v="17"/>
    <x v="1"/>
    <x v="11"/>
    <x v="3"/>
    <x v="23"/>
    <x v="15"/>
    <x v="0"/>
    <x v="0"/>
  </r>
  <r>
    <x v="563"/>
    <x v="0"/>
    <x v="4"/>
    <x v="0"/>
    <x v="3"/>
    <x v="0"/>
    <x v="4"/>
    <x v="4"/>
    <x v="1"/>
    <x v="1"/>
  </r>
  <r>
    <x v="563"/>
    <x v="1"/>
    <x v="12"/>
    <x v="0"/>
    <x v="10"/>
    <x v="0"/>
    <x v="103"/>
    <x v="11"/>
    <x v="0"/>
    <x v="0"/>
  </r>
  <r>
    <x v="564"/>
    <x v="0"/>
    <x v="9"/>
    <x v="0"/>
    <x v="7"/>
    <x v="0"/>
    <x v="59"/>
    <x v="8"/>
    <x v="0"/>
    <x v="0"/>
  </r>
  <r>
    <x v="564"/>
    <x v="1"/>
    <x v="22"/>
    <x v="1"/>
    <x v="17"/>
    <x v="3"/>
    <x v="68"/>
    <x v="19"/>
    <x v="3"/>
    <x v="3"/>
  </r>
  <r>
    <x v="564"/>
    <x v="2"/>
    <x v="11"/>
    <x v="0"/>
    <x v="9"/>
    <x v="2"/>
    <x v="121"/>
    <x v="10"/>
    <x v="4"/>
    <x v="4"/>
  </r>
  <r>
    <x v="564"/>
    <x v="3"/>
    <x v="7"/>
    <x v="0"/>
    <x v="6"/>
    <x v="3"/>
    <x v="47"/>
    <x v="7"/>
    <x v="0"/>
    <x v="0"/>
  </r>
  <r>
    <x v="565"/>
    <x v="0"/>
    <x v="24"/>
    <x v="1"/>
    <x v="8"/>
    <x v="1"/>
    <x v="30"/>
    <x v="9"/>
    <x v="3"/>
    <x v="3"/>
  </r>
  <r>
    <x v="565"/>
    <x v="1"/>
    <x v="14"/>
    <x v="1"/>
    <x v="12"/>
    <x v="0"/>
    <x v="61"/>
    <x v="13"/>
    <x v="1"/>
    <x v="1"/>
  </r>
  <r>
    <x v="565"/>
    <x v="2"/>
    <x v="1"/>
    <x v="0"/>
    <x v="1"/>
    <x v="3"/>
    <x v="112"/>
    <x v="1"/>
    <x v="1"/>
    <x v="1"/>
  </r>
  <r>
    <x v="565"/>
    <x v="3"/>
    <x v="20"/>
    <x v="1"/>
    <x v="11"/>
    <x v="0"/>
    <x v="78"/>
    <x v="15"/>
    <x v="5"/>
    <x v="5"/>
  </r>
  <r>
    <x v="566"/>
    <x v="0"/>
    <x v="11"/>
    <x v="0"/>
    <x v="9"/>
    <x v="0"/>
    <x v="141"/>
    <x v="10"/>
    <x v="4"/>
    <x v="4"/>
  </r>
  <r>
    <x v="566"/>
    <x v="1"/>
    <x v="21"/>
    <x v="0"/>
    <x v="16"/>
    <x v="1"/>
    <x v="105"/>
    <x v="18"/>
    <x v="1"/>
    <x v="1"/>
  </r>
  <r>
    <x v="567"/>
    <x v="0"/>
    <x v="21"/>
    <x v="0"/>
    <x v="16"/>
    <x v="2"/>
    <x v="60"/>
    <x v="18"/>
    <x v="1"/>
    <x v="1"/>
  </r>
  <r>
    <x v="567"/>
    <x v="1"/>
    <x v="2"/>
    <x v="0"/>
    <x v="2"/>
    <x v="2"/>
    <x v="99"/>
    <x v="2"/>
    <x v="2"/>
    <x v="2"/>
  </r>
  <r>
    <x v="568"/>
    <x v="0"/>
    <x v="3"/>
    <x v="0"/>
    <x v="0"/>
    <x v="2"/>
    <x v="7"/>
    <x v="3"/>
    <x v="0"/>
    <x v="0"/>
  </r>
  <r>
    <x v="568"/>
    <x v="1"/>
    <x v="24"/>
    <x v="1"/>
    <x v="8"/>
    <x v="3"/>
    <x v="97"/>
    <x v="9"/>
    <x v="3"/>
    <x v="3"/>
  </r>
  <r>
    <x v="569"/>
    <x v="0"/>
    <x v="9"/>
    <x v="0"/>
    <x v="7"/>
    <x v="1"/>
    <x v="10"/>
    <x v="8"/>
    <x v="0"/>
    <x v="0"/>
  </r>
  <r>
    <x v="569"/>
    <x v="1"/>
    <x v="24"/>
    <x v="1"/>
    <x v="8"/>
    <x v="3"/>
    <x v="97"/>
    <x v="9"/>
    <x v="3"/>
    <x v="3"/>
  </r>
  <r>
    <x v="569"/>
    <x v="2"/>
    <x v="5"/>
    <x v="1"/>
    <x v="4"/>
    <x v="0"/>
    <x v="73"/>
    <x v="5"/>
    <x v="1"/>
    <x v="1"/>
  </r>
  <r>
    <x v="569"/>
    <x v="3"/>
    <x v="16"/>
    <x v="0"/>
    <x v="13"/>
    <x v="3"/>
    <x v="86"/>
    <x v="14"/>
    <x v="2"/>
    <x v="2"/>
  </r>
  <r>
    <x v="569"/>
    <x v="4"/>
    <x v="3"/>
    <x v="0"/>
    <x v="0"/>
    <x v="2"/>
    <x v="7"/>
    <x v="3"/>
    <x v="0"/>
    <x v="0"/>
  </r>
  <r>
    <x v="570"/>
    <x v="0"/>
    <x v="4"/>
    <x v="0"/>
    <x v="3"/>
    <x v="2"/>
    <x v="143"/>
    <x v="4"/>
    <x v="1"/>
    <x v="1"/>
  </r>
  <r>
    <x v="570"/>
    <x v="1"/>
    <x v="11"/>
    <x v="0"/>
    <x v="9"/>
    <x v="3"/>
    <x v="128"/>
    <x v="10"/>
    <x v="4"/>
    <x v="4"/>
  </r>
  <r>
    <x v="571"/>
    <x v="0"/>
    <x v="5"/>
    <x v="0"/>
    <x v="4"/>
    <x v="2"/>
    <x v="6"/>
    <x v="5"/>
    <x v="1"/>
    <x v="1"/>
  </r>
  <r>
    <x v="571"/>
    <x v="1"/>
    <x v="17"/>
    <x v="1"/>
    <x v="11"/>
    <x v="3"/>
    <x v="23"/>
    <x v="15"/>
    <x v="0"/>
    <x v="0"/>
  </r>
  <r>
    <x v="571"/>
    <x v="2"/>
    <x v="16"/>
    <x v="1"/>
    <x v="13"/>
    <x v="0"/>
    <x v="108"/>
    <x v="14"/>
    <x v="2"/>
    <x v="2"/>
  </r>
  <r>
    <x v="572"/>
    <x v="0"/>
    <x v="6"/>
    <x v="0"/>
    <x v="5"/>
    <x v="0"/>
    <x v="56"/>
    <x v="6"/>
    <x v="1"/>
    <x v="1"/>
  </r>
  <r>
    <x v="573"/>
    <x v="0"/>
    <x v="8"/>
    <x v="0"/>
    <x v="0"/>
    <x v="2"/>
    <x v="7"/>
    <x v="3"/>
    <x v="3"/>
    <x v="3"/>
  </r>
  <r>
    <x v="573"/>
    <x v="1"/>
    <x v="17"/>
    <x v="1"/>
    <x v="11"/>
    <x v="3"/>
    <x v="23"/>
    <x v="15"/>
    <x v="0"/>
    <x v="0"/>
  </r>
  <r>
    <x v="573"/>
    <x v="2"/>
    <x v="10"/>
    <x v="1"/>
    <x v="8"/>
    <x v="3"/>
    <x v="97"/>
    <x v="9"/>
    <x v="0"/>
    <x v="0"/>
  </r>
  <r>
    <x v="573"/>
    <x v="3"/>
    <x v="19"/>
    <x v="1"/>
    <x v="15"/>
    <x v="3"/>
    <x v="50"/>
    <x v="17"/>
    <x v="5"/>
    <x v="5"/>
  </r>
  <r>
    <x v="573"/>
    <x v="4"/>
    <x v="16"/>
    <x v="1"/>
    <x v="13"/>
    <x v="2"/>
    <x v="67"/>
    <x v="14"/>
    <x v="2"/>
    <x v="2"/>
  </r>
  <r>
    <x v="574"/>
    <x v="0"/>
    <x v="4"/>
    <x v="1"/>
    <x v="3"/>
    <x v="1"/>
    <x v="127"/>
    <x v="4"/>
    <x v="1"/>
    <x v="1"/>
  </r>
  <r>
    <x v="574"/>
    <x v="1"/>
    <x v="10"/>
    <x v="0"/>
    <x v="8"/>
    <x v="0"/>
    <x v="57"/>
    <x v="9"/>
    <x v="0"/>
    <x v="0"/>
  </r>
  <r>
    <x v="575"/>
    <x v="0"/>
    <x v="11"/>
    <x v="0"/>
    <x v="9"/>
    <x v="3"/>
    <x v="128"/>
    <x v="10"/>
    <x v="4"/>
    <x v="4"/>
  </r>
  <r>
    <x v="576"/>
    <x v="0"/>
    <x v="5"/>
    <x v="1"/>
    <x v="4"/>
    <x v="0"/>
    <x v="73"/>
    <x v="5"/>
    <x v="1"/>
    <x v="1"/>
  </r>
  <r>
    <x v="577"/>
    <x v="0"/>
    <x v="20"/>
    <x v="0"/>
    <x v="11"/>
    <x v="1"/>
    <x v="36"/>
    <x v="15"/>
    <x v="5"/>
    <x v="5"/>
  </r>
  <r>
    <x v="577"/>
    <x v="1"/>
    <x v="22"/>
    <x v="1"/>
    <x v="17"/>
    <x v="0"/>
    <x v="91"/>
    <x v="19"/>
    <x v="3"/>
    <x v="3"/>
  </r>
  <r>
    <x v="577"/>
    <x v="2"/>
    <x v="9"/>
    <x v="1"/>
    <x v="7"/>
    <x v="2"/>
    <x v="32"/>
    <x v="8"/>
    <x v="0"/>
    <x v="0"/>
  </r>
  <r>
    <x v="577"/>
    <x v="3"/>
    <x v="1"/>
    <x v="1"/>
    <x v="1"/>
    <x v="0"/>
    <x v="82"/>
    <x v="1"/>
    <x v="1"/>
    <x v="1"/>
  </r>
  <r>
    <x v="578"/>
    <x v="0"/>
    <x v="14"/>
    <x v="1"/>
    <x v="12"/>
    <x v="2"/>
    <x v="74"/>
    <x v="13"/>
    <x v="1"/>
    <x v="1"/>
  </r>
  <r>
    <x v="578"/>
    <x v="1"/>
    <x v="18"/>
    <x v="0"/>
    <x v="14"/>
    <x v="0"/>
    <x v="63"/>
    <x v="16"/>
    <x v="1"/>
    <x v="1"/>
  </r>
  <r>
    <x v="579"/>
    <x v="0"/>
    <x v="3"/>
    <x v="1"/>
    <x v="0"/>
    <x v="0"/>
    <x v="24"/>
    <x v="3"/>
    <x v="0"/>
    <x v="0"/>
  </r>
  <r>
    <x v="579"/>
    <x v="1"/>
    <x v="12"/>
    <x v="0"/>
    <x v="10"/>
    <x v="1"/>
    <x v="15"/>
    <x v="11"/>
    <x v="0"/>
    <x v="0"/>
  </r>
  <r>
    <x v="579"/>
    <x v="2"/>
    <x v="20"/>
    <x v="1"/>
    <x v="11"/>
    <x v="0"/>
    <x v="78"/>
    <x v="15"/>
    <x v="5"/>
    <x v="5"/>
  </r>
  <r>
    <x v="579"/>
    <x v="3"/>
    <x v="11"/>
    <x v="1"/>
    <x v="9"/>
    <x v="1"/>
    <x v="14"/>
    <x v="10"/>
    <x v="4"/>
    <x v="4"/>
  </r>
  <r>
    <x v="579"/>
    <x v="4"/>
    <x v="23"/>
    <x v="0"/>
    <x v="7"/>
    <x v="0"/>
    <x v="59"/>
    <x v="20"/>
    <x v="0"/>
    <x v="0"/>
  </r>
  <r>
    <x v="580"/>
    <x v="0"/>
    <x v="1"/>
    <x v="1"/>
    <x v="1"/>
    <x v="1"/>
    <x v="1"/>
    <x v="1"/>
    <x v="1"/>
    <x v="1"/>
  </r>
  <r>
    <x v="581"/>
    <x v="0"/>
    <x v="2"/>
    <x v="1"/>
    <x v="2"/>
    <x v="0"/>
    <x v="54"/>
    <x v="2"/>
    <x v="2"/>
    <x v="2"/>
  </r>
  <r>
    <x v="581"/>
    <x v="1"/>
    <x v="7"/>
    <x v="1"/>
    <x v="6"/>
    <x v="1"/>
    <x v="100"/>
    <x v="7"/>
    <x v="0"/>
    <x v="0"/>
  </r>
  <r>
    <x v="582"/>
    <x v="0"/>
    <x v="12"/>
    <x v="1"/>
    <x v="10"/>
    <x v="0"/>
    <x v="48"/>
    <x v="11"/>
    <x v="0"/>
    <x v="0"/>
  </r>
  <r>
    <x v="583"/>
    <x v="0"/>
    <x v="23"/>
    <x v="0"/>
    <x v="7"/>
    <x v="1"/>
    <x v="10"/>
    <x v="20"/>
    <x v="0"/>
    <x v="0"/>
  </r>
  <r>
    <x v="583"/>
    <x v="1"/>
    <x v="19"/>
    <x v="0"/>
    <x v="15"/>
    <x v="1"/>
    <x v="75"/>
    <x v="17"/>
    <x v="5"/>
    <x v="5"/>
  </r>
  <r>
    <x v="583"/>
    <x v="2"/>
    <x v="12"/>
    <x v="0"/>
    <x v="10"/>
    <x v="3"/>
    <x v="80"/>
    <x v="11"/>
    <x v="0"/>
    <x v="0"/>
  </r>
  <r>
    <x v="583"/>
    <x v="3"/>
    <x v="13"/>
    <x v="0"/>
    <x v="11"/>
    <x v="2"/>
    <x v="18"/>
    <x v="12"/>
    <x v="5"/>
    <x v="5"/>
  </r>
  <r>
    <x v="583"/>
    <x v="4"/>
    <x v="1"/>
    <x v="1"/>
    <x v="1"/>
    <x v="1"/>
    <x v="1"/>
    <x v="1"/>
    <x v="1"/>
    <x v="1"/>
  </r>
  <r>
    <x v="584"/>
    <x v="0"/>
    <x v="2"/>
    <x v="0"/>
    <x v="2"/>
    <x v="0"/>
    <x v="135"/>
    <x v="2"/>
    <x v="2"/>
    <x v="2"/>
  </r>
  <r>
    <x v="584"/>
    <x v="1"/>
    <x v="9"/>
    <x v="1"/>
    <x v="7"/>
    <x v="0"/>
    <x v="83"/>
    <x v="8"/>
    <x v="0"/>
    <x v="0"/>
  </r>
  <r>
    <x v="584"/>
    <x v="2"/>
    <x v="12"/>
    <x v="0"/>
    <x v="10"/>
    <x v="2"/>
    <x v="119"/>
    <x v="11"/>
    <x v="0"/>
    <x v="0"/>
  </r>
  <r>
    <x v="584"/>
    <x v="3"/>
    <x v="10"/>
    <x v="1"/>
    <x v="8"/>
    <x v="1"/>
    <x v="30"/>
    <x v="9"/>
    <x v="0"/>
    <x v="0"/>
  </r>
  <r>
    <x v="585"/>
    <x v="0"/>
    <x v="16"/>
    <x v="1"/>
    <x v="13"/>
    <x v="3"/>
    <x v="104"/>
    <x v="14"/>
    <x v="2"/>
    <x v="2"/>
  </r>
  <r>
    <x v="585"/>
    <x v="1"/>
    <x v="19"/>
    <x v="1"/>
    <x v="15"/>
    <x v="0"/>
    <x v="33"/>
    <x v="17"/>
    <x v="5"/>
    <x v="5"/>
  </r>
  <r>
    <x v="586"/>
    <x v="0"/>
    <x v="24"/>
    <x v="0"/>
    <x v="8"/>
    <x v="2"/>
    <x v="101"/>
    <x v="9"/>
    <x v="3"/>
    <x v="3"/>
  </r>
  <r>
    <x v="586"/>
    <x v="1"/>
    <x v="19"/>
    <x v="0"/>
    <x v="15"/>
    <x v="2"/>
    <x v="115"/>
    <x v="17"/>
    <x v="5"/>
    <x v="5"/>
  </r>
  <r>
    <x v="586"/>
    <x v="2"/>
    <x v="9"/>
    <x v="0"/>
    <x v="7"/>
    <x v="2"/>
    <x v="72"/>
    <x v="8"/>
    <x v="0"/>
    <x v="0"/>
  </r>
  <r>
    <x v="586"/>
    <x v="3"/>
    <x v="20"/>
    <x v="0"/>
    <x v="11"/>
    <x v="0"/>
    <x v="51"/>
    <x v="15"/>
    <x v="5"/>
    <x v="5"/>
  </r>
  <r>
    <x v="587"/>
    <x v="0"/>
    <x v="2"/>
    <x v="1"/>
    <x v="2"/>
    <x v="1"/>
    <x v="46"/>
    <x v="2"/>
    <x v="2"/>
    <x v="2"/>
  </r>
  <r>
    <x v="587"/>
    <x v="1"/>
    <x v="19"/>
    <x v="0"/>
    <x v="15"/>
    <x v="0"/>
    <x v="122"/>
    <x v="17"/>
    <x v="5"/>
    <x v="5"/>
  </r>
  <r>
    <x v="588"/>
    <x v="0"/>
    <x v="12"/>
    <x v="1"/>
    <x v="10"/>
    <x v="2"/>
    <x v="94"/>
    <x v="11"/>
    <x v="0"/>
    <x v="0"/>
  </r>
  <r>
    <x v="589"/>
    <x v="0"/>
    <x v="6"/>
    <x v="1"/>
    <x v="5"/>
    <x v="3"/>
    <x v="8"/>
    <x v="6"/>
    <x v="1"/>
    <x v="1"/>
  </r>
  <r>
    <x v="589"/>
    <x v="1"/>
    <x v="0"/>
    <x v="0"/>
    <x v="0"/>
    <x v="1"/>
    <x v="5"/>
    <x v="0"/>
    <x v="0"/>
    <x v="0"/>
  </r>
  <r>
    <x v="589"/>
    <x v="2"/>
    <x v="1"/>
    <x v="1"/>
    <x v="1"/>
    <x v="2"/>
    <x v="134"/>
    <x v="1"/>
    <x v="1"/>
    <x v="1"/>
  </r>
  <r>
    <x v="589"/>
    <x v="3"/>
    <x v="21"/>
    <x v="1"/>
    <x v="16"/>
    <x v="3"/>
    <x v="87"/>
    <x v="18"/>
    <x v="1"/>
    <x v="1"/>
  </r>
  <r>
    <x v="589"/>
    <x v="4"/>
    <x v="24"/>
    <x v="0"/>
    <x v="8"/>
    <x v="3"/>
    <x v="98"/>
    <x v="9"/>
    <x v="3"/>
    <x v="3"/>
  </r>
  <r>
    <x v="590"/>
    <x v="0"/>
    <x v="3"/>
    <x v="1"/>
    <x v="0"/>
    <x v="2"/>
    <x v="3"/>
    <x v="3"/>
    <x v="0"/>
    <x v="0"/>
  </r>
  <r>
    <x v="590"/>
    <x v="1"/>
    <x v="22"/>
    <x v="1"/>
    <x v="17"/>
    <x v="2"/>
    <x v="41"/>
    <x v="19"/>
    <x v="3"/>
    <x v="3"/>
  </r>
  <r>
    <x v="590"/>
    <x v="2"/>
    <x v="6"/>
    <x v="1"/>
    <x v="5"/>
    <x v="3"/>
    <x v="8"/>
    <x v="6"/>
    <x v="1"/>
    <x v="1"/>
  </r>
  <r>
    <x v="591"/>
    <x v="0"/>
    <x v="20"/>
    <x v="1"/>
    <x v="11"/>
    <x v="3"/>
    <x v="23"/>
    <x v="15"/>
    <x v="5"/>
    <x v="5"/>
  </r>
  <r>
    <x v="591"/>
    <x v="1"/>
    <x v="3"/>
    <x v="0"/>
    <x v="0"/>
    <x v="2"/>
    <x v="7"/>
    <x v="3"/>
    <x v="0"/>
    <x v="0"/>
  </r>
  <r>
    <x v="591"/>
    <x v="2"/>
    <x v="9"/>
    <x v="1"/>
    <x v="7"/>
    <x v="1"/>
    <x v="53"/>
    <x v="8"/>
    <x v="0"/>
    <x v="0"/>
  </r>
  <r>
    <x v="592"/>
    <x v="0"/>
    <x v="5"/>
    <x v="1"/>
    <x v="4"/>
    <x v="3"/>
    <x v="52"/>
    <x v="5"/>
    <x v="1"/>
    <x v="1"/>
  </r>
  <r>
    <x v="592"/>
    <x v="1"/>
    <x v="22"/>
    <x v="0"/>
    <x v="17"/>
    <x v="1"/>
    <x v="88"/>
    <x v="19"/>
    <x v="3"/>
    <x v="3"/>
  </r>
  <r>
    <x v="593"/>
    <x v="0"/>
    <x v="8"/>
    <x v="0"/>
    <x v="0"/>
    <x v="3"/>
    <x v="12"/>
    <x v="3"/>
    <x v="3"/>
    <x v="3"/>
  </r>
  <r>
    <x v="593"/>
    <x v="1"/>
    <x v="20"/>
    <x v="1"/>
    <x v="11"/>
    <x v="2"/>
    <x v="64"/>
    <x v="15"/>
    <x v="5"/>
    <x v="5"/>
  </r>
  <r>
    <x v="594"/>
    <x v="0"/>
    <x v="4"/>
    <x v="0"/>
    <x v="3"/>
    <x v="1"/>
    <x v="123"/>
    <x v="4"/>
    <x v="1"/>
    <x v="1"/>
  </r>
  <r>
    <x v="594"/>
    <x v="1"/>
    <x v="23"/>
    <x v="1"/>
    <x v="7"/>
    <x v="1"/>
    <x v="53"/>
    <x v="20"/>
    <x v="0"/>
    <x v="0"/>
  </r>
  <r>
    <x v="594"/>
    <x v="2"/>
    <x v="5"/>
    <x v="0"/>
    <x v="4"/>
    <x v="1"/>
    <x v="133"/>
    <x v="5"/>
    <x v="1"/>
    <x v="1"/>
  </r>
  <r>
    <x v="594"/>
    <x v="3"/>
    <x v="2"/>
    <x v="0"/>
    <x v="2"/>
    <x v="1"/>
    <x v="43"/>
    <x v="2"/>
    <x v="2"/>
    <x v="2"/>
  </r>
  <r>
    <x v="594"/>
    <x v="4"/>
    <x v="8"/>
    <x v="1"/>
    <x v="0"/>
    <x v="2"/>
    <x v="3"/>
    <x v="3"/>
    <x v="3"/>
    <x v="3"/>
  </r>
  <r>
    <x v="595"/>
    <x v="0"/>
    <x v="21"/>
    <x v="0"/>
    <x v="16"/>
    <x v="2"/>
    <x v="60"/>
    <x v="18"/>
    <x v="1"/>
    <x v="1"/>
  </r>
  <r>
    <x v="595"/>
    <x v="1"/>
    <x v="19"/>
    <x v="1"/>
    <x v="15"/>
    <x v="3"/>
    <x v="50"/>
    <x v="17"/>
    <x v="5"/>
    <x v="5"/>
  </r>
  <r>
    <x v="595"/>
    <x v="2"/>
    <x v="11"/>
    <x v="0"/>
    <x v="9"/>
    <x v="2"/>
    <x v="121"/>
    <x v="10"/>
    <x v="4"/>
    <x v="4"/>
  </r>
  <r>
    <x v="596"/>
    <x v="0"/>
    <x v="7"/>
    <x v="1"/>
    <x v="6"/>
    <x v="0"/>
    <x v="71"/>
    <x v="7"/>
    <x v="0"/>
    <x v="0"/>
  </r>
  <r>
    <x v="596"/>
    <x v="1"/>
    <x v="1"/>
    <x v="0"/>
    <x v="1"/>
    <x v="1"/>
    <x v="31"/>
    <x v="1"/>
    <x v="1"/>
    <x v="1"/>
  </r>
  <r>
    <x v="597"/>
    <x v="0"/>
    <x v="4"/>
    <x v="1"/>
    <x v="3"/>
    <x v="2"/>
    <x v="49"/>
    <x v="4"/>
    <x v="1"/>
    <x v="1"/>
  </r>
  <r>
    <x v="597"/>
    <x v="1"/>
    <x v="3"/>
    <x v="1"/>
    <x v="0"/>
    <x v="1"/>
    <x v="19"/>
    <x v="3"/>
    <x v="0"/>
    <x v="0"/>
  </r>
  <r>
    <x v="597"/>
    <x v="2"/>
    <x v="15"/>
    <x v="0"/>
    <x v="11"/>
    <x v="3"/>
    <x v="21"/>
    <x v="12"/>
    <x v="0"/>
    <x v="0"/>
  </r>
  <r>
    <x v="598"/>
    <x v="0"/>
    <x v="11"/>
    <x v="1"/>
    <x v="9"/>
    <x v="2"/>
    <x v="126"/>
    <x v="10"/>
    <x v="4"/>
    <x v="4"/>
  </r>
  <r>
    <x v="598"/>
    <x v="1"/>
    <x v="13"/>
    <x v="1"/>
    <x v="11"/>
    <x v="0"/>
    <x v="78"/>
    <x v="12"/>
    <x v="5"/>
    <x v="5"/>
  </r>
  <r>
    <x v="598"/>
    <x v="2"/>
    <x v="19"/>
    <x v="0"/>
    <x v="15"/>
    <x v="1"/>
    <x v="75"/>
    <x v="17"/>
    <x v="5"/>
    <x v="5"/>
  </r>
  <r>
    <x v="598"/>
    <x v="3"/>
    <x v="2"/>
    <x v="1"/>
    <x v="2"/>
    <x v="3"/>
    <x v="70"/>
    <x v="2"/>
    <x v="2"/>
    <x v="2"/>
  </r>
  <r>
    <x v="599"/>
    <x v="0"/>
    <x v="8"/>
    <x v="1"/>
    <x v="0"/>
    <x v="1"/>
    <x v="19"/>
    <x v="3"/>
    <x v="3"/>
    <x v="3"/>
  </r>
  <r>
    <x v="599"/>
    <x v="1"/>
    <x v="4"/>
    <x v="0"/>
    <x v="3"/>
    <x v="0"/>
    <x v="4"/>
    <x v="4"/>
    <x v="1"/>
    <x v="1"/>
  </r>
  <r>
    <x v="599"/>
    <x v="2"/>
    <x v="9"/>
    <x v="1"/>
    <x v="7"/>
    <x v="1"/>
    <x v="53"/>
    <x v="8"/>
    <x v="0"/>
    <x v="0"/>
  </r>
  <r>
    <x v="600"/>
    <x v="0"/>
    <x v="10"/>
    <x v="1"/>
    <x v="8"/>
    <x v="0"/>
    <x v="118"/>
    <x v="9"/>
    <x v="0"/>
    <x v="0"/>
  </r>
  <r>
    <x v="601"/>
    <x v="0"/>
    <x v="12"/>
    <x v="1"/>
    <x v="10"/>
    <x v="2"/>
    <x v="94"/>
    <x v="11"/>
    <x v="0"/>
    <x v="0"/>
  </r>
  <r>
    <x v="601"/>
    <x v="1"/>
    <x v="21"/>
    <x v="1"/>
    <x v="16"/>
    <x v="1"/>
    <x v="129"/>
    <x v="18"/>
    <x v="1"/>
    <x v="1"/>
  </r>
  <r>
    <x v="602"/>
    <x v="0"/>
    <x v="10"/>
    <x v="0"/>
    <x v="8"/>
    <x v="1"/>
    <x v="77"/>
    <x v="9"/>
    <x v="0"/>
    <x v="0"/>
  </r>
  <r>
    <x v="602"/>
    <x v="1"/>
    <x v="4"/>
    <x v="0"/>
    <x v="3"/>
    <x v="3"/>
    <x v="66"/>
    <x v="4"/>
    <x v="1"/>
    <x v="1"/>
  </r>
  <r>
    <x v="603"/>
    <x v="0"/>
    <x v="2"/>
    <x v="1"/>
    <x v="2"/>
    <x v="1"/>
    <x v="46"/>
    <x v="2"/>
    <x v="2"/>
    <x v="2"/>
  </r>
  <r>
    <x v="603"/>
    <x v="1"/>
    <x v="11"/>
    <x v="1"/>
    <x v="9"/>
    <x v="0"/>
    <x v="44"/>
    <x v="10"/>
    <x v="4"/>
    <x v="4"/>
  </r>
  <r>
    <x v="604"/>
    <x v="0"/>
    <x v="23"/>
    <x v="0"/>
    <x v="7"/>
    <x v="1"/>
    <x v="10"/>
    <x v="20"/>
    <x v="0"/>
    <x v="0"/>
  </r>
  <r>
    <x v="604"/>
    <x v="1"/>
    <x v="22"/>
    <x v="1"/>
    <x v="17"/>
    <x v="2"/>
    <x v="41"/>
    <x v="19"/>
    <x v="3"/>
    <x v="3"/>
  </r>
  <r>
    <x v="604"/>
    <x v="2"/>
    <x v="17"/>
    <x v="1"/>
    <x v="11"/>
    <x v="0"/>
    <x v="78"/>
    <x v="15"/>
    <x v="0"/>
    <x v="0"/>
  </r>
  <r>
    <x v="604"/>
    <x v="3"/>
    <x v="16"/>
    <x v="0"/>
    <x v="13"/>
    <x v="0"/>
    <x v="114"/>
    <x v="14"/>
    <x v="2"/>
    <x v="2"/>
  </r>
  <r>
    <x v="605"/>
    <x v="0"/>
    <x v="18"/>
    <x v="1"/>
    <x v="14"/>
    <x v="0"/>
    <x v="117"/>
    <x v="16"/>
    <x v="1"/>
    <x v="1"/>
  </r>
  <r>
    <x v="605"/>
    <x v="1"/>
    <x v="9"/>
    <x v="1"/>
    <x v="7"/>
    <x v="2"/>
    <x v="32"/>
    <x v="8"/>
    <x v="0"/>
    <x v="0"/>
  </r>
  <r>
    <x v="606"/>
    <x v="0"/>
    <x v="16"/>
    <x v="1"/>
    <x v="13"/>
    <x v="0"/>
    <x v="108"/>
    <x v="14"/>
    <x v="2"/>
    <x v="2"/>
  </r>
  <r>
    <x v="606"/>
    <x v="1"/>
    <x v="8"/>
    <x v="1"/>
    <x v="0"/>
    <x v="0"/>
    <x v="24"/>
    <x v="3"/>
    <x v="3"/>
    <x v="3"/>
  </r>
  <r>
    <x v="606"/>
    <x v="2"/>
    <x v="15"/>
    <x v="0"/>
    <x v="11"/>
    <x v="1"/>
    <x v="36"/>
    <x v="12"/>
    <x v="0"/>
    <x v="0"/>
  </r>
  <r>
    <x v="607"/>
    <x v="0"/>
    <x v="4"/>
    <x v="1"/>
    <x v="3"/>
    <x v="0"/>
    <x v="84"/>
    <x v="4"/>
    <x v="1"/>
    <x v="1"/>
  </r>
  <r>
    <x v="607"/>
    <x v="1"/>
    <x v="14"/>
    <x v="1"/>
    <x v="12"/>
    <x v="3"/>
    <x v="20"/>
    <x v="13"/>
    <x v="1"/>
    <x v="1"/>
  </r>
  <r>
    <x v="607"/>
    <x v="2"/>
    <x v="24"/>
    <x v="0"/>
    <x v="8"/>
    <x v="3"/>
    <x v="98"/>
    <x v="9"/>
    <x v="3"/>
    <x v="3"/>
  </r>
  <r>
    <x v="608"/>
    <x v="0"/>
    <x v="2"/>
    <x v="0"/>
    <x v="2"/>
    <x v="1"/>
    <x v="43"/>
    <x v="2"/>
    <x v="2"/>
    <x v="2"/>
  </r>
  <r>
    <x v="608"/>
    <x v="1"/>
    <x v="14"/>
    <x v="0"/>
    <x v="12"/>
    <x v="3"/>
    <x v="40"/>
    <x v="13"/>
    <x v="1"/>
    <x v="1"/>
  </r>
  <r>
    <x v="608"/>
    <x v="2"/>
    <x v="13"/>
    <x v="1"/>
    <x v="11"/>
    <x v="3"/>
    <x v="23"/>
    <x v="12"/>
    <x v="5"/>
    <x v="5"/>
  </r>
  <r>
    <x v="608"/>
    <x v="3"/>
    <x v="21"/>
    <x v="0"/>
    <x v="16"/>
    <x v="3"/>
    <x v="38"/>
    <x v="18"/>
    <x v="1"/>
    <x v="1"/>
  </r>
  <r>
    <x v="609"/>
    <x v="0"/>
    <x v="8"/>
    <x v="0"/>
    <x v="0"/>
    <x v="3"/>
    <x v="12"/>
    <x v="3"/>
    <x v="3"/>
    <x v="3"/>
  </r>
  <r>
    <x v="609"/>
    <x v="1"/>
    <x v="24"/>
    <x v="0"/>
    <x v="8"/>
    <x v="1"/>
    <x v="77"/>
    <x v="9"/>
    <x v="3"/>
    <x v="3"/>
  </r>
  <r>
    <x v="609"/>
    <x v="2"/>
    <x v="9"/>
    <x v="1"/>
    <x v="7"/>
    <x v="1"/>
    <x v="53"/>
    <x v="8"/>
    <x v="0"/>
    <x v="0"/>
  </r>
  <r>
    <x v="609"/>
    <x v="3"/>
    <x v="5"/>
    <x v="0"/>
    <x v="4"/>
    <x v="1"/>
    <x v="133"/>
    <x v="5"/>
    <x v="1"/>
    <x v="1"/>
  </r>
  <r>
    <x v="609"/>
    <x v="4"/>
    <x v="1"/>
    <x v="0"/>
    <x v="1"/>
    <x v="3"/>
    <x v="112"/>
    <x v="1"/>
    <x v="1"/>
    <x v="1"/>
  </r>
  <r>
    <x v="610"/>
    <x v="0"/>
    <x v="3"/>
    <x v="1"/>
    <x v="0"/>
    <x v="1"/>
    <x v="19"/>
    <x v="3"/>
    <x v="0"/>
    <x v="0"/>
  </r>
  <r>
    <x v="611"/>
    <x v="0"/>
    <x v="17"/>
    <x v="0"/>
    <x v="11"/>
    <x v="3"/>
    <x v="21"/>
    <x v="15"/>
    <x v="0"/>
    <x v="0"/>
  </r>
  <r>
    <x v="611"/>
    <x v="1"/>
    <x v="15"/>
    <x v="0"/>
    <x v="11"/>
    <x v="3"/>
    <x v="21"/>
    <x v="12"/>
    <x v="0"/>
    <x v="0"/>
  </r>
  <r>
    <x v="611"/>
    <x v="2"/>
    <x v="7"/>
    <x v="0"/>
    <x v="6"/>
    <x v="1"/>
    <x v="9"/>
    <x v="7"/>
    <x v="0"/>
    <x v="0"/>
  </r>
  <r>
    <x v="611"/>
    <x v="3"/>
    <x v="0"/>
    <x v="0"/>
    <x v="0"/>
    <x v="0"/>
    <x v="0"/>
    <x v="0"/>
    <x v="0"/>
    <x v="0"/>
  </r>
  <r>
    <x v="612"/>
    <x v="0"/>
    <x v="11"/>
    <x v="1"/>
    <x v="9"/>
    <x v="3"/>
    <x v="42"/>
    <x v="10"/>
    <x v="4"/>
    <x v="4"/>
  </r>
  <r>
    <x v="612"/>
    <x v="1"/>
    <x v="9"/>
    <x v="1"/>
    <x v="7"/>
    <x v="2"/>
    <x v="32"/>
    <x v="8"/>
    <x v="0"/>
    <x v="0"/>
  </r>
  <r>
    <x v="612"/>
    <x v="2"/>
    <x v="10"/>
    <x v="0"/>
    <x v="8"/>
    <x v="1"/>
    <x v="77"/>
    <x v="9"/>
    <x v="0"/>
    <x v="0"/>
  </r>
  <r>
    <x v="613"/>
    <x v="0"/>
    <x v="9"/>
    <x v="0"/>
    <x v="7"/>
    <x v="3"/>
    <x v="65"/>
    <x v="8"/>
    <x v="0"/>
    <x v="0"/>
  </r>
  <r>
    <x v="613"/>
    <x v="1"/>
    <x v="20"/>
    <x v="0"/>
    <x v="11"/>
    <x v="2"/>
    <x v="18"/>
    <x v="15"/>
    <x v="5"/>
    <x v="5"/>
  </r>
  <r>
    <x v="614"/>
    <x v="0"/>
    <x v="16"/>
    <x v="0"/>
    <x v="13"/>
    <x v="1"/>
    <x v="142"/>
    <x v="14"/>
    <x v="2"/>
    <x v="2"/>
  </r>
  <r>
    <x v="614"/>
    <x v="1"/>
    <x v="19"/>
    <x v="0"/>
    <x v="15"/>
    <x v="2"/>
    <x v="115"/>
    <x v="17"/>
    <x v="5"/>
    <x v="5"/>
  </r>
  <r>
    <x v="614"/>
    <x v="2"/>
    <x v="18"/>
    <x v="1"/>
    <x v="14"/>
    <x v="3"/>
    <x v="110"/>
    <x v="16"/>
    <x v="1"/>
    <x v="1"/>
  </r>
  <r>
    <x v="614"/>
    <x v="3"/>
    <x v="23"/>
    <x v="1"/>
    <x v="7"/>
    <x v="3"/>
    <x v="106"/>
    <x v="20"/>
    <x v="0"/>
    <x v="0"/>
  </r>
  <r>
    <x v="615"/>
    <x v="0"/>
    <x v="24"/>
    <x v="0"/>
    <x v="8"/>
    <x v="0"/>
    <x v="57"/>
    <x v="9"/>
    <x v="3"/>
    <x v="3"/>
  </r>
  <r>
    <x v="615"/>
    <x v="1"/>
    <x v="3"/>
    <x v="1"/>
    <x v="0"/>
    <x v="0"/>
    <x v="24"/>
    <x v="3"/>
    <x v="0"/>
    <x v="0"/>
  </r>
  <r>
    <x v="616"/>
    <x v="0"/>
    <x v="12"/>
    <x v="1"/>
    <x v="10"/>
    <x v="0"/>
    <x v="48"/>
    <x v="11"/>
    <x v="0"/>
    <x v="0"/>
  </r>
  <r>
    <x v="616"/>
    <x v="1"/>
    <x v="16"/>
    <x v="1"/>
    <x v="13"/>
    <x v="1"/>
    <x v="136"/>
    <x v="14"/>
    <x v="2"/>
    <x v="2"/>
  </r>
  <r>
    <x v="617"/>
    <x v="0"/>
    <x v="7"/>
    <x v="1"/>
    <x v="6"/>
    <x v="3"/>
    <x v="17"/>
    <x v="7"/>
    <x v="0"/>
    <x v="0"/>
  </r>
  <r>
    <x v="617"/>
    <x v="1"/>
    <x v="16"/>
    <x v="0"/>
    <x v="13"/>
    <x v="1"/>
    <x v="142"/>
    <x v="14"/>
    <x v="2"/>
    <x v="2"/>
  </r>
  <r>
    <x v="618"/>
    <x v="0"/>
    <x v="22"/>
    <x v="0"/>
    <x v="17"/>
    <x v="1"/>
    <x v="88"/>
    <x v="19"/>
    <x v="3"/>
    <x v="3"/>
  </r>
  <r>
    <x v="619"/>
    <x v="0"/>
    <x v="21"/>
    <x v="1"/>
    <x v="16"/>
    <x v="0"/>
    <x v="95"/>
    <x v="18"/>
    <x v="1"/>
    <x v="1"/>
  </r>
  <r>
    <x v="620"/>
    <x v="0"/>
    <x v="7"/>
    <x v="1"/>
    <x v="6"/>
    <x v="1"/>
    <x v="100"/>
    <x v="7"/>
    <x v="0"/>
    <x v="0"/>
  </r>
  <r>
    <x v="621"/>
    <x v="0"/>
    <x v="11"/>
    <x v="1"/>
    <x v="9"/>
    <x v="1"/>
    <x v="14"/>
    <x v="10"/>
    <x v="4"/>
    <x v="4"/>
  </r>
  <r>
    <x v="621"/>
    <x v="1"/>
    <x v="9"/>
    <x v="0"/>
    <x v="7"/>
    <x v="3"/>
    <x v="65"/>
    <x v="8"/>
    <x v="0"/>
    <x v="0"/>
  </r>
  <r>
    <x v="621"/>
    <x v="2"/>
    <x v="2"/>
    <x v="0"/>
    <x v="2"/>
    <x v="0"/>
    <x v="135"/>
    <x v="2"/>
    <x v="2"/>
    <x v="2"/>
  </r>
  <r>
    <x v="621"/>
    <x v="3"/>
    <x v="22"/>
    <x v="0"/>
    <x v="17"/>
    <x v="1"/>
    <x v="88"/>
    <x v="19"/>
    <x v="3"/>
    <x v="3"/>
  </r>
  <r>
    <x v="622"/>
    <x v="0"/>
    <x v="1"/>
    <x v="0"/>
    <x v="1"/>
    <x v="1"/>
    <x v="31"/>
    <x v="1"/>
    <x v="1"/>
    <x v="1"/>
  </r>
  <r>
    <x v="623"/>
    <x v="0"/>
    <x v="20"/>
    <x v="1"/>
    <x v="11"/>
    <x v="2"/>
    <x v="64"/>
    <x v="15"/>
    <x v="5"/>
    <x v="5"/>
  </r>
  <r>
    <x v="623"/>
    <x v="1"/>
    <x v="3"/>
    <x v="0"/>
    <x v="0"/>
    <x v="1"/>
    <x v="5"/>
    <x v="3"/>
    <x v="0"/>
    <x v="0"/>
  </r>
  <r>
    <x v="623"/>
    <x v="2"/>
    <x v="13"/>
    <x v="0"/>
    <x v="11"/>
    <x v="1"/>
    <x v="36"/>
    <x v="12"/>
    <x v="5"/>
    <x v="5"/>
  </r>
  <r>
    <x v="623"/>
    <x v="3"/>
    <x v="15"/>
    <x v="1"/>
    <x v="11"/>
    <x v="0"/>
    <x v="78"/>
    <x v="12"/>
    <x v="0"/>
    <x v="0"/>
  </r>
  <r>
    <x v="624"/>
    <x v="0"/>
    <x v="7"/>
    <x v="0"/>
    <x v="6"/>
    <x v="1"/>
    <x v="9"/>
    <x v="7"/>
    <x v="0"/>
    <x v="0"/>
  </r>
  <r>
    <x v="624"/>
    <x v="1"/>
    <x v="16"/>
    <x v="1"/>
    <x v="13"/>
    <x v="0"/>
    <x v="108"/>
    <x v="14"/>
    <x v="2"/>
    <x v="2"/>
  </r>
  <r>
    <x v="624"/>
    <x v="2"/>
    <x v="8"/>
    <x v="0"/>
    <x v="0"/>
    <x v="1"/>
    <x v="5"/>
    <x v="3"/>
    <x v="3"/>
    <x v="3"/>
  </r>
  <r>
    <x v="624"/>
    <x v="3"/>
    <x v="19"/>
    <x v="1"/>
    <x v="15"/>
    <x v="3"/>
    <x v="50"/>
    <x v="17"/>
    <x v="5"/>
    <x v="5"/>
  </r>
  <r>
    <x v="625"/>
    <x v="0"/>
    <x v="12"/>
    <x v="0"/>
    <x v="10"/>
    <x v="0"/>
    <x v="103"/>
    <x v="11"/>
    <x v="0"/>
    <x v="0"/>
  </r>
  <r>
    <x v="626"/>
    <x v="0"/>
    <x v="23"/>
    <x v="0"/>
    <x v="7"/>
    <x v="1"/>
    <x v="10"/>
    <x v="20"/>
    <x v="0"/>
    <x v="0"/>
  </r>
  <r>
    <x v="626"/>
    <x v="1"/>
    <x v="11"/>
    <x v="1"/>
    <x v="9"/>
    <x v="0"/>
    <x v="44"/>
    <x v="10"/>
    <x v="4"/>
    <x v="4"/>
  </r>
  <r>
    <x v="626"/>
    <x v="2"/>
    <x v="8"/>
    <x v="0"/>
    <x v="0"/>
    <x v="1"/>
    <x v="5"/>
    <x v="3"/>
    <x v="3"/>
    <x v="3"/>
  </r>
  <r>
    <x v="627"/>
    <x v="0"/>
    <x v="12"/>
    <x v="1"/>
    <x v="10"/>
    <x v="3"/>
    <x v="120"/>
    <x v="11"/>
    <x v="0"/>
    <x v="0"/>
  </r>
  <r>
    <x v="628"/>
    <x v="0"/>
    <x v="23"/>
    <x v="0"/>
    <x v="7"/>
    <x v="2"/>
    <x v="72"/>
    <x v="20"/>
    <x v="0"/>
    <x v="0"/>
  </r>
  <r>
    <x v="628"/>
    <x v="1"/>
    <x v="21"/>
    <x v="1"/>
    <x v="16"/>
    <x v="2"/>
    <x v="131"/>
    <x v="18"/>
    <x v="1"/>
    <x v="1"/>
  </r>
  <r>
    <x v="628"/>
    <x v="2"/>
    <x v="19"/>
    <x v="1"/>
    <x v="15"/>
    <x v="3"/>
    <x v="50"/>
    <x v="17"/>
    <x v="5"/>
    <x v="5"/>
  </r>
  <r>
    <x v="628"/>
    <x v="3"/>
    <x v="15"/>
    <x v="1"/>
    <x v="11"/>
    <x v="2"/>
    <x v="64"/>
    <x v="12"/>
    <x v="0"/>
    <x v="0"/>
  </r>
  <r>
    <x v="628"/>
    <x v="4"/>
    <x v="18"/>
    <x v="1"/>
    <x v="14"/>
    <x v="3"/>
    <x v="110"/>
    <x v="16"/>
    <x v="1"/>
    <x v="1"/>
  </r>
  <r>
    <x v="629"/>
    <x v="0"/>
    <x v="21"/>
    <x v="0"/>
    <x v="16"/>
    <x v="2"/>
    <x v="60"/>
    <x v="18"/>
    <x v="1"/>
    <x v="1"/>
  </r>
  <r>
    <x v="629"/>
    <x v="1"/>
    <x v="22"/>
    <x v="0"/>
    <x v="17"/>
    <x v="3"/>
    <x v="93"/>
    <x v="19"/>
    <x v="3"/>
    <x v="3"/>
  </r>
  <r>
    <x v="629"/>
    <x v="2"/>
    <x v="9"/>
    <x v="1"/>
    <x v="7"/>
    <x v="3"/>
    <x v="106"/>
    <x v="8"/>
    <x v="0"/>
    <x v="0"/>
  </r>
  <r>
    <x v="629"/>
    <x v="3"/>
    <x v="20"/>
    <x v="1"/>
    <x v="11"/>
    <x v="1"/>
    <x v="35"/>
    <x v="15"/>
    <x v="5"/>
    <x v="5"/>
  </r>
  <r>
    <x v="630"/>
    <x v="0"/>
    <x v="24"/>
    <x v="1"/>
    <x v="8"/>
    <x v="1"/>
    <x v="30"/>
    <x v="9"/>
    <x v="3"/>
    <x v="3"/>
  </r>
  <r>
    <x v="630"/>
    <x v="1"/>
    <x v="12"/>
    <x v="1"/>
    <x v="10"/>
    <x v="1"/>
    <x v="109"/>
    <x v="11"/>
    <x v="0"/>
    <x v="0"/>
  </r>
  <r>
    <x v="631"/>
    <x v="0"/>
    <x v="22"/>
    <x v="0"/>
    <x v="17"/>
    <x v="0"/>
    <x v="76"/>
    <x v="19"/>
    <x v="3"/>
    <x v="3"/>
  </r>
  <r>
    <x v="631"/>
    <x v="1"/>
    <x v="16"/>
    <x v="1"/>
    <x v="13"/>
    <x v="3"/>
    <x v="104"/>
    <x v="14"/>
    <x v="2"/>
    <x v="2"/>
  </r>
  <r>
    <x v="631"/>
    <x v="2"/>
    <x v="12"/>
    <x v="0"/>
    <x v="10"/>
    <x v="1"/>
    <x v="15"/>
    <x v="11"/>
    <x v="0"/>
    <x v="0"/>
  </r>
  <r>
    <x v="631"/>
    <x v="3"/>
    <x v="18"/>
    <x v="0"/>
    <x v="14"/>
    <x v="2"/>
    <x v="62"/>
    <x v="16"/>
    <x v="1"/>
    <x v="1"/>
  </r>
  <r>
    <x v="631"/>
    <x v="4"/>
    <x v="13"/>
    <x v="1"/>
    <x v="11"/>
    <x v="3"/>
    <x v="23"/>
    <x v="12"/>
    <x v="5"/>
    <x v="5"/>
  </r>
  <r>
    <x v="632"/>
    <x v="0"/>
    <x v="10"/>
    <x v="1"/>
    <x v="8"/>
    <x v="2"/>
    <x v="11"/>
    <x v="9"/>
    <x v="0"/>
    <x v="0"/>
  </r>
  <r>
    <x v="632"/>
    <x v="1"/>
    <x v="17"/>
    <x v="1"/>
    <x v="11"/>
    <x v="0"/>
    <x v="78"/>
    <x v="15"/>
    <x v="0"/>
    <x v="0"/>
  </r>
  <r>
    <x v="632"/>
    <x v="2"/>
    <x v="21"/>
    <x v="1"/>
    <x v="16"/>
    <x v="0"/>
    <x v="95"/>
    <x v="18"/>
    <x v="1"/>
    <x v="1"/>
  </r>
  <r>
    <x v="632"/>
    <x v="3"/>
    <x v="2"/>
    <x v="1"/>
    <x v="2"/>
    <x v="0"/>
    <x v="54"/>
    <x v="2"/>
    <x v="2"/>
    <x v="2"/>
  </r>
  <r>
    <x v="633"/>
    <x v="0"/>
    <x v="4"/>
    <x v="1"/>
    <x v="3"/>
    <x v="2"/>
    <x v="49"/>
    <x v="4"/>
    <x v="1"/>
    <x v="1"/>
  </r>
  <r>
    <x v="633"/>
    <x v="1"/>
    <x v="10"/>
    <x v="0"/>
    <x v="8"/>
    <x v="3"/>
    <x v="98"/>
    <x v="9"/>
    <x v="0"/>
    <x v="0"/>
  </r>
  <r>
    <x v="634"/>
    <x v="0"/>
    <x v="4"/>
    <x v="0"/>
    <x v="3"/>
    <x v="2"/>
    <x v="143"/>
    <x v="4"/>
    <x v="1"/>
    <x v="1"/>
  </r>
  <r>
    <x v="635"/>
    <x v="0"/>
    <x v="25"/>
    <x v="1"/>
    <x v="18"/>
    <x v="0"/>
    <x v="144"/>
    <x v="21"/>
    <x v="5"/>
    <x v="5"/>
  </r>
  <r>
    <x v="636"/>
    <x v="0"/>
    <x v="11"/>
    <x v="0"/>
    <x v="9"/>
    <x v="3"/>
    <x v="128"/>
    <x v="10"/>
    <x v="4"/>
    <x v="4"/>
  </r>
  <r>
    <x v="636"/>
    <x v="1"/>
    <x v="26"/>
    <x v="1"/>
    <x v="19"/>
    <x v="3"/>
    <x v="145"/>
    <x v="22"/>
    <x v="3"/>
    <x v="3"/>
  </r>
  <r>
    <x v="637"/>
    <x v="0"/>
    <x v="27"/>
    <x v="0"/>
    <x v="20"/>
    <x v="2"/>
    <x v="146"/>
    <x v="23"/>
    <x v="3"/>
    <x v="3"/>
  </r>
  <r>
    <x v="637"/>
    <x v="1"/>
    <x v="28"/>
    <x v="0"/>
    <x v="21"/>
    <x v="0"/>
    <x v="147"/>
    <x v="24"/>
    <x v="6"/>
    <x v="6"/>
  </r>
  <r>
    <x v="637"/>
    <x v="2"/>
    <x v="29"/>
    <x v="1"/>
    <x v="5"/>
    <x v="2"/>
    <x v="125"/>
    <x v="25"/>
    <x v="6"/>
    <x v="6"/>
  </r>
  <r>
    <x v="638"/>
    <x v="0"/>
    <x v="12"/>
    <x v="0"/>
    <x v="10"/>
    <x v="1"/>
    <x v="15"/>
    <x v="11"/>
    <x v="0"/>
    <x v="0"/>
  </r>
  <r>
    <x v="638"/>
    <x v="1"/>
    <x v="30"/>
    <x v="0"/>
    <x v="5"/>
    <x v="2"/>
    <x v="132"/>
    <x v="26"/>
    <x v="0"/>
    <x v="0"/>
  </r>
  <r>
    <x v="638"/>
    <x v="2"/>
    <x v="31"/>
    <x v="0"/>
    <x v="22"/>
    <x v="2"/>
    <x v="148"/>
    <x v="27"/>
    <x v="0"/>
    <x v="0"/>
  </r>
  <r>
    <x v="638"/>
    <x v="3"/>
    <x v="32"/>
    <x v="1"/>
    <x v="23"/>
    <x v="3"/>
    <x v="149"/>
    <x v="28"/>
    <x v="4"/>
    <x v="4"/>
  </r>
  <r>
    <x v="639"/>
    <x v="0"/>
    <x v="26"/>
    <x v="1"/>
    <x v="19"/>
    <x v="2"/>
    <x v="150"/>
    <x v="22"/>
    <x v="3"/>
    <x v="3"/>
  </r>
  <r>
    <x v="639"/>
    <x v="1"/>
    <x v="33"/>
    <x v="0"/>
    <x v="14"/>
    <x v="1"/>
    <x v="29"/>
    <x v="29"/>
    <x v="1"/>
    <x v="1"/>
  </r>
  <r>
    <x v="639"/>
    <x v="2"/>
    <x v="34"/>
    <x v="0"/>
    <x v="4"/>
    <x v="1"/>
    <x v="133"/>
    <x v="30"/>
    <x v="1"/>
    <x v="1"/>
  </r>
  <r>
    <x v="639"/>
    <x v="3"/>
    <x v="35"/>
    <x v="1"/>
    <x v="15"/>
    <x v="1"/>
    <x v="69"/>
    <x v="31"/>
    <x v="0"/>
    <x v="0"/>
  </r>
  <r>
    <x v="639"/>
    <x v="4"/>
    <x v="36"/>
    <x v="1"/>
    <x v="24"/>
    <x v="0"/>
    <x v="151"/>
    <x v="32"/>
    <x v="3"/>
    <x v="3"/>
  </r>
  <r>
    <x v="640"/>
    <x v="0"/>
    <x v="12"/>
    <x v="0"/>
    <x v="10"/>
    <x v="2"/>
    <x v="119"/>
    <x v="11"/>
    <x v="0"/>
    <x v="0"/>
  </r>
  <r>
    <x v="640"/>
    <x v="1"/>
    <x v="37"/>
    <x v="0"/>
    <x v="25"/>
    <x v="0"/>
    <x v="152"/>
    <x v="33"/>
    <x v="2"/>
    <x v="2"/>
  </r>
  <r>
    <x v="640"/>
    <x v="2"/>
    <x v="38"/>
    <x v="0"/>
    <x v="26"/>
    <x v="0"/>
    <x v="153"/>
    <x v="34"/>
    <x v="0"/>
    <x v="0"/>
  </r>
  <r>
    <x v="641"/>
    <x v="0"/>
    <x v="39"/>
    <x v="1"/>
    <x v="19"/>
    <x v="1"/>
    <x v="154"/>
    <x v="22"/>
    <x v="0"/>
    <x v="0"/>
  </r>
  <r>
    <x v="642"/>
    <x v="0"/>
    <x v="29"/>
    <x v="0"/>
    <x v="5"/>
    <x v="2"/>
    <x v="132"/>
    <x v="25"/>
    <x v="6"/>
    <x v="6"/>
  </r>
  <r>
    <x v="643"/>
    <x v="0"/>
    <x v="11"/>
    <x v="0"/>
    <x v="9"/>
    <x v="1"/>
    <x v="45"/>
    <x v="10"/>
    <x v="4"/>
    <x v="4"/>
  </r>
  <r>
    <x v="644"/>
    <x v="0"/>
    <x v="40"/>
    <x v="0"/>
    <x v="15"/>
    <x v="1"/>
    <x v="75"/>
    <x v="35"/>
    <x v="5"/>
    <x v="5"/>
  </r>
  <r>
    <x v="644"/>
    <x v="1"/>
    <x v="41"/>
    <x v="1"/>
    <x v="27"/>
    <x v="2"/>
    <x v="155"/>
    <x v="36"/>
    <x v="1"/>
    <x v="1"/>
  </r>
  <r>
    <x v="644"/>
    <x v="2"/>
    <x v="18"/>
    <x v="0"/>
    <x v="14"/>
    <x v="2"/>
    <x v="62"/>
    <x v="16"/>
    <x v="1"/>
    <x v="1"/>
  </r>
  <r>
    <x v="644"/>
    <x v="3"/>
    <x v="42"/>
    <x v="1"/>
    <x v="28"/>
    <x v="1"/>
    <x v="156"/>
    <x v="37"/>
    <x v="1"/>
    <x v="1"/>
  </r>
  <r>
    <x v="644"/>
    <x v="4"/>
    <x v="20"/>
    <x v="1"/>
    <x v="11"/>
    <x v="1"/>
    <x v="35"/>
    <x v="15"/>
    <x v="5"/>
    <x v="5"/>
  </r>
  <r>
    <x v="645"/>
    <x v="0"/>
    <x v="12"/>
    <x v="1"/>
    <x v="10"/>
    <x v="0"/>
    <x v="48"/>
    <x v="11"/>
    <x v="0"/>
    <x v="0"/>
  </r>
  <r>
    <x v="645"/>
    <x v="1"/>
    <x v="4"/>
    <x v="0"/>
    <x v="3"/>
    <x v="1"/>
    <x v="123"/>
    <x v="4"/>
    <x v="1"/>
    <x v="1"/>
  </r>
  <r>
    <x v="645"/>
    <x v="2"/>
    <x v="43"/>
    <x v="0"/>
    <x v="15"/>
    <x v="2"/>
    <x v="115"/>
    <x v="31"/>
    <x v="5"/>
    <x v="5"/>
  </r>
  <r>
    <x v="645"/>
    <x v="3"/>
    <x v="10"/>
    <x v="0"/>
    <x v="8"/>
    <x v="0"/>
    <x v="57"/>
    <x v="9"/>
    <x v="0"/>
    <x v="0"/>
  </r>
  <r>
    <x v="646"/>
    <x v="0"/>
    <x v="22"/>
    <x v="1"/>
    <x v="17"/>
    <x v="1"/>
    <x v="85"/>
    <x v="19"/>
    <x v="3"/>
    <x v="3"/>
  </r>
  <r>
    <x v="646"/>
    <x v="1"/>
    <x v="17"/>
    <x v="0"/>
    <x v="11"/>
    <x v="3"/>
    <x v="21"/>
    <x v="15"/>
    <x v="0"/>
    <x v="0"/>
  </r>
  <r>
    <x v="647"/>
    <x v="0"/>
    <x v="24"/>
    <x v="0"/>
    <x v="8"/>
    <x v="1"/>
    <x v="77"/>
    <x v="9"/>
    <x v="3"/>
    <x v="3"/>
  </r>
  <r>
    <x v="648"/>
    <x v="0"/>
    <x v="44"/>
    <x v="1"/>
    <x v="29"/>
    <x v="3"/>
    <x v="157"/>
    <x v="38"/>
    <x v="5"/>
    <x v="5"/>
  </r>
  <r>
    <x v="648"/>
    <x v="1"/>
    <x v="45"/>
    <x v="0"/>
    <x v="30"/>
    <x v="1"/>
    <x v="158"/>
    <x v="39"/>
    <x v="5"/>
    <x v="5"/>
  </r>
  <r>
    <x v="648"/>
    <x v="2"/>
    <x v="16"/>
    <x v="1"/>
    <x v="13"/>
    <x v="3"/>
    <x v="104"/>
    <x v="14"/>
    <x v="2"/>
    <x v="2"/>
  </r>
  <r>
    <x v="648"/>
    <x v="3"/>
    <x v="46"/>
    <x v="0"/>
    <x v="31"/>
    <x v="2"/>
    <x v="159"/>
    <x v="40"/>
    <x v="0"/>
    <x v="0"/>
  </r>
  <r>
    <x v="649"/>
    <x v="0"/>
    <x v="5"/>
    <x v="0"/>
    <x v="4"/>
    <x v="0"/>
    <x v="90"/>
    <x v="5"/>
    <x v="1"/>
    <x v="1"/>
  </r>
  <r>
    <x v="650"/>
    <x v="0"/>
    <x v="47"/>
    <x v="0"/>
    <x v="32"/>
    <x v="3"/>
    <x v="160"/>
    <x v="41"/>
    <x v="0"/>
    <x v="0"/>
  </r>
  <r>
    <x v="650"/>
    <x v="1"/>
    <x v="25"/>
    <x v="0"/>
    <x v="18"/>
    <x v="2"/>
    <x v="161"/>
    <x v="21"/>
    <x v="5"/>
    <x v="5"/>
  </r>
  <r>
    <x v="650"/>
    <x v="2"/>
    <x v="48"/>
    <x v="1"/>
    <x v="26"/>
    <x v="2"/>
    <x v="162"/>
    <x v="34"/>
    <x v="3"/>
    <x v="3"/>
  </r>
  <r>
    <x v="650"/>
    <x v="3"/>
    <x v="49"/>
    <x v="1"/>
    <x v="33"/>
    <x v="2"/>
    <x v="163"/>
    <x v="42"/>
    <x v="5"/>
    <x v="5"/>
  </r>
  <r>
    <x v="651"/>
    <x v="0"/>
    <x v="48"/>
    <x v="0"/>
    <x v="26"/>
    <x v="3"/>
    <x v="164"/>
    <x v="34"/>
    <x v="3"/>
    <x v="3"/>
  </r>
  <r>
    <x v="651"/>
    <x v="1"/>
    <x v="37"/>
    <x v="1"/>
    <x v="25"/>
    <x v="0"/>
    <x v="165"/>
    <x v="33"/>
    <x v="2"/>
    <x v="2"/>
  </r>
  <r>
    <x v="651"/>
    <x v="2"/>
    <x v="50"/>
    <x v="1"/>
    <x v="34"/>
    <x v="0"/>
    <x v="166"/>
    <x v="43"/>
    <x v="0"/>
    <x v="0"/>
  </r>
  <r>
    <x v="651"/>
    <x v="3"/>
    <x v="19"/>
    <x v="0"/>
    <x v="15"/>
    <x v="3"/>
    <x v="37"/>
    <x v="17"/>
    <x v="5"/>
    <x v="5"/>
  </r>
  <r>
    <x v="651"/>
    <x v="4"/>
    <x v="51"/>
    <x v="0"/>
    <x v="35"/>
    <x v="2"/>
    <x v="167"/>
    <x v="44"/>
    <x v="0"/>
    <x v="0"/>
  </r>
  <r>
    <x v="652"/>
    <x v="0"/>
    <x v="18"/>
    <x v="0"/>
    <x v="14"/>
    <x v="1"/>
    <x v="29"/>
    <x v="16"/>
    <x v="1"/>
    <x v="1"/>
  </r>
  <r>
    <x v="652"/>
    <x v="1"/>
    <x v="52"/>
    <x v="0"/>
    <x v="28"/>
    <x v="3"/>
    <x v="168"/>
    <x v="45"/>
    <x v="1"/>
    <x v="1"/>
  </r>
  <r>
    <x v="652"/>
    <x v="2"/>
    <x v="6"/>
    <x v="1"/>
    <x v="5"/>
    <x v="3"/>
    <x v="8"/>
    <x v="6"/>
    <x v="1"/>
    <x v="1"/>
  </r>
  <r>
    <x v="652"/>
    <x v="3"/>
    <x v="53"/>
    <x v="0"/>
    <x v="36"/>
    <x v="0"/>
    <x v="169"/>
    <x v="46"/>
    <x v="0"/>
    <x v="0"/>
  </r>
  <r>
    <x v="652"/>
    <x v="4"/>
    <x v="54"/>
    <x v="1"/>
    <x v="37"/>
    <x v="1"/>
    <x v="170"/>
    <x v="47"/>
    <x v="5"/>
    <x v="5"/>
  </r>
  <r>
    <x v="653"/>
    <x v="0"/>
    <x v="11"/>
    <x v="0"/>
    <x v="9"/>
    <x v="3"/>
    <x v="128"/>
    <x v="10"/>
    <x v="4"/>
    <x v="4"/>
  </r>
  <r>
    <x v="653"/>
    <x v="1"/>
    <x v="43"/>
    <x v="0"/>
    <x v="15"/>
    <x v="3"/>
    <x v="37"/>
    <x v="31"/>
    <x v="5"/>
    <x v="5"/>
  </r>
  <r>
    <x v="653"/>
    <x v="2"/>
    <x v="55"/>
    <x v="1"/>
    <x v="38"/>
    <x v="1"/>
    <x v="171"/>
    <x v="48"/>
    <x v="3"/>
    <x v="3"/>
  </r>
  <r>
    <x v="653"/>
    <x v="3"/>
    <x v="44"/>
    <x v="1"/>
    <x v="29"/>
    <x v="1"/>
    <x v="172"/>
    <x v="38"/>
    <x v="5"/>
    <x v="5"/>
  </r>
  <r>
    <x v="654"/>
    <x v="0"/>
    <x v="50"/>
    <x v="0"/>
    <x v="34"/>
    <x v="3"/>
    <x v="173"/>
    <x v="43"/>
    <x v="0"/>
    <x v="0"/>
  </r>
  <r>
    <x v="655"/>
    <x v="0"/>
    <x v="56"/>
    <x v="0"/>
    <x v="39"/>
    <x v="3"/>
    <x v="174"/>
    <x v="49"/>
    <x v="5"/>
    <x v="5"/>
  </r>
  <r>
    <x v="655"/>
    <x v="1"/>
    <x v="13"/>
    <x v="0"/>
    <x v="11"/>
    <x v="1"/>
    <x v="36"/>
    <x v="12"/>
    <x v="5"/>
    <x v="5"/>
  </r>
  <r>
    <x v="655"/>
    <x v="2"/>
    <x v="57"/>
    <x v="1"/>
    <x v="14"/>
    <x v="2"/>
    <x v="124"/>
    <x v="50"/>
    <x v="1"/>
    <x v="1"/>
  </r>
  <r>
    <x v="656"/>
    <x v="0"/>
    <x v="58"/>
    <x v="0"/>
    <x v="40"/>
    <x v="2"/>
    <x v="175"/>
    <x v="51"/>
    <x v="6"/>
    <x v="6"/>
  </r>
  <r>
    <x v="656"/>
    <x v="1"/>
    <x v="59"/>
    <x v="1"/>
    <x v="41"/>
    <x v="2"/>
    <x v="176"/>
    <x v="52"/>
    <x v="6"/>
    <x v="6"/>
  </r>
  <r>
    <x v="657"/>
    <x v="0"/>
    <x v="60"/>
    <x v="1"/>
    <x v="25"/>
    <x v="0"/>
    <x v="165"/>
    <x v="53"/>
    <x v="6"/>
    <x v="6"/>
  </r>
  <r>
    <x v="657"/>
    <x v="1"/>
    <x v="61"/>
    <x v="0"/>
    <x v="4"/>
    <x v="2"/>
    <x v="6"/>
    <x v="54"/>
    <x v="1"/>
    <x v="1"/>
  </r>
  <r>
    <x v="657"/>
    <x v="2"/>
    <x v="11"/>
    <x v="0"/>
    <x v="9"/>
    <x v="2"/>
    <x v="121"/>
    <x v="10"/>
    <x v="4"/>
    <x v="4"/>
  </r>
  <r>
    <x v="658"/>
    <x v="0"/>
    <x v="41"/>
    <x v="1"/>
    <x v="27"/>
    <x v="2"/>
    <x v="155"/>
    <x v="36"/>
    <x v="1"/>
    <x v="1"/>
  </r>
  <r>
    <x v="658"/>
    <x v="1"/>
    <x v="62"/>
    <x v="1"/>
    <x v="42"/>
    <x v="1"/>
    <x v="177"/>
    <x v="55"/>
    <x v="1"/>
    <x v="1"/>
  </r>
  <r>
    <x v="658"/>
    <x v="2"/>
    <x v="63"/>
    <x v="0"/>
    <x v="43"/>
    <x v="2"/>
    <x v="178"/>
    <x v="56"/>
    <x v="0"/>
    <x v="0"/>
  </r>
  <r>
    <x v="658"/>
    <x v="3"/>
    <x v="32"/>
    <x v="1"/>
    <x v="23"/>
    <x v="1"/>
    <x v="179"/>
    <x v="28"/>
    <x v="4"/>
    <x v="4"/>
  </r>
  <r>
    <x v="659"/>
    <x v="0"/>
    <x v="34"/>
    <x v="0"/>
    <x v="4"/>
    <x v="0"/>
    <x v="90"/>
    <x v="30"/>
    <x v="1"/>
    <x v="1"/>
  </r>
  <r>
    <x v="659"/>
    <x v="1"/>
    <x v="64"/>
    <x v="1"/>
    <x v="44"/>
    <x v="1"/>
    <x v="180"/>
    <x v="57"/>
    <x v="6"/>
    <x v="6"/>
  </r>
  <r>
    <x v="659"/>
    <x v="2"/>
    <x v="42"/>
    <x v="1"/>
    <x v="28"/>
    <x v="2"/>
    <x v="181"/>
    <x v="37"/>
    <x v="1"/>
    <x v="1"/>
  </r>
  <r>
    <x v="659"/>
    <x v="3"/>
    <x v="61"/>
    <x v="1"/>
    <x v="4"/>
    <x v="0"/>
    <x v="73"/>
    <x v="54"/>
    <x v="1"/>
    <x v="1"/>
  </r>
  <r>
    <x v="660"/>
    <x v="0"/>
    <x v="65"/>
    <x v="1"/>
    <x v="25"/>
    <x v="1"/>
    <x v="182"/>
    <x v="58"/>
    <x v="2"/>
    <x v="2"/>
  </r>
  <r>
    <x v="660"/>
    <x v="1"/>
    <x v="13"/>
    <x v="1"/>
    <x v="11"/>
    <x v="2"/>
    <x v="64"/>
    <x v="12"/>
    <x v="5"/>
    <x v="5"/>
  </r>
  <r>
    <x v="661"/>
    <x v="0"/>
    <x v="66"/>
    <x v="1"/>
    <x v="45"/>
    <x v="3"/>
    <x v="183"/>
    <x v="59"/>
    <x v="6"/>
    <x v="6"/>
  </r>
  <r>
    <x v="661"/>
    <x v="1"/>
    <x v="43"/>
    <x v="1"/>
    <x v="15"/>
    <x v="0"/>
    <x v="33"/>
    <x v="31"/>
    <x v="5"/>
    <x v="5"/>
  </r>
  <r>
    <x v="661"/>
    <x v="2"/>
    <x v="48"/>
    <x v="1"/>
    <x v="26"/>
    <x v="1"/>
    <x v="184"/>
    <x v="34"/>
    <x v="3"/>
    <x v="3"/>
  </r>
  <r>
    <x v="661"/>
    <x v="3"/>
    <x v="13"/>
    <x v="0"/>
    <x v="11"/>
    <x v="1"/>
    <x v="36"/>
    <x v="12"/>
    <x v="5"/>
    <x v="5"/>
  </r>
  <r>
    <x v="661"/>
    <x v="4"/>
    <x v="26"/>
    <x v="1"/>
    <x v="19"/>
    <x v="1"/>
    <x v="154"/>
    <x v="22"/>
    <x v="3"/>
    <x v="3"/>
  </r>
  <r>
    <x v="662"/>
    <x v="0"/>
    <x v="67"/>
    <x v="1"/>
    <x v="46"/>
    <x v="2"/>
    <x v="185"/>
    <x v="60"/>
    <x v="1"/>
    <x v="1"/>
  </r>
  <r>
    <x v="662"/>
    <x v="1"/>
    <x v="7"/>
    <x v="1"/>
    <x v="6"/>
    <x v="0"/>
    <x v="71"/>
    <x v="7"/>
    <x v="0"/>
    <x v="0"/>
  </r>
  <r>
    <x v="662"/>
    <x v="2"/>
    <x v="49"/>
    <x v="0"/>
    <x v="33"/>
    <x v="2"/>
    <x v="186"/>
    <x v="42"/>
    <x v="5"/>
    <x v="5"/>
  </r>
  <r>
    <x v="662"/>
    <x v="3"/>
    <x v="68"/>
    <x v="0"/>
    <x v="24"/>
    <x v="1"/>
    <x v="187"/>
    <x v="61"/>
    <x v="0"/>
    <x v="0"/>
  </r>
  <r>
    <x v="662"/>
    <x v="4"/>
    <x v="26"/>
    <x v="0"/>
    <x v="19"/>
    <x v="0"/>
    <x v="188"/>
    <x v="22"/>
    <x v="3"/>
    <x v="3"/>
  </r>
  <r>
    <x v="663"/>
    <x v="0"/>
    <x v="58"/>
    <x v="1"/>
    <x v="40"/>
    <x v="1"/>
    <x v="189"/>
    <x v="51"/>
    <x v="6"/>
    <x v="6"/>
  </r>
  <r>
    <x v="663"/>
    <x v="1"/>
    <x v="21"/>
    <x v="0"/>
    <x v="16"/>
    <x v="1"/>
    <x v="105"/>
    <x v="18"/>
    <x v="1"/>
    <x v="1"/>
  </r>
  <r>
    <x v="663"/>
    <x v="2"/>
    <x v="69"/>
    <x v="0"/>
    <x v="47"/>
    <x v="0"/>
    <x v="190"/>
    <x v="62"/>
    <x v="6"/>
    <x v="6"/>
  </r>
  <r>
    <x v="663"/>
    <x v="3"/>
    <x v="70"/>
    <x v="1"/>
    <x v="48"/>
    <x v="0"/>
    <x v="191"/>
    <x v="63"/>
    <x v="5"/>
    <x v="5"/>
  </r>
  <r>
    <x v="663"/>
    <x v="4"/>
    <x v="42"/>
    <x v="0"/>
    <x v="28"/>
    <x v="1"/>
    <x v="192"/>
    <x v="37"/>
    <x v="1"/>
    <x v="1"/>
  </r>
  <r>
    <x v="664"/>
    <x v="0"/>
    <x v="71"/>
    <x v="0"/>
    <x v="23"/>
    <x v="1"/>
    <x v="193"/>
    <x v="64"/>
    <x v="6"/>
    <x v="6"/>
  </r>
  <r>
    <x v="664"/>
    <x v="1"/>
    <x v="41"/>
    <x v="1"/>
    <x v="27"/>
    <x v="0"/>
    <x v="194"/>
    <x v="36"/>
    <x v="1"/>
    <x v="1"/>
  </r>
  <r>
    <x v="664"/>
    <x v="2"/>
    <x v="22"/>
    <x v="1"/>
    <x v="17"/>
    <x v="2"/>
    <x v="41"/>
    <x v="19"/>
    <x v="3"/>
    <x v="3"/>
  </r>
  <r>
    <x v="665"/>
    <x v="0"/>
    <x v="72"/>
    <x v="1"/>
    <x v="26"/>
    <x v="0"/>
    <x v="195"/>
    <x v="65"/>
    <x v="5"/>
    <x v="5"/>
  </r>
  <r>
    <x v="665"/>
    <x v="1"/>
    <x v="62"/>
    <x v="0"/>
    <x v="42"/>
    <x v="2"/>
    <x v="196"/>
    <x v="55"/>
    <x v="1"/>
    <x v="1"/>
  </r>
  <r>
    <x v="666"/>
    <x v="0"/>
    <x v="47"/>
    <x v="0"/>
    <x v="32"/>
    <x v="0"/>
    <x v="197"/>
    <x v="41"/>
    <x v="0"/>
    <x v="0"/>
  </r>
  <r>
    <x v="666"/>
    <x v="1"/>
    <x v="73"/>
    <x v="0"/>
    <x v="49"/>
    <x v="3"/>
    <x v="198"/>
    <x v="66"/>
    <x v="5"/>
    <x v="5"/>
  </r>
  <r>
    <x v="666"/>
    <x v="2"/>
    <x v="5"/>
    <x v="0"/>
    <x v="4"/>
    <x v="0"/>
    <x v="90"/>
    <x v="5"/>
    <x v="1"/>
    <x v="1"/>
  </r>
  <r>
    <x v="666"/>
    <x v="3"/>
    <x v="40"/>
    <x v="0"/>
    <x v="15"/>
    <x v="3"/>
    <x v="37"/>
    <x v="35"/>
    <x v="5"/>
    <x v="5"/>
  </r>
  <r>
    <x v="666"/>
    <x v="4"/>
    <x v="25"/>
    <x v="0"/>
    <x v="18"/>
    <x v="2"/>
    <x v="161"/>
    <x v="21"/>
    <x v="5"/>
    <x v="5"/>
  </r>
  <r>
    <x v="667"/>
    <x v="0"/>
    <x v="74"/>
    <x v="1"/>
    <x v="42"/>
    <x v="2"/>
    <x v="199"/>
    <x v="67"/>
    <x v="6"/>
    <x v="6"/>
  </r>
  <r>
    <x v="667"/>
    <x v="1"/>
    <x v="23"/>
    <x v="1"/>
    <x v="7"/>
    <x v="3"/>
    <x v="106"/>
    <x v="20"/>
    <x v="0"/>
    <x v="0"/>
  </r>
  <r>
    <x v="668"/>
    <x v="0"/>
    <x v="3"/>
    <x v="1"/>
    <x v="0"/>
    <x v="1"/>
    <x v="19"/>
    <x v="3"/>
    <x v="0"/>
    <x v="0"/>
  </r>
  <r>
    <x v="668"/>
    <x v="1"/>
    <x v="31"/>
    <x v="0"/>
    <x v="22"/>
    <x v="1"/>
    <x v="200"/>
    <x v="27"/>
    <x v="0"/>
    <x v="0"/>
  </r>
  <r>
    <x v="669"/>
    <x v="0"/>
    <x v="75"/>
    <x v="0"/>
    <x v="19"/>
    <x v="3"/>
    <x v="201"/>
    <x v="68"/>
    <x v="3"/>
    <x v="3"/>
  </r>
  <r>
    <x v="669"/>
    <x v="1"/>
    <x v="76"/>
    <x v="0"/>
    <x v="50"/>
    <x v="1"/>
    <x v="202"/>
    <x v="69"/>
    <x v="1"/>
    <x v="1"/>
  </r>
  <r>
    <x v="669"/>
    <x v="2"/>
    <x v="77"/>
    <x v="1"/>
    <x v="51"/>
    <x v="0"/>
    <x v="203"/>
    <x v="70"/>
    <x v="3"/>
    <x v="3"/>
  </r>
  <r>
    <x v="669"/>
    <x v="3"/>
    <x v="78"/>
    <x v="1"/>
    <x v="52"/>
    <x v="2"/>
    <x v="204"/>
    <x v="71"/>
    <x v="1"/>
    <x v="1"/>
  </r>
  <r>
    <x v="670"/>
    <x v="0"/>
    <x v="34"/>
    <x v="0"/>
    <x v="4"/>
    <x v="2"/>
    <x v="6"/>
    <x v="30"/>
    <x v="1"/>
    <x v="1"/>
  </r>
  <r>
    <x v="670"/>
    <x v="1"/>
    <x v="79"/>
    <x v="0"/>
    <x v="24"/>
    <x v="2"/>
    <x v="205"/>
    <x v="72"/>
    <x v="0"/>
    <x v="0"/>
  </r>
  <r>
    <x v="670"/>
    <x v="2"/>
    <x v="66"/>
    <x v="0"/>
    <x v="45"/>
    <x v="0"/>
    <x v="206"/>
    <x v="59"/>
    <x v="6"/>
    <x v="6"/>
  </r>
  <r>
    <x v="670"/>
    <x v="3"/>
    <x v="4"/>
    <x v="0"/>
    <x v="3"/>
    <x v="1"/>
    <x v="123"/>
    <x v="4"/>
    <x v="1"/>
    <x v="1"/>
  </r>
  <r>
    <x v="670"/>
    <x v="4"/>
    <x v="36"/>
    <x v="1"/>
    <x v="24"/>
    <x v="1"/>
    <x v="207"/>
    <x v="32"/>
    <x v="3"/>
    <x v="3"/>
  </r>
  <r>
    <x v="671"/>
    <x v="0"/>
    <x v="80"/>
    <x v="1"/>
    <x v="53"/>
    <x v="1"/>
    <x v="208"/>
    <x v="73"/>
    <x v="6"/>
    <x v="6"/>
  </r>
  <r>
    <x v="671"/>
    <x v="1"/>
    <x v="81"/>
    <x v="1"/>
    <x v="29"/>
    <x v="0"/>
    <x v="209"/>
    <x v="74"/>
    <x v="5"/>
    <x v="5"/>
  </r>
  <r>
    <x v="671"/>
    <x v="2"/>
    <x v="74"/>
    <x v="1"/>
    <x v="42"/>
    <x v="1"/>
    <x v="177"/>
    <x v="67"/>
    <x v="6"/>
    <x v="6"/>
  </r>
  <r>
    <x v="672"/>
    <x v="0"/>
    <x v="82"/>
    <x v="0"/>
    <x v="34"/>
    <x v="0"/>
    <x v="210"/>
    <x v="75"/>
    <x v="0"/>
    <x v="0"/>
  </r>
  <r>
    <x v="672"/>
    <x v="1"/>
    <x v="83"/>
    <x v="0"/>
    <x v="8"/>
    <x v="0"/>
    <x v="57"/>
    <x v="76"/>
    <x v="1"/>
    <x v="1"/>
  </r>
  <r>
    <x v="672"/>
    <x v="2"/>
    <x v="21"/>
    <x v="0"/>
    <x v="16"/>
    <x v="1"/>
    <x v="105"/>
    <x v="18"/>
    <x v="1"/>
    <x v="1"/>
  </r>
  <r>
    <x v="672"/>
    <x v="3"/>
    <x v="17"/>
    <x v="0"/>
    <x v="11"/>
    <x v="3"/>
    <x v="21"/>
    <x v="15"/>
    <x v="0"/>
    <x v="0"/>
  </r>
  <r>
    <x v="673"/>
    <x v="0"/>
    <x v="8"/>
    <x v="1"/>
    <x v="0"/>
    <x v="0"/>
    <x v="24"/>
    <x v="3"/>
    <x v="3"/>
    <x v="3"/>
  </r>
  <r>
    <x v="674"/>
    <x v="0"/>
    <x v="7"/>
    <x v="0"/>
    <x v="6"/>
    <x v="2"/>
    <x v="113"/>
    <x v="7"/>
    <x v="0"/>
    <x v="0"/>
  </r>
  <r>
    <x v="674"/>
    <x v="1"/>
    <x v="84"/>
    <x v="1"/>
    <x v="30"/>
    <x v="2"/>
    <x v="211"/>
    <x v="77"/>
    <x v="5"/>
    <x v="5"/>
  </r>
  <r>
    <x v="674"/>
    <x v="2"/>
    <x v="23"/>
    <x v="0"/>
    <x v="7"/>
    <x v="1"/>
    <x v="10"/>
    <x v="20"/>
    <x v="0"/>
    <x v="0"/>
  </r>
  <r>
    <x v="674"/>
    <x v="3"/>
    <x v="33"/>
    <x v="0"/>
    <x v="14"/>
    <x v="0"/>
    <x v="63"/>
    <x v="29"/>
    <x v="1"/>
    <x v="1"/>
  </r>
  <r>
    <x v="675"/>
    <x v="0"/>
    <x v="63"/>
    <x v="0"/>
    <x v="43"/>
    <x v="0"/>
    <x v="212"/>
    <x v="56"/>
    <x v="0"/>
    <x v="0"/>
  </r>
  <r>
    <x v="675"/>
    <x v="1"/>
    <x v="77"/>
    <x v="1"/>
    <x v="51"/>
    <x v="1"/>
    <x v="213"/>
    <x v="70"/>
    <x v="3"/>
    <x v="3"/>
  </r>
  <r>
    <x v="675"/>
    <x v="2"/>
    <x v="24"/>
    <x v="0"/>
    <x v="8"/>
    <x v="3"/>
    <x v="98"/>
    <x v="9"/>
    <x v="3"/>
    <x v="3"/>
  </r>
  <r>
    <x v="675"/>
    <x v="3"/>
    <x v="61"/>
    <x v="0"/>
    <x v="4"/>
    <x v="0"/>
    <x v="90"/>
    <x v="54"/>
    <x v="1"/>
    <x v="1"/>
  </r>
  <r>
    <x v="676"/>
    <x v="0"/>
    <x v="85"/>
    <x v="0"/>
    <x v="0"/>
    <x v="1"/>
    <x v="5"/>
    <x v="78"/>
    <x v="0"/>
    <x v="0"/>
  </r>
  <r>
    <x v="676"/>
    <x v="1"/>
    <x v="14"/>
    <x v="1"/>
    <x v="12"/>
    <x v="1"/>
    <x v="102"/>
    <x v="13"/>
    <x v="1"/>
    <x v="1"/>
  </r>
  <r>
    <x v="676"/>
    <x v="2"/>
    <x v="86"/>
    <x v="1"/>
    <x v="54"/>
    <x v="1"/>
    <x v="214"/>
    <x v="79"/>
    <x v="3"/>
    <x v="3"/>
  </r>
  <r>
    <x v="676"/>
    <x v="3"/>
    <x v="87"/>
    <x v="1"/>
    <x v="29"/>
    <x v="2"/>
    <x v="215"/>
    <x v="80"/>
    <x v="5"/>
    <x v="5"/>
  </r>
  <r>
    <x v="676"/>
    <x v="4"/>
    <x v="59"/>
    <x v="1"/>
    <x v="41"/>
    <x v="3"/>
    <x v="216"/>
    <x v="52"/>
    <x v="6"/>
    <x v="6"/>
  </r>
  <r>
    <x v="677"/>
    <x v="0"/>
    <x v="58"/>
    <x v="1"/>
    <x v="40"/>
    <x v="2"/>
    <x v="217"/>
    <x v="51"/>
    <x v="6"/>
    <x v="6"/>
  </r>
  <r>
    <x v="677"/>
    <x v="1"/>
    <x v="88"/>
    <x v="1"/>
    <x v="55"/>
    <x v="1"/>
    <x v="218"/>
    <x v="81"/>
    <x v="1"/>
    <x v="1"/>
  </r>
  <r>
    <x v="678"/>
    <x v="0"/>
    <x v="12"/>
    <x v="1"/>
    <x v="10"/>
    <x v="0"/>
    <x v="48"/>
    <x v="11"/>
    <x v="0"/>
    <x v="0"/>
  </r>
  <r>
    <x v="678"/>
    <x v="1"/>
    <x v="56"/>
    <x v="1"/>
    <x v="39"/>
    <x v="2"/>
    <x v="219"/>
    <x v="49"/>
    <x v="5"/>
    <x v="5"/>
  </r>
  <r>
    <x v="679"/>
    <x v="0"/>
    <x v="89"/>
    <x v="1"/>
    <x v="56"/>
    <x v="2"/>
    <x v="220"/>
    <x v="82"/>
    <x v="0"/>
    <x v="0"/>
  </r>
  <r>
    <x v="679"/>
    <x v="1"/>
    <x v="14"/>
    <x v="0"/>
    <x v="12"/>
    <x v="0"/>
    <x v="137"/>
    <x v="13"/>
    <x v="1"/>
    <x v="1"/>
  </r>
  <r>
    <x v="679"/>
    <x v="2"/>
    <x v="69"/>
    <x v="0"/>
    <x v="47"/>
    <x v="1"/>
    <x v="221"/>
    <x v="62"/>
    <x v="6"/>
    <x v="6"/>
  </r>
  <r>
    <x v="680"/>
    <x v="0"/>
    <x v="90"/>
    <x v="0"/>
    <x v="43"/>
    <x v="2"/>
    <x v="178"/>
    <x v="83"/>
    <x v="0"/>
    <x v="0"/>
  </r>
  <r>
    <x v="680"/>
    <x v="1"/>
    <x v="65"/>
    <x v="0"/>
    <x v="25"/>
    <x v="1"/>
    <x v="222"/>
    <x v="58"/>
    <x v="2"/>
    <x v="2"/>
  </r>
  <r>
    <x v="680"/>
    <x v="2"/>
    <x v="32"/>
    <x v="0"/>
    <x v="23"/>
    <x v="0"/>
    <x v="223"/>
    <x v="28"/>
    <x v="4"/>
    <x v="4"/>
  </r>
  <r>
    <x v="680"/>
    <x v="3"/>
    <x v="18"/>
    <x v="1"/>
    <x v="14"/>
    <x v="2"/>
    <x v="124"/>
    <x v="16"/>
    <x v="1"/>
    <x v="1"/>
  </r>
  <r>
    <x v="680"/>
    <x v="4"/>
    <x v="34"/>
    <x v="0"/>
    <x v="4"/>
    <x v="1"/>
    <x v="133"/>
    <x v="30"/>
    <x v="1"/>
    <x v="1"/>
  </r>
  <r>
    <x v="681"/>
    <x v="0"/>
    <x v="62"/>
    <x v="0"/>
    <x v="42"/>
    <x v="0"/>
    <x v="224"/>
    <x v="55"/>
    <x v="1"/>
    <x v="1"/>
  </r>
  <r>
    <x v="681"/>
    <x v="1"/>
    <x v="91"/>
    <x v="1"/>
    <x v="57"/>
    <x v="0"/>
    <x v="225"/>
    <x v="84"/>
    <x v="4"/>
    <x v="4"/>
  </r>
  <r>
    <x v="681"/>
    <x v="2"/>
    <x v="40"/>
    <x v="0"/>
    <x v="15"/>
    <x v="0"/>
    <x v="122"/>
    <x v="35"/>
    <x v="5"/>
    <x v="5"/>
  </r>
  <r>
    <x v="682"/>
    <x v="0"/>
    <x v="6"/>
    <x v="1"/>
    <x v="5"/>
    <x v="3"/>
    <x v="8"/>
    <x v="6"/>
    <x v="1"/>
    <x v="1"/>
  </r>
  <r>
    <x v="683"/>
    <x v="0"/>
    <x v="28"/>
    <x v="0"/>
    <x v="21"/>
    <x v="1"/>
    <x v="226"/>
    <x v="24"/>
    <x v="6"/>
    <x v="6"/>
  </r>
  <r>
    <x v="683"/>
    <x v="1"/>
    <x v="57"/>
    <x v="0"/>
    <x v="14"/>
    <x v="3"/>
    <x v="107"/>
    <x v="50"/>
    <x v="1"/>
    <x v="1"/>
  </r>
  <r>
    <x v="684"/>
    <x v="0"/>
    <x v="64"/>
    <x v="0"/>
    <x v="44"/>
    <x v="2"/>
    <x v="227"/>
    <x v="57"/>
    <x v="6"/>
    <x v="6"/>
  </r>
  <r>
    <x v="684"/>
    <x v="1"/>
    <x v="74"/>
    <x v="1"/>
    <x v="42"/>
    <x v="2"/>
    <x v="199"/>
    <x v="67"/>
    <x v="6"/>
    <x v="6"/>
  </r>
  <r>
    <x v="684"/>
    <x v="2"/>
    <x v="92"/>
    <x v="0"/>
    <x v="24"/>
    <x v="2"/>
    <x v="205"/>
    <x v="72"/>
    <x v="3"/>
    <x v="3"/>
  </r>
  <r>
    <x v="684"/>
    <x v="3"/>
    <x v="72"/>
    <x v="1"/>
    <x v="26"/>
    <x v="0"/>
    <x v="195"/>
    <x v="65"/>
    <x v="5"/>
    <x v="5"/>
  </r>
  <r>
    <x v="684"/>
    <x v="4"/>
    <x v="28"/>
    <x v="1"/>
    <x v="21"/>
    <x v="2"/>
    <x v="228"/>
    <x v="24"/>
    <x v="6"/>
    <x v="6"/>
  </r>
  <r>
    <x v="685"/>
    <x v="0"/>
    <x v="3"/>
    <x v="0"/>
    <x v="0"/>
    <x v="0"/>
    <x v="0"/>
    <x v="3"/>
    <x v="0"/>
    <x v="0"/>
  </r>
  <r>
    <x v="685"/>
    <x v="1"/>
    <x v="34"/>
    <x v="0"/>
    <x v="4"/>
    <x v="3"/>
    <x v="16"/>
    <x v="30"/>
    <x v="1"/>
    <x v="1"/>
  </r>
  <r>
    <x v="685"/>
    <x v="2"/>
    <x v="54"/>
    <x v="1"/>
    <x v="37"/>
    <x v="0"/>
    <x v="229"/>
    <x v="47"/>
    <x v="5"/>
    <x v="5"/>
  </r>
  <r>
    <x v="685"/>
    <x v="3"/>
    <x v="23"/>
    <x v="1"/>
    <x v="7"/>
    <x v="0"/>
    <x v="83"/>
    <x v="20"/>
    <x v="0"/>
    <x v="0"/>
  </r>
  <r>
    <x v="685"/>
    <x v="4"/>
    <x v="77"/>
    <x v="0"/>
    <x v="51"/>
    <x v="0"/>
    <x v="230"/>
    <x v="70"/>
    <x v="3"/>
    <x v="3"/>
  </r>
  <r>
    <x v="686"/>
    <x v="0"/>
    <x v="74"/>
    <x v="1"/>
    <x v="42"/>
    <x v="2"/>
    <x v="199"/>
    <x v="67"/>
    <x v="6"/>
    <x v="6"/>
  </r>
  <r>
    <x v="686"/>
    <x v="1"/>
    <x v="43"/>
    <x v="0"/>
    <x v="15"/>
    <x v="1"/>
    <x v="75"/>
    <x v="31"/>
    <x v="5"/>
    <x v="5"/>
  </r>
  <r>
    <x v="686"/>
    <x v="2"/>
    <x v="21"/>
    <x v="1"/>
    <x v="16"/>
    <x v="0"/>
    <x v="95"/>
    <x v="18"/>
    <x v="1"/>
    <x v="1"/>
  </r>
  <r>
    <x v="686"/>
    <x v="3"/>
    <x v="56"/>
    <x v="0"/>
    <x v="39"/>
    <x v="1"/>
    <x v="231"/>
    <x v="49"/>
    <x v="5"/>
    <x v="5"/>
  </r>
  <r>
    <x v="687"/>
    <x v="0"/>
    <x v="1"/>
    <x v="0"/>
    <x v="1"/>
    <x v="3"/>
    <x v="112"/>
    <x v="1"/>
    <x v="1"/>
    <x v="1"/>
  </r>
  <r>
    <x v="687"/>
    <x v="1"/>
    <x v="54"/>
    <x v="0"/>
    <x v="37"/>
    <x v="2"/>
    <x v="232"/>
    <x v="47"/>
    <x v="5"/>
    <x v="5"/>
  </r>
  <r>
    <x v="688"/>
    <x v="0"/>
    <x v="57"/>
    <x v="1"/>
    <x v="14"/>
    <x v="3"/>
    <x v="110"/>
    <x v="50"/>
    <x v="1"/>
    <x v="1"/>
  </r>
  <r>
    <x v="689"/>
    <x v="0"/>
    <x v="73"/>
    <x v="0"/>
    <x v="49"/>
    <x v="0"/>
    <x v="233"/>
    <x v="66"/>
    <x v="5"/>
    <x v="5"/>
  </r>
  <r>
    <x v="689"/>
    <x v="1"/>
    <x v="16"/>
    <x v="1"/>
    <x v="13"/>
    <x v="1"/>
    <x v="136"/>
    <x v="14"/>
    <x v="2"/>
    <x v="2"/>
  </r>
  <r>
    <x v="689"/>
    <x v="2"/>
    <x v="25"/>
    <x v="0"/>
    <x v="18"/>
    <x v="2"/>
    <x v="161"/>
    <x v="21"/>
    <x v="5"/>
    <x v="5"/>
  </r>
  <r>
    <x v="689"/>
    <x v="3"/>
    <x v="36"/>
    <x v="1"/>
    <x v="24"/>
    <x v="0"/>
    <x v="151"/>
    <x v="32"/>
    <x v="3"/>
    <x v="3"/>
  </r>
  <r>
    <x v="690"/>
    <x v="0"/>
    <x v="19"/>
    <x v="1"/>
    <x v="15"/>
    <x v="2"/>
    <x v="89"/>
    <x v="17"/>
    <x v="5"/>
    <x v="5"/>
  </r>
  <r>
    <x v="690"/>
    <x v="1"/>
    <x v="21"/>
    <x v="1"/>
    <x v="16"/>
    <x v="3"/>
    <x v="87"/>
    <x v="18"/>
    <x v="1"/>
    <x v="1"/>
  </r>
  <r>
    <x v="690"/>
    <x v="2"/>
    <x v="66"/>
    <x v="1"/>
    <x v="45"/>
    <x v="0"/>
    <x v="234"/>
    <x v="59"/>
    <x v="6"/>
    <x v="6"/>
  </r>
  <r>
    <x v="690"/>
    <x v="3"/>
    <x v="0"/>
    <x v="0"/>
    <x v="0"/>
    <x v="0"/>
    <x v="0"/>
    <x v="0"/>
    <x v="0"/>
    <x v="0"/>
  </r>
  <r>
    <x v="691"/>
    <x v="0"/>
    <x v="64"/>
    <x v="0"/>
    <x v="44"/>
    <x v="0"/>
    <x v="235"/>
    <x v="57"/>
    <x v="6"/>
    <x v="6"/>
  </r>
  <r>
    <x v="691"/>
    <x v="1"/>
    <x v="85"/>
    <x v="0"/>
    <x v="0"/>
    <x v="1"/>
    <x v="5"/>
    <x v="78"/>
    <x v="0"/>
    <x v="0"/>
  </r>
  <r>
    <x v="691"/>
    <x v="2"/>
    <x v="12"/>
    <x v="1"/>
    <x v="10"/>
    <x v="1"/>
    <x v="109"/>
    <x v="11"/>
    <x v="0"/>
    <x v="0"/>
  </r>
  <r>
    <x v="691"/>
    <x v="3"/>
    <x v="28"/>
    <x v="1"/>
    <x v="21"/>
    <x v="3"/>
    <x v="236"/>
    <x v="24"/>
    <x v="6"/>
    <x v="6"/>
  </r>
  <r>
    <x v="692"/>
    <x v="0"/>
    <x v="77"/>
    <x v="1"/>
    <x v="51"/>
    <x v="0"/>
    <x v="203"/>
    <x v="70"/>
    <x v="3"/>
    <x v="3"/>
  </r>
  <r>
    <x v="692"/>
    <x v="1"/>
    <x v="17"/>
    <x v="0"/>
    <x v="11"/>
    <x v="0"/>
    <x v="51"/>
    <x v="15"/>
    <x v="0"/>
    <x v="0"/>
  </r>
  <r>
    <x v="692"/>
    <x v="2"/>
    <x v="21"/>
    <x v="1"/>
    <x v="16"/>
    <x v="2"/>
    <x v="131"/>
    <x v="18"/>
    <x v="1"/>
    <x v="1"/>
  </r>
  <r>
    <x v="692"/>
    <x v="3"/>
    <x v="93"/>
    <x v="0"/>
    <x v="58"/>
    <x v="1"/>
    <x v="237"/>
    <x v="85"/>
    <x v="1"/>
    <x v="1"/>
  </r>
  <r>
    <x v="693"/>
    <x v="0"/>
    <x v="74"/>
    <x v="0"/>
    <x v="42"/>
    <x v="0"/>
    <x v="224"/>
    <x v="67"/>
    <x v="6"/>
    <x v="6"/>
  </r>
  <r>
    <x v="693"/>
    <x v="1"/>
    <x v="62"/>
    <x v="0"/>
    <x v="42"/>
    <x v="2"/>
    <x v="196"/>
    <x v="55"/>
    <x v="1"/>
    <x v="1"/>
  </r>
  <r>
    <x v="693"/>
    <x v="2"/>
    <x v="66"/>
    <x v="1"/>
    <x v="45"/>
    <x v="3"/>
    <x v="183"/>
    <x v="59"/>
    <x v="6"/>
    <x v="6"/>
  </r>
  <r>
    <x v="693"/>
    <x v="3"/>
    <x v="27"/>
    <x v="1"/>
    <x v="20"/>
    <x v="0"/>
    <x v="238"/>
    <x v="23"/>
    <x v="3"/>
    <x v="3"/>
  </r>
  <r>
    <x v="693"/>
    <x v="4"/>
    <x v="78"/>
    <x v="1"/>
    <x v="52"/>
    <x v="3"/>
    <x v="239"/>
    <x v="71"/>
    <x v="1"/>
    <x v="1"/>
  </r>
  <r>
    <x v="694"/>
    <x v="0"/>
    <x v="90"/>
    <x v="1"/>
    <x v="43"/>
    <x v="3"/>
    <x v="240"/>
    <x v="83"/>
    <x v="0"/>
    <x v="0"/>
  </r>
  <r>
    <x v="694"/>
    <x v="1"/>
    <x v="94"/>
    <x v="1"/>
    <x v="59"/>
    <x v="0"/>
    <x v="241"/>
    <x v="86"/>
    <x v="6"/>
    <x v="6"/>
  </r>
  <r>
    <x v="695"/>
    <x v="0"/>
    <x v="54"/>
    <x v="1"/>
    <x v="37"/>
    <x v="1"/>
    <x v="170"/>
    <x v="47"/>
    <x v="5"/>
    <x v="5"/>
  </r>
  <r>
    <x v="695"/>
    <x v="1"/>
    <x v="14"/>
    <x v="0"/>
    <x v="12"/>
    <x v="3"/>
    <x v="40"/>
    <x v="13"/>
    <x v="1"/>
    <x v="1"/>
  </r>
  <r>
    <x v="695"/>
    <x v="2"/>
    <x v="78"/>
    <x v="0"/>
    <x v="52"/>
    <x v="1"/>
    <x v="242"/>
    <x v="71"/>
    <x v="1"/>
    <x v="1"/>
  </r>
  <r>
    <x v="696"/>
    <x v="0"/>
    <x v="21"/>
    <x v="1"/>
    <x v="16"/>
    <x v="2"/>
    <x v="131"/>
    <x v="18"/>
    <x v="1"/>
    <x v="1"/>
  </r>
  <r>
    <x v="697"/>
    <x v="0"/>
    <x v="81"/>
    <x v="0"/>
    <x v="29"/>
    <x v="1"/>
    <x v="243"/>
    <x v="74"/>
    <x v="5"/>
    <x v="5"/>
  </r>
  <r>
    <x v="697"/>
    <x v="1"/>
    <x v="10"/>
    <x v="0"/>
    <x v="8"/>
    <x v="1"/>
    <x v="77"/>
    <x v="9"/>
    <x v="0"/>
    <x v="0"/>
  </r>
  <r>
    <x v="697"/>
    <x v="2"/>
    <x v="95"/>
    <x v="1"/>
    <x v="23"/>
    <x v="2"/>
    <x v="244"/>
    <x v="87"/>
    <x v="1"/>
    <x v="1"/>
  </r>
  <r>
    <x v="698"/>
    <x v="0"/>
    <x v="26"/>
    <x v="1"/>
    <x v="19"/>
    <x v="3"/>
    <x v="145"/>
    <x v="22"/>
    <x v="3"/>
    <x v="3"/>
  </r>
  <r>
    <x v="698"/>
    <x v="1"/>
    <x v="74"/>
    <x v="0"/>
    <x v="42"/>
    <x v="1"/>
    <x v="245"/>
    <x v="67"/>
    <x v="6"/>
    <x v="6"/>
  </r>
  <r>
    <x v="698"/>
    <x v="2"/>
    <x v="93"/>
    <x v="0"/>
    <x v="58"/>
    <x v="0"/>
    <x v="246"/>
    <x v="85"/>
    <x v="1"/>
    <x v="1"/>
  </r>
  <r>
    <x v="698"/>
    <x v="3"/>
    <x v="24"/>
    <x v="1"/>
    <x v="8"/>
    <x v="3"/>
    <x v="97"/>
    <x v="9"/>
    <x v="3"/>
    <x v="3"/>
  </r>
  <r>
    <x v="698"/>
    <x v="4"/>
    <x v="90"/>
    <x v="1"/>
    <x v="43"/>
    <x v="0"/>
    <x v="247"/>
    <x v="83"/>
    <x v="0"/>
    <x v="0"/>
  </r>
  <r>
    <x v="699"/>
    <x v="0"/>
    <x v="14"/>
    <x v="1"/>
    <x v="12"/>
    <x v="2"/>
    <x v="74"/>
    <x v="13"/>
    <x v="1"/>
    <x v="1"/>
  </r>
  <r>
    <x v="699"/>
    <x v="1"/>
    <x v="65"/>
    <x v="0"/>
    <x v="25"/>
    <x v="0"/>
    <x v="152"/>
    <x v="58"/>
    <x v="2"/>
    <x v="2"/>
  </r>
  <r>
    <x v="700"/>
    <x v="0"/>
    <x v="73"/>
    <x v="0"/>
    <x v="49"/>
    <x v="2"/>
    <x v="248"/>
    <x v="66"/>
    <x v="5"/>
    <x v="5"/>
  </r>
  <r>
    <x v="701"/>
    <x v="0"/>
    <x v="22"/>
    <x v="1"/>
    <x v="17"/>
    <x v="2"/>
    <x v="41"/>
    <x v="19"/>
    <x v="3"/>
    <x v="3"/>
  </r>
  <r>
    <x v="701"/>
    <x v="1"/>
    <x v="77"/>
    <x v="0"/>
    <x v="51"/>
    <x v="3"/>
    <x v="249"/>
    <x v="70"/>
    <x v="3"/>
    <x v="3"/>
  </r>
  <r>
    <x v="701"/>
    <x v="2"/>
    <x v="5"/>
    <x v="1"/>
    <x v="4"/>
    <x v="1"/>
    <x v="13"/>
    <x v="5"/>
    <x v="1"/>
    <x v="1"/>
  </r>
  <r>
    <x v="702"/>
    <x v="0"/>
    <x v="78"/>
    <x v="1"/>
    <x v="52"/>
    <x v="0"/>
    <x v="250"/>
    <x v="71"/>
    <x v="1"/>
    <x v="1"/>
  </r>
  <r>
    <x v="702"/>
    <x v="1"/>
    <x v="82"/>
    <x v="1"/>
    <x v="34"/>
    <x v="2"/>
    <x v="251"/>
    <x v="75"/>
    <x v="0"/>
    <x v="0"/>
  </r>
  <r>
    <x v="702"/>
    <x v="2"/>
    <x v="31"/>
    <x v="0"/>
    <x v="22"/>
    <x v="0"/>
    <x v="252"/>
    <x v="27"/>
    <x v="0"/>
    <x v="0"/>
  </r>
  <r>
    <x v="702"/>
    <x v="3"/>
    <x v="4"/>
    <x v="1"/>
    <x v="3"/>
    <x v="0"/>
    <x v="84"/>
    <x v="4"/>
    <x v="1"/>
    <x v="1"/>
  </r>
  <r>
    <x v="703"/>
    <x v="0"/>
    <x v="2"/>
    <x v="1"/>
    <x v="2"/>
    <x v="2"/>
    <x v="2"/>
    <x v="2"/>
    <x v="2"/>
    <x v="2"/>
  </r>
  <r>
    <x v="703"/>
    <x v="1"/>
    <x v="37"/>
    <x v="0"/>
    <x v="25"/>
    <x v="0"/>
    <x v="152"/>
    <x v="33"/>
    <x v="2"/>
    <x v="2"/>
  </r>
  <r>
    <x v="703"/>
    <x v="2"/>
    <x v="96"/>
    <x v="1"/>
    <x v="26"/>
    <x v="1"/>
    <x v="184"/>
    <x v="88"/>
    <x v="5"/>
    <x v="5"/>
  </r>
  <r>
    <x v="704"/>
    <x v="0"/>
    <x v="32"/>
    <x v="0"/>
    <x v="23"/>
    <x v="3"/>
    <x v="253"/>
    <x v="28"/>
    <x v="4"/>
    <x v="4"/>
  </r>
  <r>
    <x v="705"/>
    <x v="0"/>
    <x v="97"/>
    <x v="0"/>
    <x v="4"/>
    <x v="3"/>
    <x v="16"/>
    <x v="89"/>
    <x v="1"/>
    <x v="1"/>
  </r>
  <r>
    <x v="705"/>
    <x v="1"/>
    <x v="19"/>
    <x v="1"/>
    <x v="15"/>
    <x v="2"/>
    <x v="89"/>
    <x v="17"/>
    <x v="5"/>
    <x v="5"/>
  </r>
  <r>
    <x v="705"/>
    <x v="2"/>
    <x v="91"/>
    <x v="0"/>
    <x v="57"/>
    <x v="0"/>
    <x v="254"/>
    <x v="84"/>
    <x v="4"/>
    <x v="4"/>
  </r>
  <r>
    <x v="706"/>
    <x v="0"/>
    <x v="26"/>
    <x v="1"/>
    <x v="19"/>
    <x v="2"/>
    <x v="150"/>
    <x v="22"/>
    <x v="3"/>
    <x v="3"/>
  </r>
  <r>
    <x v="706"/>
    <x v="1"/>
    <x v="96"/>
    <x v="0"/>
    <x v="26"/>
    <x v="1"/>
    <x v="255"/>
    <x v="88"/>
    <x v="5"/>
    <x v="5"/>
  </r>
  <r>
    <x v="706"/>
    <x v="2"/>
    <x v="16"/>
    <x v="1"/>
    <x v="13"/>
    <x v="3"/>
    <x v="104"/>
    <x v="14"/>
    <x v="2"/>
    <x v="2"/>
  </r>
  <r>
    <x v="706"/>
    <x v="3"/>
    <x v="8"/>
    <x v="1"/>
    <x v="0"/>
    <x v="3"/>
    <x v="28"/>
    <x v="3"/>
    <x v="3"/>
    <x v="3"/>
  </r>
  <r>
    <x v="707"/>
    <x v="0"/>
    <x v="18"/>
    <x v="0"/>
    <x v="14"/>
    <x v="1"/>
    <x v="29"/>
    <x v="16"/>
    <x v="1"/>
    <x v="1"/>
  </r>
  <r>
    <x v="707"/>
    <x v="1"/>
    <x v="42"/>
    <x v="0"/>
    <x v="28"/>
    <x v="3"/>
    <x v="168"/>
    <x v="37"/>
    <x v="1"/>
    <x v="1"/>
  </r>
  <r>
    <x v="707"/>
    <x v="2"/>
    <x v="98"/>
    <x v="1"/>
    <x v="14"/>
    <x v="0"/>
    <x v="117"/>
    <x v="90"/>
    <x v="1"/>
    <x v="1"/>
  </r>
  <r>
    <x v="708"/>
    <x v="0"/>
    <x v="66"/>
    <x v="1"/>
    <x v="45"/>
    <x v="2"/>
    <x v="256"/>
    <x v="59"/>
    <x v="6"/>
    <x v="6"/>
  </r>
  <r>
    <x v="708"/>
    <x v="1"/>
    <x v="70"/>
    <x v="1"/>
    <x v="48"/>
    <x v="1"/>
    <x v="257"/>
    <x v="63"/>
    <x v="5"/>
    <x v="5"/>
  </r>
  <r>
    <x v="708"/>
    <x v="2"/>
    <x v="74"/>
    <x v="0"/>
    <x v="42"/>
    <x v="1"/>
    <x v="245"/>
    <x v="67"/>
    <x v="6"/>
    <x v="6"/>
  </r>
  <r>
    <x v="709"/>
    <x v="0"/>
    <x v="41"/>
    <x v="0"/>
    <x v="27"/>
    <x v="2"/>
    <x v="258"/>
    <x v="36"/>
    <x v="1"/>
    <x v="1"/>
  </r>
  <r>
    <x v="709"/>
    <x v="1"/>
    <x v="91"/>
    <x v="1"/>
    <x v="57"/>
    <x v="0"/>
    <x v="225"/>
    <x v="84"/>
    <x v="4"/>
    <x v="4"/>
  </r>
  <r>
    <x v="709"/>
    <x v="2"/>
    <x v="62"/>
    <x v="1"/>
    <x v="42"/>
    <x v="0"/>
    <x v="259"/>
    <x v="55"/>
    <x v="1"/>
    <x v="1"/>
  </r>
  <r>
    <x v="709"/>
    <x v="3"/>
    <x v="94"/>
    <x v="0"/>
    <x v="59"/>
    <x v="0"/>
    <x v="260"/>
    <x v="86"/>
    <x v="6"/>
    <x v="6"/>
  </r>
  <r>
    <x v="709"/>
    <x v="4"/>
    <x v="76"/>
    <x v="0"/>
    <x v="50"/>
    <x v="2"/>
    <x v="261"/>
    <x v="69"/>
    <x v="1"/>
    <x v="1"/>
  </r>
  <r>
    <x v="710"/>
    <x v="0"/>
    <x v="21"/>
    <x v="1"/>
    <x v="16"/>
    <x v="2"/>
    <x v="131"/>
    <x v="18"/>
    <x v="1"/>
    <x v="1"/>
  </r>
  <r>
    <x v="710"/>
    <x v="1"/>
    <x v="43"/>
    <x v="1"/>
    <x v="15"/>
    <x v="0"/>
    <x v="33"/>
    <x v="31"/>
    <x v="5"/>
    <x v="5"/>
  </r>
  <r>
    <x v="710"/>
    <x v="2"/>
    <x v="31"/>
    <x v="1"/>
    <x v="22"/>
    <x v="2"/>
    <x v="262"/>
    <x v="27"/>
    <x v="0"/>
    <x v="0"/>
  </r>
  <r>
    <x v="711"/>
    <x v="0"/>
    <x v="99"/>
    <x v="1"/>
    <x v="60"/>
    <x v="0"/>
    <x v="263"/>
    <x v="91"/>
    <x v="1"/>
    <x v="1"/>
  </r>
  <r>
    <x v="711"/>
    <x v="1"/>
    <x v="51"/>
    <x v="1"/>
    <x v="35"/>
    <x v="3"/>
    <x v="264"/>
    <x v="44"/>
    <x v="0"/>
    <x v="0"/>
  </r>
  <r>
    <x v="711"/>
    <x v="2"/>
    <x v="100"/>
    <x v="0"/>
    <x v="61"/>
    <x v="0"/>
    <x v="265"/>
    <x v="92"/>
    <x v="1"/>
    <x v="1"/>
  </r>
  <r>
    <x v="711"/>
    <x v="3"/>
    <x v="35"/>
    <x v="0"/>
    <x v="15"/>
    <x v="0"/>
    <x v="122"/>
    <x v="31"/>
    <x v="0"/>
    <x v="0"/>
  </r>
  <r>
    <x v="711"/>
    <x v="4"/>
    <x v="4"/>
    <x v="1"/>
    <x v="3"/>
    <x v="2"/>
    <x v="49"/>
    <x v="4"/>
    <x v="1"/>
    <x v="1"/>
  </r>
  <r>
    <x v="712"/>
    <x v="0"/>
    <x v="101"/>
    <x v="1"/>
    <x v="30"/>
    <x v="0"/>
    <x v="266"/>
    <x v="93"/>
    <x v="5"/>
    <x v="5"/>
  </r>
  <r>
    <x v="712"/>
    <x v="1"/>
    <x v="44"/>
    <x v="1"/>
    <x v="29"/>
    <x v="3"/>
    <x v="157"/>
    <x v="38"/>
    <x v="5"/>
    <x v="5"/>
  </r>
  <r>
    <x v="712"/>
    <x v="2"/>
    <x v="29"/>
    <x v="0"/>
    <x v="5"/>
    <x v="1"/>
    <x v="116"/>
    <x v="25"/>
    <x v="6"/>
    <x v="6"/>
  </r>
  <r>
    <x v="712"/>
    <x v="3"/>
    <x v="75"/>
    <x v="1"/>
    <x v="19"/>
    <x v="1"/>
    <x v="154"/>
    <x v="68"/>
    <x v="3"/>
    <x v="3"/>
  </r>
  <r>
    <x v="713"/>
    <x v="0"/>
    <x v="102"/>
    <x v="1"/>
    <x v="30"/>
    <x v="0"/>
    <x v="266"/>
    <x v="94"/>
    <x v="5"/>
    <x v="5"/>
  </r>
  <r>
    <x v="714"/>
    <x v="0"/>
    <x v="32"/>
    <x v="1"/>
    <x v="23"/>
    <x v="3"/>
    <x v="149"/>
    <x v="28"/>
    <x v="4"/>
    <x v="4"/>
  </r>
  <r>
    <x v="714"/>
    <x v="1"/>
    <x v="69"/>
    <x v="0"/>
    <x v="47"/>
    <x v="0"/>
    <x v="190"/>
    <x v="62"/>
    <x v="6"/>
    <x v="6"/>
  </r>
  <r>
    <x v="715"/>
    <x v="0"/>
    <x v="103"/>
    <x v="1"/>
    <x v="38"/>
    <x v="3"/>
    <x v="267"/>
    <x v="95"/>
    <x v="3"/>
    <x v="3"/>
  </r>
  <r>
    <x v="715"/>
    <x v="1"/>
    <x v="101"/>
    <x v="1"/>
    <x v="30"/>
    <x v="1"/>
    <x v="268"/>
    <x v="93"/>
    <x v="5"/>
    <x v="5"/>
  </r>
  <r>
    <x v="715"/>
    <x v="2"/>
    <x v="47"/>
    <x v="0"/>
    <x v="32"/>
    <x v="3"/>
    <x v="160"/>
    <x v="41"/>
    <x v="0"/>
    <x v="0"/>
  </r>
  <r>
    <x v="715"/>
    <x v="3"/>
    <x v="4"/>
    <x v="1"/>
    <x v="3"/>
    <x v="2"/>
    <x v="49"/>
    <x v="4"/>
    <x v="1"/>
    <x v="1"/>
  </r>
  <r>
    <x v="716"/>
    <x v="0"/>
    <x v="28"/>
    <x v="1"/>
    <x v="21"/>
    <x v="2"/>
    <x v="228"/>
    <x v="24"/>
    <x v="6"/>
    <x v="6"/>
  </r>
  <r>
    <x v="716"/>
    <x v="1"/>
    <x v="101"/>
    <x v="0"/>
    <x v="30"/>
    <x v="0"/>
    <x v="269"/>
    <x v="93"/>
    <x v="5"/>
    <x v="5"/>
  </r>
  <r>
    <x v="717"/>
    <x v="0"/>
    <x v="102"/>
    <x v="1"/>
    <x v="30"/>
    <x v="1"/>
    <x v="268"/>
    <x v="94"/>
    <x v="5"/>
    <x v="5"/>
  </r>
  <r>
    <x v="717"/>
    <x v="1"/>
    <x v="95"/>
    <x v="1"/>
    <x v="23"/>
    <x v="1"/>
    <x v="179"/>
    <x v="87"/>
    <x v="1"/>
    <x v="1"/>
  </r>
  <r>
    <x v="717"/>
    <x v="2"/>
    <x v="38"/>
    <x v="1"/>
    <x v="26"/>
    <x v="3"/>
    <x v="270"/>
    <x v="34"/>
    <x v="0"/>
    <x v="0"/>
  </r>
  <r>
    <x v="718"/>
    <x v="0"/>
    <x v="96"/>
    <x v="0"/>
    <x v="26"/>
    <x v="0"/>
    <x v="153"/>
    <x v="88"/>
    <x v="5"/>
    <x v="5"/>
  </r>
  <r>
    <x v="719"/>
    <x v="0"/>
    <x v="103"/>
    <x v="0"/>
    <x v="38"/>
    <x v="1"/>
    <x v="271"/>
    <x v="95"/>
    <x v="3"/>
    <x v="3"/>
  </r>
  <r>
    <x v="719"/>
    <x v="1"/>
    <x v="18"/>
    <x v="0"/>
    <x v="14"/>
    <x v="3"/>
    <x v="107"/>
    <x v="16"/>
    <x v="1"/>
    <x v="1"/>
  </r>
  <r>
    <x v="720"/>
    <x v="0"/>
    <x v="78"/>
    <x v="1"/>
    <x v="52"/>
    <x v="1"/>
    <x v="272"/>
    <x v="71"/>
    <x v="1"/>
    <x v="1"/>
  </r>
  <r>
    <x v="720"/>
    <x v="1"/>
    <x v="48"/>
    <x v="0"/>
    <x v="26"/>
    <x v="3"/>
    <x v="164"/>
    <x v="34"/>
    <x v="3"/>
    <x v="3"/>
  </r>
  <r>
    <x v="720"/>
    <x v="2"/>
    <x v="30"/>
    <x v="1"/>
    <x v="5"/>
    <x v="2"/>
    <x v="125"/>
    <x v="26"/>
    <x v="0"/>
    <x v="0"/>
  </r>
  <r>
    <x v="720"/>
    <x v="3"/>
    <x v="57"/>
    <x v="0"/>
    <x v="14"/>
    <x v="0"/>
    <x v="63"/>
    <x v="50"/>
    <x v="1"/>
    <x v="1"/>
  </r>
  <r>
    <x v="721"/>
    <x v="0"/>
    <x v="13"/>
    <x v="1"/>
    <x v="11"/>
    <x v="1"/>
    <x v="35"/>
    <x v="12"/>
    <x v="5"/>
    <x v="5"/>
  </r>
  <r>
    <x v="721"/>
    <x v="1"/>
    <x v="5"/>
    <x v="0"/>
    <x v="4"/>
    <x v="2"/>
    <x v="6"/>
    <x v="5"/>
    <x v="1"/>
    <x v="1"/>
  </r>
  <r>
    <x v="721"/>
    <x v="2"/>
    <x v="77"/>
    <x v="1"/>
    <x v="51"/>
    <x v="3"/>
    <x v="273"/>
    <x v="70"/>
    <x v="3"/>
    <x v="3"/>
  </r>
  <r>
    <x v="722"/>
    <x v="0"/>
    <x v="24"/>
    <x v="1"/>
    <x v="8"/>
    <x v="1"/>
    <x v="30"/>
    <x v="9"/>
    <x v="3"/>
    <x v="3"/>
  </r>
  <r>
    <x v="722"/>
    <x v="1"/>
    <x v="3"/>
    <x v="0"/>
    <x v="0"/>
    <x v="2"/>
    <x v="7"/>
    <x v="3"/>
    <x v="0"/>
    <x v="0"/>
  </r>
  <r>
    <x v="722"/>
    <x v="2"/>
    <x v="75"/>
    <x v="0"/>
    <x v="19"/>
    <x v="1"/>
    <x v="274"/>
    <x v="68"/>
    <x v="3"/>
    <x v="3"/>
  </r>
  <r>
    <x v="723"/>
    <x v="0"/>
    <x v="19"/>
    <x v="0"/>
    <x v="15"/>
    <x v="2"/>
    <x v="115"/>
    <x v="17"/>
    <x v="5"/>
    <x v="5"/>
  </r>
  <r>
    <x v="723"/>
    <x v="1"/>
    <x v="85"/>
    <x v="0"/>
    <x v="0"/>
    <x v="0"/>
    <x v="0"/>
    <x v="78"/>
    <x v="0"/>
    <x v="0"/>
  </r>
  <r>
    <x v="723"/>
    <x v="2"/>
    <x v="48"/>
    <x v="0"/>
    <x v="26"/>
    <x v="2"/>
    <x v="275"/>
    <x v="34"/>
    <x v="3"/>
    <x v="3"/>
  </r>
  <r>
    <x v="723"/>
    <x v="3"/>
    <x v="66"/>
    <x v="0"/>
    <x v="45"/>
    <x v="0"/>
    <x v="206"/>
    <x v="59"/>
    <x v="6"/>
    <x v="6"/>
  </r>
  <r>
    <x v="724"/>
    <x v="0"/>
    <x v="45"/>
    <x v="0"/>
    <x v="30"/>
    <x v="3"/>
    <x v="276"/>
    <x v="39"/>
    <x v="5"/>
    <x v="5"/>
  </r>
  <r>
    <x v="724"/>
    <x v="1"/>
    <x v="87"/>
    <x v="0"/>
    <x v="29"/>
    <x v="2"/>
    <x v="277"/>
    <x v="80"/>
    <x v="5"/>
    <x v="5"/>
  </r>
  <r>
    <x v="724"/>
    <x v="2"/>
    <x v="104"/>
    <x v="1"/>
    <x v="62"/>
    <x v="1"/>
    <x v="278"/>
    <x v="96"/>
    <x v="0"/>
    <x v="0"/>
  </r>
  <r>
    <x v="724"/>
    <x v="3"/>
    <x v="37"/>
    <x v="1"/>
    <x v="25"/>
    <x v="3"/>
    <x v="279"/>
    <x v="33"/>
    <x v="2"/>
    <x v="2"/>
  </r>
  <r>
    <x v="725"/>
    <x v="0"/>
    <x v="38"/>
    <x v="0"/>
    <x v="26"/>
    <x v="0"/>
    <x v="153"/>
    <x v="34"/>
    <x v="0"/>
    <x v="0"/>
  </r>
  <r>
    <x v="726"/>
    <x v="0"/>
    <x v="46"/>
    <x v="0"/>
    <x v="31"/>
    <x v="1"/>
    <x v="280"/>
    <x v="40"/>
    <x v="0"/>
    <x v="0"/>
  </r>
  <r>
    <x v="726"/>
    <x v="1"/>
    <x v="90"/>
    <x v="1"/>
    <x v="43"/>
    <x v="2"/>
    <x v="281"/>
    <x v="83"/>
    <x v="0"/>
    <x v="0"/>
  </r>
  <r>
    <x v="727"/>
    <x v="0"/>
    <x v="63"/>
    <x v="0"/>
    <x v="43"/>
    <x v="2"/>
    <x v="178"/>
    <x v="56"/>
    <x v="0"/>
    <x v="0"/>
  </r>
  <r>
    <x v="727"/>
    <x v="1"/>
    <x v="28"/>
    <x v="0"/>
    <x v="21"/>
    <x v="3"/>
    <x v="282"/>
    <x v="24"/>
    <x v="6"/>
    <x v="6"/>
  </r>
  <r>
    <x v="727"/>
    <x v="2"/>
    <x v="87"/>
    <x v="0"/>
    <x v="29"/>
    <x v="3"/>
    <x v="283"/>
    <x v="80"/>
    <x v="5"/>
    <x v="5"/>
  </r>
  <r>
    <x v="727"/>
    <x v="3"/>
    <x v="71"/>
    <x v="0"/>
    <x v="23"/>
    <x v="1"/>
    <x v="193"/>
    <x v="64"/>
    <x v="6"/>
    <x v="6"/>
  </r>
  <r>
    <x v="728"/>
    <x v="0"/>
    <x v="70"/>
    <x v="1"/>
    <x v="48"/>
    <x v="3"/>
    <x v="284"/>
    <x v="63"/>
    <x v="5"/>
    <x v="5"/>
  </r>
  <r>
    <x v="729"/>
    <x v="0"/>
    <x v="64"/>
    <x v="1"/>
    <x v="44"/>
    <x v="2"/>
    <x v="285"/>
    <x v="57"/>
    <x v="6"/>
    <x v="6"/>
  </r>
  <r>
    <x v="729"/>
    <x v="1"/>
    <x v="47"/>
    <x v="0"/>
    <x v="32"/>
    <x v="3"/>
    <x v="160"/>
    <x v="41"/>
    <x v="0"/>
    <x v="0"/>
  </r>
  <r>
    <x v="729"/>
    <x v="2"/>
    <x v="81"/>
    <x v="1"/>
    <x v="29"/>
    <x v="1"/>
    <x v="172"/>
    <x v="74"/>
    <x v="5"/>
    <x v="5"/>
  </r>
  <r>
    <x v="729"/>
    <x v="3"/>
    <x v="17"/>
    <x v="0"/>
    <x v="11"/>
    <x v="3"/>
    <x v="21"/>
    <x v="15"/>
    <x v="0"/>
    <x v="0"/>
  </r>
  <r>
    <x v="730"/>
    <x v="0"/>
    <x v="87"/>
    <x v="0"/>
    <x v="29"/>
    <x v="2"/>
    <x v="277"/>
    <x v="80"/>
    <x v="5"/>
    <x v="5"/>
  </r>
  <r>
    <x v="730"/>
    <x v="1"/>
    <x v="60"/>
    <x v="0"/>
    <x v="25"/>
    <x v="0"/>
    <x v="152"/>
    <x v="53"/>
    <x v="6"/>
    <x v="6"/>
  </r>
  <r>
    <x v="730"/>
    <x v="2"/>
    <x v="50"/>
    <x v="1"/>
    <x v="34"/>
    <x v="0"/>
    <x v="166"/>
    <x v="43"/>
    <x v="0"/>
    <x v="0"/>
  </r>
  <r>
    <x v="730"/>
    <x v="3"/>
    <x v="61"/>
    <x v="0"/>
    <x v="4"/>
    <x v="0"/>
    <x v="90"/>
    <x v="54"/>
    <x v="1"/>
    <x v="1"/>
  </r>
  <r>
    <x v="731"/>
    <x v="0"/>
    <x v="42"/>
    <x v="0"/>
    <x v="28"/>
    <x v="1"/>
    <x v="192"/>
    <x v="37"/>
    <x v="1"/>
    <x v="1"/>
  </r>
  <r>
    <x v="731"/>
    <x v="1"/>
    <x v="4"/>
    <x v="1"/>
    <x v="3"/>
    <x v="1"/>
    <x v="127"/>
    <x v="4"/>
    <x v="1"/>
    <x v="1"/>
  </r>
  <r>
    <x v="732"/>
    <x v="0"/>
    <x v="73"/>
    <x v="0"/>
    <x v="49"/>
    <x v="2"/>
    <x v="248"/>
    <x v="66"/>
    <x v="5"/>
    <x v="5"/>
  </r>
  <r>
    <x v="732"/>
    <x v="1"/>
    <x v="66"/>
    <x v="0"/>
    <x v="45"/>
    <x v="0"/>
    <x v="206"/>
    <x v="59"/>
    <x v="6"/>
    <x v="6"/>
  </r>
  <r>
    <x v="732"/>
    <x v="2"/>
    <x v="48"/>
    <x v="1"/>
    <x v="26"/>
    <x v="3"/>
    <x v="270"/>
    <x v="34"/>
    <x v="3"/>
    <x v="3"/>
  </r>
  <r>
    <x v="733"/>
    <x v="0"/>
    <x v="8"/>
    <x v="0"/>
    <x v="0"/>
    <x v="0"/>
    <x v="0"/>
    <x v="3"/>
    <x v="3"/>
    <x v="3"/>
  </r>
  <r>
    <x v="733"/>
    <x v="1"/>
    <x v="5"/>
    <x v="0"/>
    <x v="4"/>
    <x v="2"/>
    <x v="6"/>
    <x v="5"/>
    <x v="1"/>
    <x v="1"/>
  </r>
  <r>
    <x v="733"/>
    <x v="2"/>
    <x v="73"/>
    <x v="1"/>
    <x v="49"/>
    <x v="0"/>
    <x v="286"/>
    <x v="66"/>
    <x v="5"/>
    <x v="5"/>
  </r>
  <r>
    <x v="733"/>
    <x v="3"/>
    <x v="105"/>
    <x v="1"/>
    <x v="63"/>
    <x v="3"/>
    <x v="287"/>
    <x v="97"/>
    <x v="0"/>
    <x v="0"/>
  </r>
  <r>
    <x v="734"/>
    <x v="0"/>
    <x v="68"/>
    <x v="1"/>
    <x v="24"/>
    <x v="3"/>
    <x v="288"/>
    <x v="61"/>
    <x v="0"/>
    <x v="0"/>
  </r>
  <r>
    <x v="734"/>
    <x v="1"/>
    <x v="2"/>
    <x v="1"/>
    <x v="2"/>
    <x v="1"/>
    <x v="46"/>
    <x v="2"/>
    <x v="2"/>
    <x v="2"/>
  </r>
  <r>
    <x v="735"/>
    <x v="0"/>
    <x v="28"/>
    <x v="1"/>
    <x v="21"/>
    <x v="2"/>
    <x v="228"/>
    <x v="24"/>
    <x v="6"/>
    <x v="6"/>
  </r>
  <r>
    <x v="735"/>
    <x v="1"/>
    <x v="7"/>
    <x v="0"/>
    <x v="6"/>
    <x v="3"/>
    <x v="47"/>
    <x v="7"/>
    <x v="0"/>
    <x v="0"/>
  </r>
  <r>
    <x v="735"/>
    <x v="2"/>
    <x v="37"/>
    <x v="1"/>
    <x v="25"/>
    <x v="0"/>
    <x v="165"/>
    <x v="33"/>
    <x v="2"/>
    <x v="2"/>
  </r>
  <r>
    <x v="736"/>
    <x v="0"/>
    <x v="58"/>
    <x v="0"/>
    <x v="40"/>
    <x v="2"/>
    <x v="175"/>
    <x v="51"/>
    <x v="6"/>
    <x v="6"/>
  </r>
  <r>
    <x v="736"/>
    <x v="1"/>
    <x v="23"/>
    <x v="1"/>
    <x v="7"/>
    <x v="1"/>
    <x v="53"/>
    <x v="20"/>
    <x v="0"/>
    <x v="0"/>
  </r>
  <r>
    <x v="736"/>
    <x v="2"/>
    <x v="104"/>
    <x v="1"/>
    <x v="62"/>
    <x v="1"/>
    <x v="278"/>
    <x v="96"/>
    <x v="0"/>
    <x v="0"/>
  </r>
  <r>
    <x v="736"/>
    <x v="3"/>
    <x v="98"/>
    <x v="0"/>
    <x v="14"/>
    <x v="0"/>
    <x v="63"/>
    <x v="90"/>
    <x v="1"/>
    <x v="1"/>
  </r>
  <r>
    <x v="737"/>
    <x v="0"/>
    <x v="90"/>
    <x v="1"/>
    <x v="43"/>
    <x v="1"/>
    <x v="289"/>
    <x v="83"/>
    <x v="0"/>
    <x v="0"/>
  </r>
  <r>
    <x v="737"/>
    <x v="1"/>
    <x v="83"/>
    <x v="1"/>
    <x v="8"/>
    <x v="0"/>
    <x v="118"/>
    <x v="76"/>
    <x v="1"/>
    <x v="1"/>
  </r>
  <r>
    <x v="737"/>
    <x v="2"/>
    <x v="22"/>
    <x v="0"/>
    <x v="17"/>
    <x v="3"/>
    <x v="93"/>
    <x v="19"/>
    <x v="3"/>
    <x v="3"/>
  </r>
  <r>
    <x v="737"/>
    <x v="3"/>
    <x v="65"/>
    <x v="0"/>
    <x v="25"/>
    <x v="1"/>
    <x v="222"/>
    <x v="58"/>
    <x v="2"/>
    <x v="2"/>
  </r>
  <r>
    <x v="738"/>
    <x v="0"/>
    <x v="5"/>
    <x v="0"/>
    <x v="4"/>
    <x v="0"/>
    <x v="90"/>
    <x v="5"/>
    <x v="1"/>
    <x v="1"/>
  </r>
  <r>
    <x v="739"/>
    <x v="0"/>
    <x v="89"/>
    <x v="0"/>
    <x v="56"/>
    <x v="2"/>
    <x v="290"/>
    <x v="82"/>
    <x v="0"/>
    <x v="0"/>
  </r>
  <r>
    <x v="739"/>
    <x v="1"/>
    <x v="49"/>
    <x v="1"/>
    <x v="33"/>
    <x v="0"/>
    <x v="291"/>
    <x v="42"/>
    <x v="5"/>
    <x v="5"/>
  </r>
  <r>
    <x v="739"/>
    <x v="2"/>
    <x v="16"/>
    <x v="0"/>
    <x v="13"/>
    <x v="0"/>
    <x v="114"/>
    <x v="14"/>
    <x v="2"/>
    <x v="2"/>
  </r>
  <r>
    <x v="739"/>
    <x v="3"/>
    <x v="23"/>
    <x v="0"/>
    <x v="7"/>
    <x v="0"/>
    <x v="59"/>
    <x v="20"/>
    <x v="0"/>
    <x v="0"/>
  </r>
  <r>
    <x v="739"/>
    <x v="4"/>
    <x v="10"/>
    <x v="1"/>
    <x v="8"/>
    <x v="1"/>
    <x v="30"/>
    <x v="9"/>
    <x v="0"/>
    <x v="0"/>
  </r>
  <r>
    <x v="740"/>
    <x v="0"/>
    <x v="71"/>
    <x v="0"/>
    <x v="23"/>
    <x v="2"/>
    <x v="292"/>
    <x v="64"/>
    <x v="6"/>
    <x v="6"/>
  </r>
  <r>
    <x v="740"/>
    <x v="1"/>
    <x v="35"/>
    <x v="0"/>
    <x v="15"/>
    <x v="1"/>
    <x v="75"/>
    <x v="31"/>
    <x v="0"/>
    <x v="0"/>
  </r>
  <r>
    <x v="740"/>
    <x v="2"/>
    <x v="20"/>
    <x v="1"/>
    <x v="11"/>
    <x v="1"/>
    <x v="35"/>
    <x v="15"/>
    <x v="5"/>
    <x v="5"/>
  </r>
  <r>
    <x v="740"/>
    <x v="3"/>
    <x v="28"/>
    <x v="1"/>
    <x v="21"/>
    <x v="2"/>
    <x v="228"/>
    <x v="24"/>
    <x v="6"/>
    <x v="6"/>
  </r>
  <r>
    <x v="741"/>
    <x v="0"/>
    <x v="92"/>
    <x v="1"/>
    <x v="24"/>
    <x v="2"/>
    <x v="293"/>
    <x v="72"/>
    <x v="3"/>
    <x v="3"/>
  </r>
  <r>
    <x v="741"/>
    <x v="1"/>
    <x v="78"/>
    <x v="0"/>
    <x v="52"/>
    <x v="1"/>
    <x v="242"/>
    <x v="71"/>
    <x v="1"/>
    <x v="1"/>
  </r>
  <r>
    <x v="742"/>
    <x v="0"/>
    <x v="53"/>
    <x v="0"/>
    <x v="36"/>
    <x v="2"/>
    <x v="294"/>
    <x v="46"/>
    <x v="0"/>
    <x v="0"/>
  </r>
  <r>
    <x v="743"/>
    <x v="0"/>
    <x v="57"/>
    <x v="1"/>
    <x v="14"/>
    <x v="0"/>
    <x v="117"/>
    <x v="50"/>
    <x v="1"/>
    <x v="1"/>
  </r>
  <r>
    <x v="744"/>
    <x v="0"/>
    <x v="43"/>
    <x v="1"/>
    <x v="15"/>
    <x v="2"/>
    <x v="89"/>
    <x v="31"/>
    <x v="5"/>
    <x v="5"/>
  </r>
  <r>
    <x v="744"/>
    <x v="1"/>
    <x v="13"/>
    <x v="1"/>
    <x v="11"/>
    <x v="0"/>
    <x v="78"/>
    <x v="12"/>
    <x v="5"/>
    <x v="5"/>
  </r>
  <r>
    <x v="744"/>
    <x v="2"/>
    <x v="46"/>
    <x v="0"/>
    <x v="31"/>
    <x v="3"/>
    <x v="295"/>
    <x v="40"/>
    <x v="0"/>
    <x v="0"/>
  </r>
  <r>
    <x v="745"/>
    <x v="0"/>
    <x v="40"/>
    <x v="0"/>
    <x v="15"/>
    <x v="3"/>
    <x v="37"/>
    <x v="35"/>
    <x v="5"/>
    <x v="5"/>
  </r>
  <r>
    <x v="746"/>
    <x v="0"/>
    <x v="55"/>
    <x v="0"/>
    <x v="38"/>
    <x v="1"/>
    <x v="271"/>
    <x v="48"/>
    <x v="3"/>
    <x v="3"/>
  </r>
  <r>
    <x v="746"/>
    <x v="1"/>
    <x v="106"/>
    <x v="0"/>
    <x v="39"/>
    <x v="0"/>
    <x v="296"/>
    <x v="98"/>
    <x v="5"/>
    <x v="5"/>
  </r>
  <r>
    <x v="746"/>
    <x v="2"/>
    <x v="57"/>
    <x v="1"/>
    <x v="14"/>
    <x v="3"/>
    <x v="110"/>
    <x v="50"/>
    <x v="1"/>
    <x v="1"/>
  </r>
  <r>
    <x v="746"/>
    <x v="3"/>
    <x v="89"/>
    <x v="0"/>
    <x v="56"/>
    <x v="1"/>
    <x v="297"/>
    <x v="82"/>
    <x v="0"/>
    <x v="0"/>
  </r>
  <r>
    <x v="747"/>
    <x v="0"/>
    <x v="3"/>
    <x v="1"/>
    <x v="0"/>
    <x v="3"/>
    <x v="28"/>
    <x v="3"/>
    <x v="0"/>
    <x v="0"/>
  </r>
  <r>
    <x v="747"/>
    <x v="1"/>
    <x v="56"/>
    <x v="1"/>
    <x v="39"/>
    <x v="2"/>
    <x v="219"/>
    <x v="49"/>
    <x v="5"/>
    <x v="5"/>
  </r>
  <r>
    <x v="747"/>
    <x v="2"/>
    <x v="67"/>
    <x v="0"/>
    <x v="46"/>
    <x v="1"/>
    <x v="298"/>
    <x v="60"/>
    <x v="1"/>
    <x v="1"/>
  </r>
  <r>
    <x v="747"/>
    <x v="3"/>
    <x v="100"/>
    <x v="1"/>
    <x v="61"/>
    <x v="0"/>
    <x v="299"/>
    <x v="92"/>
    <x v="1"/>
    <x v="1"/>
  </r>
  <r>
    <x v="748"/>
    <x v="0"/>
    <x v="11"/>
    <x v="0"/>
    <x v="9"/>
    <x v="0"/>
    <x v="141"/>
    <x v="10"/>
    <x v="4"/>
    <x v="4"/>
  </r>
  <r>
    <x v="748"/>
    <x v="1"/>
    <x v="76"/>
    <x v="0"/>
    <x v="50"/>
    <x v="2"/>
    <x v="261"/>
    <x v="69"/>
    <x v="1"/>
    <x v="1"/>
  </r>
  <r>
    <x v="748"/>
    <x v="2"/>
    <x v="47"/>
    <x v="0"/>
    <x v="32"/>
    <x v="0"/>
    <x v="197"/>
    <x v="41"/>
    <x v="0"/>
    <x v="0"/>
  </r>
  <r>
    <x v="748"/>
    <x v="3"/>
    <x v="24"/>
    <x v="0"/>
    <x v="8"/>
    <x v="2"/>
    <x v="101"/>
    <x v="9"/>
    <x v="3"/>
    <x v="3"/>
  </r>
  <r>
    <x v="748"/>
    <x v="4"/>
    <x v="95"/>
    <x v="0"/>
    <x v="23"/>
    <x v="1"/>
    <x v="193"/>
    <x v="87"/>
    <x v="1"/>
    <x v="1"/>
  </r>
  <r>
    <x v="749"/>
    <x v="0"/>
    <x v="31"/>
    <x v="0"/>
    <x v="22"/>
    <x v="2"/>
    <x v="148"/>
    <x v="27"/>
    <x v="0"/>
    <x v="0"/>
  </r>
  <r>
    <x v="749"/>
    <x v="1"/>
    <x v="46"/>
    <x v="1"/>
    <x v="31"/>
    <x v="3"/>
    <x v="300"/>
    <x v="40"/>
    <x v="0"/>
    <x v="0"/>
  </r>
  <r>
    <x v="750"/>
    <x v="0"/>
    <x v="78"/>
    <x v="1"/>
    <x v="52"/>
    <x v="2"/>
    <x v="204"/>
    <x v="71"/>
    <x v="1"/>
    <x v="1"/>
  </r>
  <r>
    <x v="751"/>
    <x v="0"/>
    <x v="10"/>
    <x v="1"/>
    <x v="8"/>
    <x v="2"/>
    <x v="11"/>
    <x v="9"/>
    <x v="0"/>
    <x v="0"/>
  </r>
  <r>
    <x v="751"/>
    <x v="1"/>
    <x v="93"/>
    <x v="1"/>
    <x v="58"/>
    <x v="2"/>
    <x v="301"/>
    <x v="85"/>
    <x v="1"/>
    <x v="1"/>
  </r>
  <r>
    <x v="752"/>
    <x v="0"/>
    <x v="86"/>
    <x v="1"/>
    <x v="54"/>
    <x v="1"/>
    <x v="214"/>
    <x v="79"/>
    <x v="3"/>
    <x v="3"/>
  </r>
  <r>
    <x v="752"/>
    <x v="1"/>
    <x v="14"/>
    <x v="1"/>
    <x v="12"/>
    <x v="0"/>
    <x v="61"/>
    <x v="13"/>
    <x v="1"/>
    <x v="1"/>
  </r>
  <r>
    <x v="752"/>
    <x v="2"/>
    <x v="107"/>
    <x v="1"/>
    <x v="61"/>
    <x v="3"/>
    <x v="302"/>
    <x v="99"/>
    <x v="1"/>
    <x v="1"/>
  </r>
  <r>
    <x v="752"/>
    <x v="3"/>
    <x v="43"/>
    <x v="0"/>
    <x v="15"/>
    <x v="1"/>
    <x v="75"/>
    <x v="31"/>
    <x v="5"/>
    <x v="5"/>
  </r>
  <r>
    <x v="752"/>
    <x v="4"/>
    <x v="82"/>
    <x v="0"/>
    <x v="34"/>
    <x v="0"/>
    <x v="210"/>
    <x v="75"/>
    <x v="0"/>
    <x v="0"/>
  </r>
  <r>
    <x v="753"/>
    <x v="0"/>
    <x v="51"/>
    <x v="1"/>
    <x v="35"/>
    <x v="1"/>
    <x v="303"/>
    <x v="44"/>
    <x v="0"/>
    <x v="0"/>
  </r>
  <r>
    <x v="753"/>
    <x v="1"/>
    <x v="10"/>
    <x v="1"/>
    <x v="8"/>
    <x v="1"/>
    <x v="30"/>
    <x v="9"/>
    <x v="0"/>
    <x v="0"/>
  </r>
  <r>
    <x v="753"/>
    <x v="2"/>
    <x v="5"/>
    <x v="0"/>
    <x v="4"/>
    <x v="2"/>
    <x v="6"/>
    <x v="5"/>
    <x v="1"/>
    <x v="1"/>
  </r>
  <r>
    <x v="753"/>
    <x v="3"/>
    <x v="50"/>
    <x v="1"/>
    <x v="34"/>
    <x v="2"/>
    <x v="251"/>
    <x v="43"/>
    <x v="0"/>
    <x v="0"/>
  </r>
  <r>
    <x v="753"/>
    <x v="4"/>
    <x v="14"/>
    <x v="0"/>
    <x v="12"/>
    <x v="0"/>
    <x v="137"/>
    <x v="13"/>
    <x v="1"/>
    <x v="1"/>
  </r>
  <r>
    <x v="754"/>
    <x v="0"/>
    <x v="53"/>
    <x v="1"/>
    <x v="36"/>
    <x v="1"/>
    <x v="304"/>
    <x v="46"/>
    <x v="0"/>
    <x v="0"/>
  </r>
  <r>
    <x v="754"/>
    <x v="1"/>
    <x v="52"/>
    <x v="1"/>
    <x v="28"/>
    <x v="2"/>
    <x v="181"/>
    <x v="45"/>
    <x v="1"/>
    <x v="1"/>
  </r>
  <r>
    <x v="754"/>
    <x v="2"/>
    <x v="94"/>
    <x v="1"/>
    <x v="59"/>
    <x v="3"/>
    <x v="305"/>
    <x v="86"/>
    <x v="6"/>
    <x v="6"/>
  </r>
  <r>
    <x v="755"/>
    <x v="0"/>
    <x v="38"/>
    <x v="0"/>
    <x v="26"/>
    <x v="3"/>
    <x v="164"/>
    <x v="34"/>
    <x v="0"/>
    <x v="0"/>
  </r>
  <r>
    <x v="755"/>
    <x v="1"/>
    <x v="7"/>
    <x v="1"/>
    <x v="6"/>
    <x v="2"/>
    <x v="27"/>
    <x v="7"/>
    <x v="0"/>
    <x v="0"/>
  </r>
  <r>
    <x v="756"/>
    <x v="0"/>
    <x v="43"/>
    <x v="0"/>
    <x v="15"/>
    <x v="3"/>
    <x v="37"/>
    <x v="31"/>
    <x v="5"/>
    <x v="5"/>
  </r>
  <r>
    <x v="757"/>
    <x v="0"/>
    <x v="13"/>
    <x v="1"/>
    <x v="11"/>
    <x v="1"/>
    <x v="35"/>
    <x v="12"/>
    <x v="5"/>
    <x v="5"/>
  </r>
  <r>
    <x v="757"/>
    <x v="1"/>
    <x v="40"/>
    <x v="0"/>
    <x v="15"/>
    <x v="3"/>
    <x v="37"/>
    <x v="35"/>
    <x v="5"/>
    <x v="5"/>
  </r>
  <r>
    <x v="757"/>
    <x v="2"/>
    <x v="97"/>
    <x v="0"/>
    <x v="4"/>
    <x v="1"/>
    <x v="133"/>
    <x v="89"/>
    <x v="1"/>
    <x v="1"/>
  </r>
  <r>
    <x v="757"/>
    <x v="3"/>
    <x v="105"/>
    <x v="1"/>
    <x v="63"/>
    <x v="1"/>
    <x v="306"/>
    <x v="97"/>
    <x v="0"/>
    <x v="0"/>
  </r>
  <r>
    <x v="757"/>
    <x v="4"/>
    <x v="36"/>
    <x v="0"/>
    <x v="24"/>
    <x v="0"/>
    <x v="307"/>
    <x v="32"/>
    <x v="3"/>
    <x v="3"/>
  </r>
  <r>
    <x v="758"/>
    <x v="0"/>
    <x v="101"/>
    <x v="1"/>
    <x v="30"/>
    <x v="2"/>
    <x v="211"/>
    <x v="93"/>
    <x v="5"/>
    <x v="5"/>
  </r>
  <r>
    <x v="758"/>
    <x v="1"/>
    <x v="46"/>
    <x v="0"/>
    <x v="31"/>
    <x v="1"/>
    <x v="280"/>
    <x v="40"/>
    <x v="0"/>
    <x v="0"/>
  </r>
  <r>
    <x v="759"/>
    <x v="0"/>
    <x v="20"/>
    <x v="1"/>
    <x v="11"/>
    <x v="1"/>
    <x v="35"/>
    <x v="15"/>
    <x v="5"/>
    <x v="5"/>
  </r>
  <r>
    <x v="759"/>
    <x v="1"/>
    <x v="61"/>
    <x v="1"/>
    <x v="4"/>
    <x v="1"/>
    <x v="13"/>
    <x v="54"/>
    <x v="1"/>
    <x v="1"/>
  </r>
  <r>
    <x v="760"/>
    <x v="0"/>
    <x v="52"/>
    <x v="0"/>
    <x v="28"/>
    <x v="1"/>
    <x v="192"/>
    <x v="45"/>
    <x v="1"/>
    <x v="1"/>
  </r>
  <r>
    <x v="760"/>
    <x v="1"/>
    <x v="58"/>
    <x v="1"/>
    <x v="40"/>
    <x v="0"/>
    <x v="308"/>
    <x v="51"/>
    <x v="6"/>
    <x v="6"/>
  </r>
  <r>
    <x v="761"/>
    <x v="0"/>
    <x v="48"/>
    <x v="1"/>
    <x v="26"/>
    <x v="2"/>
    <x v="162"/>
    <x v="34"/>
    <x v="3"/>
    <x v="3"/>
  </r>
  <r>
    <x v="762"/>
    <x v="0"/>
    <x v="45"/>
    <x v="0"/>
    <x v="30"/>
    <x v="1"/>
    <x v="158"/>
    <x v="39"/>
    <x v="5"/>
    <x v="5"/>
  </r>
  <r>
    <x v="762"/>
    <x v="1"/>
    <x v="27"/>
    <x v="0"/>
    <x v="20"/>
    <x v="3"/>
    <x v="309"/>
    <x v="23"/>
    <x v="3"/>
    <x v="3"/>
  </r>
  <r>
    <x v="763"/>
    <x v="0"/>
    <x v="66"/>
    <x v="0"/>
    <x v="45"/>
    <x v="1"/>
    <x v="310"/>
    <x v="59"/>
    <x v="6"/>
    <x v="6"/>
  </r>
  <r>
    <x v="763"/>
    <x v="1"/>
    <x v="43"/>
    <x v="1"/>
    <x v="15"/>
    <x v="2"/>
    <x v="89"/>
    <x v="31"/>
    <x v="5"/>
    <x v="5"/>
  </r>
  <r>
    <x v="763"/>
    <x v="2"/>
    <x v="89"/>
    <x v="1"/>
    <x v="56"/>
    <x v="1"/>
    <x v="311"/>
    <x v="82"/>
    <x v="0"/>
    <x v="0"/>
  </r>
  <r>
    <x v="764"/>
    <x v="0"/>
    <x v="76"/>
    <x v="1"/>
    <x v="50"/>
    <x v="0"/>
    <x v="312"/>
    <x v="69"/>
    <x v="1"/>
    <x v="1"/>
  </r>
  <r>
    <x v="764"/>
    <x v="1"/>
    <x v="10"/>
    <x v="0"/>
    <x v="8"/>
    <x v="1"/>
    <x v="77"/>
    <x v="9"/>
    <x v="0"/>
    <x v="0"/>
  </r>
  <r>
    <x v="764"/>
    <x v="2"/>
    <x v="22"/>
    <x v="0"/>
    <x v="17"/>
    <x v="0"/>
    <x v="76"/>
    <x v="19"/>
    <x v="3"/>
    <x v="3"/>
  </r>
  <r>
    <x v="764"/>
    <x v="3"/>
    <x v="29"/>
    <x v="0"/>
    <x v="5"/>
    <x v="0"/>
    <x v="56"/>
    <x v="25"/>
    <x v="6"/>
    <x v="6"/>
  </r>
  <r>
    <x v="764"/>
    <x v="4"/>
    <x v="105"/>
    <x v="0"/>
    <x v="63"/>
    <x v="2"/>
    <x v="313"/>
    <x v="97"/>
    <x v="0"/>
    <x v="0"/>
  </r>
  <r>
    <x v="765"/>
    <x v="0"/>
    <x v="103"/>
    <x v="0"/>
    <x v="38"/>
    <x v="0"/>
    <x v="314"/>
    <x v="95"/>
    <x v="3"/>
    <x v="3"/>
  </r>
  <r>
    <x v="766"/>
    <x v="0"/>
    <x v="65"/>
    <x v="0"/>
    <x v="25"/>
    <x v="3"/>
    <x v="315"/>
    <x v="58"/>
    <x v="2"/>
    <x v="2"/>
  </r>
  <r>
    <x v="766"/>
    <x v="1"/>
    <x v="61"/>
    <x v="0"/>
    <x v="4"/>
    <x v="1"/>
    <x v="133"/>
    <x v="54"/>
    <x v="1"/>
    <x v="1"/>
  </r>
  <r>
    <x v="766"/>
    <x v="2"/>
    <x v="67"/>
    <x v="1"/>
    <x v="46"/>
    <x v="2"/>
    <x v="185"/>
    <x v="60"/>
    <x v="1"/>
    <x v="1"/>
  </r>
  <r>
    <x v="766"/>
    <x v="3"/>
    <x v="104"/>
    <x v="1"/>
    <x v="62"/>
    <x v="2"/>
    <x v="316"/>
    <x v="96"/>
    <x v="0"/>
    <x v="0"/>
  </r>
  <r>
    <x v="767"/>
    <x v="0"/>
    <x v="93"/>
    <x v="0"/>
    <x v="58"/>
    <x v="0"/>
    <x v="246"/>
    <x v="85"/>
    <x v="1"/>
    <x v="1"/>
  </r>
  <r>
    <x v="767"/>
    <x v="1"/>
    <x v="35"/>
    <x v="0"/>
    <x v="15"/>
    <x v="0"/>
    <x v="122"/>
    <x v="31"/>
    <x v="0"/>
    <x v="0"/>
  </r>
  <r>
    <x v="768"/>
    <x v="0"/>
    <x v="1"/>
    <x v="0"/>
    <x v="1"/>
    <x v="3"/>
    <x v="112"/>
    <x v="1"/>
    <x v="1"/>
    <x v="1"/>
  </r>
  <r>
    <x v="768"/>
    <x v="1"/>
    <x v="18"/>
    <x v="1"/>
    <x v="14"/>
    <x v="2"/>
    <x v="124"/>
    <x v="16"/>
    <x v="1"/>
    <x v="1"/>
  </r>
  <r>
    <x v="768"/>
    <x v="2"/>
    <x v="107"/>
    <x v="1"/>
    <x v="61"/>
    <x v="1"/>
    <x v="317"/>
    <x v="99"/>
    <x v="1"/>
    <x v="1"/>
  </r>
  <r>
    <x v="769"/>
    <x v="0"/>
    <x v="55"/>
    <x v="0"/>
    <x v="38"/>
    <x v="2"/>
    <x v="318"/>
    <x v="48"/>
    <x v="3"/>
    <x v="3"/>
  </r>
  <r>
    <x v="769"/>
    <x v="1"/>
    <x v="41"/>
    <x v="0"/>
    <x v="27"/>
    <x v="0"/>
    <x v="319"/>
    <x v="36"/>
    <x v="1"/>
    <x v="1"/>
  </r>
  <r>
    <x v="769"/>
    <x v="2"/>
    <x v="27"/>
    <x v="0"/>
    <x v="20"/>
    <x v="0"/>
    <x v="320"/>
    <x v="23"/>
    <x v="3"/>
    <x v="3"/>
  </r>
  <r>
    <x v="769"/>
    <x v="3"/>
    <x v="16"/>
    <x v="1"/>
    <x v="13"/>
    <x v="2"/>
    <x v="67"/>
    <x v="14"/>
    <x v="2"/>
    <x v="2"/>
  </r>
  <r>
    <x v="770"/>
    <x v="0"/>
    <x v="17"/>
    <x v="1"/>
    <x v="11"/>
    <x v="0"/>
    <x v="78"/>
    <x v="15"/>
    <x v="0"/>
    <x v="0"/>
  </r>
  <r>
    <x v="770"/>
    <x v="1"/>
    <x v="54"/>
    <x v="0"/>
    <x v="37"/>
    <x v="0"/>
    <x v="321"/>
    <x v="47"/>
    <x v="5"/>
    <x v="5"/>
  </r>
  <r>
    <x v="771"/>
    <x v="0"/>
    <x v="27"/>
    <x v="0"/>
    <x v="20"/>
    <x v="1"/>
    <x v="322"/>
    <x v="23"/>
    <x v="3"/>
    <x v="3"/>
  </r>
  <r>
    <x v="772"/>
    <x v="0"/>
    <x v="102"/>
    <x v="0"/>
    <x v="30"/>
    <x v="3"/>
    <x v="276"/>
    <x v="94"/>
    <x v="5"/>
    <x v="5"/>
  </r>
  <r>
    <x v="772"/>
    <x v="1"/>
    <x v="15"/>
    <x v="0"/>
    <x v="11"/>
    <x v="2"/>
    <x v="18"/>
    <x v="12"/>
    <x v="0"/>
    <x v="0"/>
  </r>
  <r>
    <x v="772"/>
    <x v="2"/>
    <x v="7"/>
    <x v="1"/>
    <x v="6"/>
    <x v="0"/>
    <x v="71"/>
    <x v="7"/>
    <x v="0"/>
    <x v="0"/>
  </r>
  <r>
    <x v="772"/>
    <x v="3"/>
    <x v="57"/>
    <x v="1"/>
    <x v="14"/>
    <x v="1"/>
    <x v="138"/>
    <x v="50"/>
    <x v="1"/>
    <x v="1"/>
  </r>
  <r>
    <x v="773"/>
    <x v="0"/>
    <x v="105"/>
    <x v="0"/>
    <x v="63"/>
    <x v="2"/>
    <x v="313"/>
    <x v="97"/>
    <x v="0"/>
    <x v="0"/>
  </r>
  <r>
    <x v="773"/>
    <x v="1"/>
    <x v="107"/>
    <x v="1"/>
    <x v="61"/>
    <x v="2"/>
    <x v="323"/>
    <x v="99"/>
    <x v="1"/>
    <x v="1"/>
  </r>
  <r>
    <x v="773"/>
    <x v="2"/>
    <x v="0"/>
    <x v="0"/>
    <x v="0"/>
    <x v="0"/>
    <x v="0"/>
    <x v="0"/>
    <x v="0"/>
    <x v="0"/>
  </r>
  <r>
    <x v="773"/>
    <x v="3"/>
    <x v="30"/>
    <x v="0"/>
    <x v="5"/>
    <x v="2"/>
    <x v="132"/>
    <x v="26"/>
    <x v="0"/>
    <x v="0"/>
  </r>
  <r>
    <x v="773"/>
    <x v="4"/>
    <x v="71"/>
    <x v="1"/>
    <x v="23"/>
    <x v="3"/>
    <x v="149"/>
    <x v="64"/>
    <x v="6"/>
    <x v="6"/>
  </r>
  <r>
    <x v="774"/>
    <x v="0"/>
    <x v="62"/>
    <x v="0"/>
    <x v="42"/>
    <x v="1"/>
    <x v="245"/>
    <x v="55"/>
    <x v="1"/>
    <x v="1"/>
  </r>
  <r>
    <x v="775"/>
    <x v="0"/>
    <x v="76"/>
    <x v="0"/>
    <x v="50"/>
    <x v="0"/>
    <x v="324"/>
    <x v="69"/>
    <x v="1"/>
    <x v="1"/>
  </r>
  <r>
    <x v="775"/>
    <x v="1"/>
    <x v="41"/>
    <x v="1"/>
    <x v="27"/>
    <x v="0"/>
    <x v="194"/>
    <x v="36"/>
    <x v="1"/>
    <x v="1"/>
  </r>
  <r>
    <x v="775"/>
    <x v="2"/>
    <x v="68"/>
    <x v="0"/>
    <x v="24"/>
    <x v="3"/>
    <x v="325"/>
    <x v="61"/>
    <x v="0"/>
    <x v="0"/>
  </r>
  <r>
    <x v="775"/>
    <x v="3"/>
    <x v="100"/>
    <x v="0"/>
    <x v="61"/>
    <x v="3"/>
    <x v="326"/>
    <x v="92"/>
    <x v="1"/>
    <x v="1"/>
  </r>
  <r>
    <x v="776"/>
    <x v="0"/>
    <x v="21"/>
    <x v="0"/>
    <x v="16"/>
    <x v="0"/>
    <x v="58"/>
    <x v="18"/>
    <x v="1"/>
    <x v="1"/>
  </r>
  <r>
    <x v="776"/>
    <x v="1"/>
    <x v="14"/>
    <x v="1"/>
    <x v="12"/>
    <x v="0"/>
    <x v="61"/>
    <x v="13"/>
    <x v="1"/>
    <x v="1"/>
  </r>
  <r>
    <x v="776"/>
    <x v="2"/>
    <x v="6"/>
    <x v="0"/>
    <x v="5"/>
    <x v="0"/>
    <x v="56"/>
    <x v="6"/>
    <x v="1"/>
    <x v="1"/>
  </r>
  <r>
    <x v="777"/>
    <x v="0"/>
    <x v="38"/>
    <x v="0"/>
    <x v="26"/>
    <x v="3"/>
    <x v="164"/>
    <x v="34"/>
    <x v="0"/>
    <x v="0"/>
  </r>
  <r>
    <x v="777"/>
    <x v="1"/>
    <x v="25"/>
    <x v="0"/>
    <x v="18"/>
    <x v="2"/>
    <x v="161"/>
    <x v="21"/>
    <x v="5"/>
    <x v="5"/>
  </r>
  <r>
    <x v="778"/>
    <x v="0"/>
    <x v="70"/>
    <x v="0"/>
    <x v="48"/>
    <x v="2"/>
    <x v="327"/>
    <x v="63"/>
    <x v="5"/>
    <x v="5"/>
  </r>
  <r>
    <x v="778"/>
    <x v="1"/>
    <x v="45"/>
    <x v="1"/>
    <x v="30"/>
    <x v="0"/>
    <x v="266"/>
    <x v="39"/>
    <x v="5"/>
    <x v="5"/>
  </r>
  <r>
    <x v="778"/>
    <x v="2"/>
    <x v="42"/>
    <x v="0"/>
    <x v="28"/>
    <x v="0"/>
    <x v="328"/>
    <x v="37"/>
    <x v="1"/>
    <x v="1"/>
  </r>
  <r>
    <x v="778"/>
    <x v="3"/>
    <x v="1"/>
    <x v="0"/>
    <x v="1"/>
    <x v="0"/>
    <x v="34"/>
    <x v="1"/>
    <x v="1"/>
    <x v="1"/>
  </r>
  <r>
    <x v="778"/>
    <x v="4"/>
    <x v="25"/>
    <x v="0"/>
    <x v="18"/>
    <x v="0"/>
    <x v="329"/>
    <x v="21"/>
    <x v="5"/>
    <x v="5"/>
  </r>
  <r>
    <x v="779"/>
    <x v="0"/>
    <x v="33"/>
    <x v="0"/>
    <x v="14"/>
    <x v="3"/>
    <x v="107"/>
    <x v="29"/>
    <x v="1"/>
    <x v="1"/>
  </r>
  <r>
    <x v="780"/>
    <x v="0"/>
    <x v="36"/>
    <x v="1"/>
    <x v="24"/>
    <x v="2"/>
    <x v="293"/>
    <x v="32"/>
    <x v="3"/>
    <x v="3"/>
  </r>
  <r>
    <x v="780"/>
    <x v="1"/>
    <x v="14"/>
    <x v="1"/>
    <x v="12"/>
    <x v="0"/>
    <x v="61"/>
    <x v="13"/>
    <x v="1"/>
    <x v="1"/>
  </r>
  <r>
    <x v="780"/>
    <x v="2"/>
    <x v="94"/>
    <x v="1"/>
    <x v="59"/>
    <x v="3"/>
    <x v="305"/>
    <x v="86"/>
    <x v="6"/>
    <x v="6"/>
  </r>
  <r>
    <x v="781"/>
    <x v="0"/>
    <x v="0"/>
    <x v="1"/>
    <x v="0"/>
    <x v="1"/>
    <x v="19"/>
    <x v="0"/>
    <x v="0"/>
    <x v="0"/>
  </r>
  <r>
    <x v="781"/>
    <x v="1"/>
    <x v="94"/>
    <x v="0"/>
    <x v="59"/>
    <x v="1"/>
    <x v="330"/>
    <x v="86"/>
    <x v="6"/>
    <x v="6"/>
  </r>
  <r>
    <x v="781"/>
    <x v="2"/>
    <x v="40"/>
    <x v="0"/>
    <x v="15"/>
    <x v="1"/>
    <x v="75"/>
    <x v="35"/>
    <x v="5"/>
    <x v="5"/>
  </r>
  <r>
    <x v="781"/>
    <x v="3"/>
    <x v="3"/>
    <x v="1"/>
    <x v="0"/>
    <x v="0"/>
    <x v="24"/>
    <x v="3"/>
    <x v="0"/>
    <x v="0"/>
  </r>
  <r>
    <x v="782"/>
    <x v="0"/>
    <x v="102"/>
    <x v="0"/>
    <x v="30"/>
    <x v="0"/>
    <x v="269"/>
    <x v="94"/>
    <x v="5"/>
    <x v="5"/>
  </r>
  <r>
    <x v="782"/>
    <x v="1"/>
    <x v="13"/>
    <x v="1"/>
    <x v="11"/>
    <x v="2"/>
    <x v="64"/>
    <x v="12"/>
    <x v="5"/>
    <x v="5"/>
  </r>
  <r>
    <x v="782"/>
    <x v="2"/>
    <x v="49"/>
    <x v="0"/>
    <x v="33"/>
    <x v="2"/>
    <x v="186"/>
    <x v="42"/>
    <x v="5"/>
    <x v="5"/>
  </r>
  <r>
    <x v="782"/>
    <x v="3"/>
    <x v="61"/>
    <x v="0"/>
    <x v="4"/>
    <x v="3"/>
    <x v="16"/>
    <x v="54"/>
    <x v="1"/>
    <x v="1"/>
  </r>
  <r>
    <x v="783"/>
    <x v="0"/>
    <x v="13"/>
    <x v="0"/>
    <x v="11"/>
    <x v="1"/>
    <x v="36"/>
    <x v="12"/>
    <x v="5"/>
    <x v="5"/>
  </r>
  <r>
    <x v="783"/>
    <x v="1"/>
    <x v="31"/>
    <x v="1"/>
    <x v="22"/>
    <x v="3"/>
    <x v="331"/>
    <x v="27"/>
    <x v="0"/>
    <x v="0"/>
  </r>
  <r>
    <x v="783"/>
    <x v="2"/>
    <x v="3"/>
    <x v="0"/>
    <x v="0"/>
    <x v="0"/>
    <x v="0"/>
    <x v="3"/>
    <x v="0"/>
    <x v="0"/>
  </r>
  <r>
    <x v="784"/>
    <x v="0"/>
    <x v="64"/>
    <x v="1"/>
    <x v="44"/>
    <x v="0"/>
    <x v="332"/>
    <x v="57"/>
    <x v="6"/>
    <x v="6"/>
  </r>
  <r>
    <x v="784"/>
    <x v="1"/>
    <x v="95"/>
    <x v="0"/>
    <x v="23"/>
    <x v="1"/>
    <x v="193"/>
    <x v="87"/>
    <x v="1"/>
    <x v="1"/>
  </r>
  <r>
    <x v="784"/>
    <x v="2"/>
    <x v="22"/>
    <x v="0"/>
    <x v="17"/>
    <x v="1"/>
    <x v="88"/>
    <x v="19"/>
    <x v="3"/>
    <x v="3"/>
  </r>
  <r>
    <x v="785"/>
    <x v="0"/>
    <x v="53"/>
    <x v="0"/>
    <x v="36"/>
    <x v="2"/>
    <x v="294"/>
    <x v="46"/>
    <x v="0"/>
    <x v="0"/>
  </r>
  <r>
    <x v="786"/>
    <x v="0"/>
    <x v="80"/>
    <x v="1"/>
    <x v="53"/>
    <x v="1"/>
    <x v="208"/>
    <x v="73"/>
    <x v="6"/>
    <x v="6"/>
  </r>
  <r>
    <x v="786"/>
    <x v="1"/>
    <x v="82"/>
    <x v="1"/>
    <x v="34"/>
    <x v="3"/>
    <x v="333"/>
    <x v="75"/>
    <x v="0"/>
    <x v="0"/>
  </r>
  <r>
    <x v="787"/>
    <x v="0"/>
    <x v="74"/>
    <x v="0"/>
    <x v="42"/>
    <x v="0"/>
    <x v="224"/>
    <x v="67"/>
    <x v="6"/>
    <x v="6"/>
  </r>
  <r>
    <x v="787"/>
    <x v="1"/>
    <x v="23"/>
    <x v="0"/>
    <x v="7"/>
    <x v="3"/>
    <x v="65"/>
    <x v="20"/>
    <x v="0"/>
    <x v="0"/>
  </r>
  <r>
    <x v="787"/>
    <x v="2"/>
    <x v="17"/>
    <x v="0"/>
    <x v="11"/>
    <x v="2"/>
    <x v="18"/>
    <x v="15"/>
    <x v="0"/>
    <x v="0"/>
  </r>
  <r>
    <x v="788"/>
    <x v="0"/>
    <x v="96"/>
    <x v="1"/>
    <x v="26"/>
    <x v="0"/>
    <x v="195"/>
    <x v="88"/>
    <x v="5"/>
    <x v="5"/>
  </r>
  <r>
    <x v="788"/>
    <x v="1"/>
    <x v="101"/>
    <x v="1"/>
    <x v="30"/>
    <x v="1"/>
    <x v="268"/>
    <x v="93"/>
    <x v="5"/>
    <x v="5"/>
  </r>
  <r>
    <x v="789"/>
    <x v="0"/>
    <x v="37"/>
    <x v="1"/>
    <x v="25"/>
    <x v="1"/>
    <x v="182"/>
    <x v="33"/>
    <x v="2"/>
    <x v="2"/>
  </r>
  <r>
    <x v="789"/>
    <x v="1"/>
    <x v="87"/>
    <x v="0"/>
    <x v="29"/>
    <x v="3"/>
    <x v="283"/>
    <x v="80"/>
    <x v="5"/>
    <x v="5"/>
  </r>
  <r>
    <x v="790"/>
    <x v="0"/>
    <x v="59"/>
    <x v="0"/>
    <x v="41"/>
    <x v="0"/>
    <x v="334"/>
    <x v="52"/>
    <x v="6"/>
    <x v="6"/>
  </r>
  <r>
    <x v="790"/>
    <x v="1"/>
    <x v="22"/>
    <x v="1"/>
    <x v="17"/>
    <x v="1"/>
    <x v="85"/>
    <x v="19"/>
    <x v="3"/>
    <x v="3"/>
  </r>
  <r>
    <x v="791"/>
    <x v="0"/>
    <x v="3"/>
    <x v="1"/>
    <x v="0"/>
    <x v="0"/>
    <x v="24"/>
    <x v="3"/>
    <x v="0"/>
    <x v="0"/>
  </r>
  <r>
    <x v="791"/>
    <x v="1"/>
    <x v="62"/>
    <x v="0"/>
    <x v="42"/>
    <x v="0"/>
    <x v="224"/>
    <x v="55"/>
    <x v="1"/>
    <x v="1"/>
  </r>
  <r>
    <x v="791"/>
    <x v="2"/>
    <x v="28"/>
    <x v="0"/>
    <x v="21"/>
    <x v="0"/>
    <x v="147"/>
    <x v="24"/>
    <x v="6"/>
    <x v="6"/>
  </r>
  <r>
    <x v="791"/>
    <x v="3"/>
    <x v="34"/>
    <x v="0"/>
    <x v="4"/>
    <x v="2"/>
    <x v="6"/>
    <x v="30"/>
    <x v="1"/>
    <x v="1"/>
  </r>
  <r>
    <x v="791"/>
    <x v="4"/>
    <x v="6"/>
    <x v="0"/>
    <x v="5"/>
    <x v="0"/>
    <x v="56"/>
    <x v="6"/>
    <x v="1"/>
    <x v="1"/>
  </r>
  <r>
    <x v="792"/>
    <x v="0"/>
    <x v="91"/>
    <x v="0"/>
    <x v="57"/>
    <x v="2"/>
    <x v="335"/>
    <x v="84"/>
    <x v="4"/>
    <x v="4"/>
  </r>
  <r>
    <x v="792"/>
    <x v="1"/>
    <x v="43"/>
    <x v="1"/>
    <x v="15"/>
    <x v="2"/>
    <x v="89"/>
    <x v="31"/>
    <x v="5"/>
    <x v="5"/>
  </r>
  <r>
    <x v="792"/>
    <x v="2"/>
    <x v="85"/>
    <x v="1"/>
    <x v="0"/>
    <x v="2"/>
    <x v="3"/>
    <x v="78"/>
    <x v="0"/>
    <x v="0"/>
  </r>
  <r>
    <x v="793"/>
    <x v="0"/>
    <x v="67"/>
    <x v="1"/>
    <x v="46"/>
    <x v="2"/>
    <x v="185"/>
    <x v="60"/>
    <x v="1"/>
    <x v="1"/>
  </r>
  <r>
    <x v="793"/>
    <x v="1"/>
    <x v="39"/>
    <x v="0"/>
    <x v="19"/>
    <x v="0"/>
    <x v="188"/>
    <x v="22"/>
    <x v="0"/>
    <x v="0"/>
  </r>
  <r>
    <x v="793"/>
    <x v="2"/>
    <x v="7"/>
    <x v="0"/>
    <x v="6"/>
    <x v="1"/>
    <x v="9"/>
    <x v="7"/>
    <x v="0"/>
    <x v="0"/>
  </r>
  <r>
    <x v="793"/>
    <x v="3"/>
    <x v="76"/>
    <x v="0"/>
    <x v="50"/>
    <x v="3"/>
    <x v="336"/>
    <x v="69"/>
    <x v="1"/>
    <x v="1"/>
  </r>
  <r>
    <x v="794"/>
    <x v="0"/>
    <x v="43"/>
    <x v="1"/>
    <x v="15"/>
    <x v="2"/>
    <x v="89"/>
    <x v="31"/>
    <x v="5"/>
    <x v="5"/>
  </r>
  <r>
    <x v="794"/>
    <x v="1"/>
    <x v="40"/>
    <x v="1"/>
    <x v="15"/>
    <x v="2"/>
    <x v="89"/>
    <x v="35"/>
    <x v="5"/>
    <x v="5"/>
  </r>
  <r>
    <x v="795"/>
    <x v="0"/>
    <x v="18"/>
    <x v="1"/>
    <x v="14"/>
    <x v="0"/>
    <x v="117"/>
    <x v="16"/>
    <x v="1"/>
    <x v="1"/>
  </r>
  <r>
    <x v="796"/>
    <x v="0"/>
    <x v="16"/>
    <x v="0"/>
    <x v="13"/>
    <x v="1"/>
    <x v="142"/>
    <x v="14"/>
    <x v="2"/>
    <x v="2"/>
  </r>
  <r>
    <x v="796"/>
    <x v="1"/>
    <x v="79"/>
    <x v="0"/>
    <x v="24"/>
    <x v="2"/>
    <x v="205"/>
    <x v="72"/>
    <x v="0"/>
    <x v="0"/>
  </r>
  <r>
    <x v="796"/>
    <x v="2"/>
    <x v="51"/>
    <x v="0"/>
    <x v="35"/>
    <x v="3"/>
    <x v="337"/>
    <x v="44"/>
    <x v="0"/>
    <x v="0"/>
  </r>
  <r>
    <x v="796"/>
    <x v="3"/>
    <x v="59"/>
    <x v="1"/>
    <x v="41"/>
    <x v="2"/>
    <x v="176"/>
    <x v="52"/>
    <x v="6"/>
    <x v="6"/>
  </r>
  <r>
    <x v="796"/>
    <x v="4"/>
    <x v="37"/>
    <x v="1"/>
    <x v="25"/>
    <x v="3"/>
    <x v="279"/>
    <x v="33"/>
    <x v="2"/>
    <x v="2"/>
  </r>
  <r>
    <x v="797"/>
    <x v="0"/>
    <x v="19"/>
    <x v="0"/>
    <x v="15"/>
    <x v="3"/>
    <x v="37"/>
    <x v="17"/>
    <x v="5"/>
    <x v="5"/>
  </r>
  <r>
    <x v="797"/>
    <x v="1"/>
    <x v="45"/>
    <x v="0"/>
    <x v="30"/>
    <x v="2"/>
    <x v="338"/>
    <x v="39"/>
    <x v="5"/>
    <x v="5"/>
  </r>
  <r>
    <x v="797"/>
    <x v="2"/>
    <x v="87"/>
    <x v="1"/>
    <x v="29"/>
    <x v="1"/>
    <x v="172"/>
    <x v="80"/>
    <x v="5"/>
    <x v="5"/>
  </r>
  <r>
    <x v="797"/>
    <x v="3"/>
    <x v="41"/>
    <x v="0"/>
    <x v="27"/>
    <x v="0"/>
    <x v="319"/>
    <x v="36"/>
    <x v="1"/>
    <x v="1"/>
  </r>
  <r>
    <x v="797"/>
    <x v="4"/>
    <x v="8"/>
    <x v="1"/>
    <x v="0"/>
    <x v="2"/>
    <x v="3"/>
    <x v="3"/>
    <x v="3"/>
    <x v="3"/>
  </r>
  <r>
    <x v="798"/>
    <x v="0"/>
    <x v="21"/>
    <x v="1"/>
    <x v="16"/>
    <x v="3"/>
    <x v="87"/>
    <x v="18"/>
    <x v="1"/>
    <x v="1"/>
  </r>
  <r>
    <x v="798"/>
    <x v="1"/>
    <x v="98"/>
    <x v="1"/>
    <x v="14"/>
    <x v="2"/>
    <x v="124"/>
    <x v="90"/>
    <x v="1"/>
    <x v="1"/>
  </r>
  <r>
    <x v="798"/>
    <x v="2"/>
    <x v="61"/>
    <x v="1"/>
    <x v="4"/>
    <x v="1"/>
    <x v="13"/>
    <x v="54"/>
    <x v="1"/>
    <x v="1"/>
  </r>
  <r>
    <x v="798"/>
    <x v="3"/>
    <x v="65"/>
    <x v="0"/>
    <x v="25"/>
    <x v="3"/>
    <x v="315"/>
    <x v="58"/>
    <x v="2"/>
    <x v="2"/>
  </r>
  <r>
    <x v="798"/>
    <x v="4"/>
    <x v="71"/>
    <x v="1"/>
    <x v="23"/>
    <x v="1"/>
    <x v="179"/>
    <x v="64"/>
    <x v="6"/>
    <x v="6"/>
  </r>
  <r>
    <x v="799"/>
    <x v="0"/>
    <x v="105"/>
    <x v="1"/>
    <x v="63"/>
    <x v="3"/>
    <x v="287"/>
    <x v="97"/>
    <x v="0"/>
    <x v="0"/>
  </r>
  <r>
    <x v="799"/>
    <x v="1"/>
    <x v="59"/>
    <x v="0"/>
    <x v="41"/>
    <x v="1"/>
    <x v="339"/>
    <x v="52"/>
    <x v="6"/>
    <x v="6"/>
  </r>
  <r>
    <x v="799"/>
    <x v="2"/>
    <x v="18"/>
    <x v="1"/>
    <x v="14"/>
    <x v="2"/>
    <x v="124"/>
    <x v="16"/>
    <x v="1"/>
    <x v="1"/>
  </r>
  <r>
    <x v="799"/>
    <x v="3"/>
    <x v="58"/>
    <x v="0"/>
    <x v="40"/>
    <x v="3"/>
    <x v="340"/>
    <x v="51"/>
    <x v="6"/>
    <x v="6"/>
  </r>
  <r>
    <x v="799"/>
    <x v="4"/>
    <x v="43"/>
    <x v="1"/>
    <x v="15"/>
    <x v="2"/>
    <x v="89"/>
    <x v="31"/>
    <x v="5"/>
    <x v="5"/>
  </r>
  <r>
    <x v="800"/>
    <x v="0"/>
    <x v="70"/>
    <x v="0"/>
    <x v="48"/>
    <x v="1"/>
    <x v="341"/>
    <x v="63"/>
    <x v="5"/>
    <x v="5"/>
  </r>
  <r>
    <x v="801"/>
    <x v="0"/>
    <x v="34"/>
    <x v="0"/>
    <x v="4"/>
    <x v="2"/>
    <x v="6"/>
    <x v="30"/>
    <x v="1"/>
    <x v="1"/>
  </r>
  <r>
    <x v="801"/>
    <x v="1"/>
    <x v="107"/>
    <x v="1"/>
    <x v="61"/>
    <x v="0"/>
    <x v="299"/>
    <x v="99"/>
    <x v="1"/>
    <x v="1"/>
  </r>
  <r>
    <x v="801"/>
    <x v="2"/>
    <x v="95"/>
    <x v="0"/>
    <x v="23"/>
    <x v="3"/>
    <x v="253"/>
    <x v="87"/>
    <x v="1"/>
    <x v="1"/>
  </r>
  <r>
    <x v="801"/>
    <x v="3"/>
    <x v="76"/>
    <x v="0"/>
    <x v="50"/>
    <x v="2"/>
    <x v="261"/>
    <x v="69"/>
    <x v="1"/>
    <x v="1"/>
  </r>
  <r>
    <x v="802"/>
    <x v="0"/>
    <x v="103"/>
    <x v="0"/>
    <x v="38"/>
    <x v="1"/>
    <x v="271"/>
    <x v="95"/>
    <x v="3"/>
    <x v="3"/>
  </r>
  <r>
    <x v="802"/>
    <x v="1"/>
    <x v="58"/>
    <x v="1"/>
    <x v="40"/>
    <x v="2"/>
    <x v="217"/>
    <x v="51"/>
    <x v="6"/>
    <x v="6"/>
  </r>
  <r>
    <x v="802"/>
    <x v="2"/>
    <x v="48"/>
    <x v="0"/>
    <x v="26"/>
    <x v="1"/>
    <x v="255"/>
    <x v="34"/>
    <x v="3"/>
    <x v="3"/>
  </r>
  <r>
    <x v="802"/>
    <x v="3"/>
    <x v="56"/>
    <x v="1"/>
    <x v="39"/>
    <x v="2"/>
    <x v="219"/>
    <x v="49"/>
    <x v="5"/>
    <x v="5"/>
  </r>
  <r>
    <x v="803"/>
    <x v="0"/>
    <x v="84"/>
    <x v="1"/>
    <x v="30"/>
    <x v="0"/>
    <x v="266"/>
    <x v="77"/>
    <x v="5"/>
    <x v="5"/>
  </r>
  <r>
    <x v="803"/>
    <x v="1"/>
    <x v="29"/>
    <x v="0"/>
    <x v="5"/>
    <x v="1"/>
    <x v="116"/>
    <x v="25"/>
    <x v="6"/>
    <x v="6"/>
  </r>
  <r>
    <x v="803"/>
    <x v="2"/>
    <x v="69"/>
    <x v="1"/>
    <x v="47"/>
    <x v="2"/>
    <x v="342"/>
    <x v="62"/>
    <x v="6"/>
    <x v="6"/>
  </r>
  <r>
    <x v="804"/>
    <x v="0"/>
    <x v="24"/>
    <x v="0"/>
    <x v="8"/>
    <x v="2"/>
    <x v="101"/>
    <x v="9"/>
    <x v="3"/>
    <x v="3"/>
  </r>
  <r>
    <x v="804"/>
    <x v="1"/>
    <x v="57"/>
    <x v="1"/>
    <x v="14"/>
    <x v="0"/>
    <x v="117"/>
    <x v="50"/>
    <x v="1"/>
    <x v="1"/>
  </r>
  <r>
    <x v="804"/>
    <x v="2"/>
    <x v="37"/>
    <x v="1"/>
    <x v="25"/>
    <x v="0"/>
    <x v="165"/>
    <x v="33"/>
    <x v="2"/>
    <x v="2"/>
  </r>
  <r>
    <x v="804"/>
    <x v="3"/>
    <x v="33"/>
    <x v="0"/>
    <x v="14"/>
    <x v="1"/>
    <x v="29"/>
    <x v="29"/>
    <x v="1"/>
    <x v="1"/>
  </r>
  <r>
    <x v="804"/>
    <x v="4"/>
    <x v="18"/>
    <x v="1"/>
    <x v="14"/>
    <x v="2"/>
    <x v="124"/>
    <x v="16"/>
    <x v="1"/>
    <x v="1"/>
  </r>
  <r>
    <x v="805"/>
    <x v="0"/>
    <x v="101"/>
    <x v="1"/>
    <x v="30"/>
    <x v="3"/>
    <x v="343"/>
    <x v="93"/>
    <x v="5"/>
    <x v="5"/>
  </r>
  <r>
    <x v="805"/>
    <x v="1"/>
    <x v="44"/>
    <x v="0"/>
    <x v="29"/>
    <x v="0"/>
    <x v="344"/>
    <x v="38"/>
    <x v="5"/>
    <x v="5"/>
  </r>
  <r>
    <x v="805"/>
    <x v="2"/>
    <x v="104"/>
    <x v="1"/>
    <x v="62"/>
    <x v="3"/>
    <x v="345"/>
    <x v="96"/>
    <x v="0"/>
    <x v="0"/>
  </r>
  <r>
    <x v="805"/>
    <x v="3"/>
    <x v="90"/>
    <x v="1"/>
    <x v="43"/>
    <x v="0"/>
    <x v="247"/>
    <x v="83"/>
    <x v="0"/>
    <x v="0"/>
  </r>
  <r>
    <x v="805"/>
    <x v="4"/>
    <x v="87"/>
    <x v="1"/>
    <x v="29"/>
    <x v="1"/>
    <x v="172"/>
    <x v="80"/>
    <x v="5"/>
    <x v="5"/>
  </r>
  <r>
    <x v="806"/>
    <x v="0"/>
    <x v="20"/>
    <x v="1"/>
    <x v="11"/>
    <x v="0"/>
    <x v="78"/>
    <x v="15"/>
    <x v="5"/>
    <x v="5"/>
  </r>
  <r>
    <x v="806"/>
    <x v="1"/>
    <x v="18"/>
    <x v="0"/>
    <x v="14"/>
    <x v="1"/>
    <x v="29"/>
    <x v="16"/>
    <x v="1"/>
    <x v="1"/>
  </r>
  <r>
    <x v="806"/>
    <x v="2"/>
    <x v="5"/>
    <x v="1"/>
    <x v="4"/>
    <x v="1"/>
    <x v="13"/>
    <x v="5"/>
    <x v="1"/>
    <x v="1"/>
  </r>
  <r>
    <x v="806"/>
    <x v="3"/>
    <x v="11"/>
    <x v="1"/>
    <x v="9"/>
    <x v="0"/>
    <x v="44"/>
    <x v="10"/>
    <x v="4"/>
    <x v="4"/>
  </r>
  <r>
    <x v="806"/>
    <x v="4"/>
    <x v="3"/>
    <x v="0"/>
    <x v="0"/>
    <x v="0"/>
    <x v="0"/>
    <x v="3"/>
    <x v="0"/>
    <x v="0"/>
  </r>
  <r>
    <x v="807"/>
    <x v="0"/>
    <x v="81"/>
    <x v="1"/>
    <x v="29"/>
    <x v="2"/>
    <x v="215"/>
    <x v="74"/>
    <x v="5"/>
    <x v="5"/>
  </r>
  <r>
    <x v="807"/>
    <x v="1"/>
    <x v="9"/>
    <x v="0"/>
    <x v="7"/>
    <x v="2"/>
    <x v="72"/>
    <x v="8"/>
    <x v="0"/>
    <x v="0"/>
  </r>
  <r>
    <x v="807"/>
    <x v="2"/>
    <x v="25"/>
    <x v="0"/>
    <x v="18"/>
    <x v="2"/>
    <x v="161"/>
    <x v="21"/>
    <x v="5"/>
    <x v="5"/>
  </r>
  <r>
    <x v="807"/>
    <x v="3"/>
    <x v="23"/>
    <x v="1"/>
    <x v="7"/>
    <x v="2"/>
    <x v="32"/>
    <x v="20"/>
    <x v="0"/>
    <x v="0"/>
  </r>
  <r>
    <x v="808"/>
    <x v="0"/>
    <x v="46"/>
    <x v="0"/>
    <x v="31"/>
    <x v="3"/>
    <x v="295"/>
    <x v="40"/>
    <x v="0"/>
    <x v="0"/>
  </r>
  <r>
    <x v="808"/>
    <x v="1"/>
    <x v="8"/>
    <x v="0"/>
    <x v="0"/>
    <x v="0"/>
    <x v="0"/>
    <x v="3"/>
    <x v="3"/>
    <x v="3"/>
  </r>
  <r>
    <x v="808"/>
    <x v="2"/>
    <x v="102"/>
    <x v="1"/>
    <x v="30"/>
    <x v="3"/>
    <x v="343"/>
    <x v="94"/>
    <x v="5"/>
    <x v="5"/>
  </r>
  <r>
    <x v="809"/>
    <x v="0"/>
    <x v="27"/>
    <x v="1"/>
    <x v="20"/>
    <x v="2"/>
    <x v="346"/>
    <x v="23"/>
    <x v="3"/>
    <x v="3"/>
  </r>
  <r>
    <x v="809"/>
    <x v="1"/>
    <x v="96"/>
    <x v="0"/>
    <x v="26"/>
    <x v="0"/>
    <x v="153"/>
    <x v="88"/>
    <x v="5"/>
    <x v="5"/>
  </r>
  <r>
    <x v="809"/>
    <x v="2"/>
    <x v="28"/>
    <x v="0"/>
    <x v="21"/>
    <x v="2"/>
    <x v="347"/>
    <x v="24"/>
    <x v="6"/>
    <x v="6"/>
  </r>
  <r>
    <x v="809"/>
    <x v="3"/>
    <x v="13"/>
    <x v="0"/>
    <x v="11"/>
    <x v="0"/>
    <x v="51"/>
    <x v="12"/>
    <x v="5"/>
    <x v="5"/>
  </r>
  <r>
    <x v="810"/>
    <x v="0"/>
    <x v="78"/>
    <x v="1"/>
    <x v="52"/>
    <x v="1"/>
    <x v="272"/>
    <x v="71"/>
    <x v="1"/>
    <x v="1"/>
  </r>
  <r>
    <x v="810"/>
    <x v="1"/>
    <x v="59"/>
    <x v="0"/>
    <x v="41"/>
    <x v="0"/>
    <x v="334"/>
    <x v="52"/>
    <x v="6"/>
    <x v="6"/>
  </r>
  <r>
    <x v="810"/>
    <x v="2"/>
    <x v="63"/>
    <x v="0"/>
    <x v="43"/>
    <x v="1"/>
    <x v="348"/>
    <x v="56"/>
    <x v="0"/>
    <x v="0"/>
  </r>
  <r>
    <x v="810"/>
    <x v="3"/>
    <x v="82"/>
    <x v="0"/>
    <x v="34"/>
    <x v="3"/>
    <x v="173"/>
    <x v="75"/>
    <x v="0"/>
    <x v="0"/>
  </r>
  <r>
    <x v="811"/>
    <x v="0"/>
    <x v="35"/>
    <x v="1"/>
    <x v="15"/>
    <x v="3"/>
    <x v="50"/>
    <x v="31"/>
    <x v="0"/>
    <x v="0"/>
  </r>
  <r>
    <x v="811"/>
    <x v="1"/>
    <x v="95"/>
    <x v="0"/>
    <x v="23"/>
    <x v="0"/>
    <x v="223"/>
    <x v="87"/>
    <x v="1"/>
    <x v="1"/>
  </r>
  <r>
    <x v="812"/>
    <x v="0"/>
    <x v="81"/>
    <x v="1"/>
    <x v="29"/>
    <x v="3"/>
    <x v="157"/>
    <x v="74"/>
    <x v="5"/>
    <x v="5"/>
  </r>
  <r>
    <x v="812"/>
    <x v="1"/>
    <x v="25"/>
    <x v="1"/>
    <x v="18"/>
    <x v="0"/>
    <x v="144"/>
    <x v="21"/>
    <x v="5"/>
    <x v="5"/>
  </r>
  <r>
    <x v="812"/>
    <x v="2"/>
    <x v="57"/>
    <x v="1"/>
    <x v="14"/>
    <x v="0"/>
    <x v="117"/>
    <x v="50"/>
    <x v="1"/>
    <x v="1"/>
  </r>
  <r>
    <x v="812"/>
    <x v="3"/>
    <x v="8"/>
    <x v="1"/>
    <x v="0"/>
    <x v="1"/>
    <x v="19"/>
    <x v="3"/>
    <x v="3"/>
    <x v="3"/>
  </r>
  <r>
    <x v="812"/>
    <x v="4"/>
    <x v="68"/>
    <x v="1"/>
    <x v="24"/>
    <x v="2"/>
    <x v="293"/>
    <x v="61"/>
    <x v="0"/>
    <x v="0"/>
  </r>
  <r>
    <x v="813"/>
    <x v="0"/>
    <x v="79"/>
    <x v="1"/>
    <x v="24"/>
    <x v="3"/>
    <x v="288"/>
    <x v="72"/>
    <x v="0"/>
    <x v="0"/>
  </r>
  <r>
    <x v="813"/>
    <x v="1"/>
    <x v="96"/>
    <x v="0"/>
    <x v="26"/>
    <x v="3"/>
    <x v="164"/>
    <x v="88"/>
    <x v="5"/>
    <x v="5"/>
  </r>
  <r>
    <x v="813"/>
    <x v="2"/>
    <x v="105"/>
    <x v="0"/>
    <x v="63"/>
    <x v="0"/>
    <x v="349"/>
    <x v="97"/>
    <x v="0"/>
    <x v="0"/>
  </r>
  <r>
    <x v="813"/>
    <x v="3"/>
    <x v="56"/>
    <x v="1"/>
    <x v="39"/>
    <x v="2"/>
    <x v="219"/>
    <x v="49"/>
    <x v="5"/>
    <x v="5"/>
  </r>
  <r>
    <x v="814"/>
    <x v="0"/>
    <x v="86"/>
    <x v="1"/>
    <x v="54"/>
    <x v="0"/>
    <x v="350"/>
    <x v="79"/>
    <x v="3"/>
    <x v="3"/>
  </r>
  <r>
    <x v="814"/>
    <x v="1"/>
    <x v="48"/>
    <x v="1"/>
    <x v="26"/>
    <x v="0"/>
    <x v="195"/>
    <x v="34"/>
    <x v="3"/>
    <x v="3"/>
  </r>
  <r>
    <x v="814"/>
    <x v="2"/>
    <x v="108"/>
    <x v="1"/>
    <x v="37"/>
    <x v="3"/>
    <x v="351"/>
    <x v="100"/>
    <x v="5"/>
    <x v="5"/>
  </r>
  <r>
    <x v="814"/>
    <x v="3"/>
    <x v="19"/>
    <x v="0"/>
    <x v="15"/>
    <x v="1"/>
    <x v="75"/>
    <x v="17"/>
    <x v="5"/>
    <x v="5"/>
  </r>
  <r>
    <x v="815"/>
    <x v="0"/>
    <x v="85"/>
    <x v="1"/>
    <x v="0"/>
    <x v="3"/>
    <x v="28"/>
    <x v="78"/>
    <x v="0"/>
    <x v="0"/>
  </r>
  <r>
    <x v="815"/>
    <x v="1"/>
    <x v="38"/>
    <x v="1"/>
    <x v="26"/>
    <x v="0"/>
    <x v="195"/>
    <x v="34"/>
    <x v="0"/>
    <x v="0"/>
  </r>
  <r>
    <x v="816"/>
    <x v="0"/>
    <x v="25"/>
    <x v="0"/>
    <x v="18"/>
    <x v="2"/>
    <x v="161"/>
    <x v="21"/>
    <x v="5"/>
    <x v="5"/>
  </r>
  <r>
    <x v="816"/>
    <x v="1"/>
    <x v="86"/>
    <x v="1"/>
    <x v="54"/>
    <x v="1"/>
    <x v="214"/>
    <x v="79"/>
    <x v="3"/>
    <x v="3"/>
  </r>
  <r>
    <x v="816"/>
    <x v="2"/>
    <x v="74"/>
    <x v="1"/>
    <x v="42"/>
    <x v="2"/>
    <x v="199"/>
    <x v="67"/>
    <x v="6"/>
    <x v="6"/>
  </r>
  <r>
    <x v="817"/>
    <x v="0"/>
    <x v="27"/>
    <x v="0"/>
    <x v="20"/>
    <x v="2"/>
    <x v="146"/>
    <x v="23"/>
    <x v="3"/>
    <x v="3"/>
  </r>
  <r>
    <x v="817"/>
    <x v="1"/>
    <x v="99"/>
    <x v="1"/>
    <x v="60"/>
    <x v="1"/>
    <x v="352"/>
    <x v="91"/>
    <x v="1"/>
    <x v="1"/>
  </r>
  <r>
    <x v="817"/>
    <x v="2"/>
    <x v="23"/>
    <x v="1"/>
    <x v="7"/>
    <x v="2"/>
    <x v="32"/>
    <x v="20"/>
    <x v="0"/>
    <x v="0"/>
  </r>
  <r>
    <x v="817"/>
    <x v="3"/>
    <x v="74"/>
    <x v="1"/>
    <x v="42"/>
    <x v="2"/>
    <x v="199"/>
    <x v="67"/>
    <x v="6"/>
    <x v="6"/>
  </r>
  <r>
    <x v="818"/>
    <x v="0"/>
    <x v="49"/>
    <x v="0"/>
    <x v="33"/>
    <x v="0"/>
    <x v="353"/>
    <x v="42"/>
    <x v="5"/>
    <x v="5"/>
  </r>
  <r>
    <x v="819"/>
    <x v="0"/>
    <x v="92"/>
    <x v="0"/>
    <x v="24"/>
    <x v="2"/>
    <x v="205"/>
    <x v="72"/>
    <x v="3"/>
    <x v="3"/>
  </r>
  <r>
    <x v="820"/>
    <x v="0"/>
    <x v="48"/>
    <x v="0"/>
    <x v="26"/>
    <x v="1"/>
    <x v="255"/>
    <x v="34"/>
    <x v="3"/>
    <x v="3"/>
  </r>
  <r>
    <x v="820"/>
    <x v="1"/>
    <x v="63"/>
    <x v="1"/>
    <x v="43"/>
    <x v="0"/>
    <x v="247"/>
    <x v="56"/>
    <x v="0"/>
    <x v="0"/>
  </r>
  <r>
    <x v="820"/>
    <x v="2"/>
    <x v="18"/>
    <x v="0"/>
    <x v="14"/>
    <x v="0"/>
    <x v="63"/>
    <x v="16"/>
    <x v="1"/>
    <x v="1"/>
  </r>
  <r>
    <x v="820"/>
    <x v="3"/>
    <x v="92"/>
    <x v="0"/>
    <x v="24"/>
    <x v="2"/>
    <x v="205"/>
    <x v="72"/>
    <x v="3"/>
    <x v="3"/>
  </r>
  <r>
    <x v="821"/>
    <x v="0"/>
    <x v="29"/>
    <x v="0"/>
    <x v="5"/>
    <x v="2"/>
    <x v="132"/>
    <x v="25"/>
    <x v="6"/>
    <x v="6"/>
  </r>
  <r>
    <x v="821"/>
    <x v="1"/>
    <x v="31"/>
    <x v="0"/>
    <x v="22"/>
    <x v="0"/>
    <x v="252"/>
    <x v="27"/>
    <x v="0"/>
    <x v="0"/>
  </r>
  <r>
    <x v="822"/>
    <x v="0"/>
    <x v="28"/>
    <x v="1"/>
    <x v="21"/>
    <x v="1"/>
    <x v="354"/>
    <x v="24"/>
    <x v="6"/>
    <x v="6"/>
  </r>
  <r>
    <x v="822"/>
    <x v="1"/>
    <x v="106"/>
    <x v="1"/>
    <x v="39"/>
    <x v="0"/>
    <x v="355"/>
    <x v="98"/>
    <x v="5"/>
    <x v="5"/>
  </r>
  <r>
    <x v="822"/>
    <x v="2"/>
    <x v="89"/>
    <x v="0"/>
    <x v="56"/>
    <x v="0"/>
    <x v="356"/>
    <x v="82"/>
    <x v="0"/>
    <x v="0"/>
  </r>
  <r>
    <x v="823"/>
    <x v="0"/>
    <x v="102"/>
    <x v="1"/>
    <x v="30"/>
    <x v="3"/>
    <x v="343"/>
    <x v="94"/>
    <x v="5"/>
    <x v="5"/>
  </r>
  <r>
    <x v="824"/>
    <x v="0"/>
    <x v="23"/>
    <x v="0"/>
    <x v="7"/>
    <x v="3"/>
    <x v="65"/>
    <x v="20"/>
    <x v="0"/>
    <x v="0"/>
  </r>
  <r>
    <x v="824"/>
    <x v="1"/>
    <x v="34"/>
    <x v="1"/>
    <x v="4"/>
    <x v="0"/>
    <x v="73"/>
    <x v="30"/>
    <x v="1"/>
    <x v="1"/>
  </r>
  <r>
    <x v="825"/>
    <x v="0"/>
    <x v="78"/>
    <x v="1"/>
    <x v="52"/>
    <x v="0"/>
    <x v="250"/>
    <x v="71"/>
    <x v="1"/>
    <x v="1"/>
  </r>
  <r>
    <x v="825"/>
    <x v="1"/>
    <x v="107"/>
    <x v="0"/>
    <x v="61"/>
    <x v="3"/>
    <x v="326"/>
    <x v="99"/>
    <x v="1"/>
    <x v="1"/>
  </r>
  <r>
    <x v="826"/>
    <x v="0"/>
    <x v="52"/>
    <x v="0"/>
    <x v="28"/>
    <x v="2"/>
    <x v="357"/>
    <x v="45"/>
    <x v="1"/>
    <x v="1"/>
  </r>
  <r>
    <x v="826"/>
    <x v="1"/>
    <x v="67"/>
    <x v="0"/>
    <x v="46"/>
    <x v="0"/>
    <x v="358"/>
    <x v="60"/>
    <x v="1"/>
    <x v="1"/>
  </r>
  <r>
    <x v="826"/>
    <x v="2"/>
    <x v="76"/>
    <x v="0"/>
    <x v="50"/>
    <x v="0"/>
    <x v="324"/>
    <x v="69"/>
    <x v="1"/>
    <x v="1"/>
  </r>
  <r>
    <x v="826"/>
    <x v="3"/>
    <x v="75"/>
    <x v="0"/>
    <x v="19"/>
    <x v="0"/>
    <x v="188"/>
    <x v="68"/>
    <x v="3"/>
    <x v="3"/>
  </r>
  <r>
    <x v="827"/>
    <x v="0"/>
    <x v="22"/>
    <x v="1"/>
    <x v="17"/>
    <x v="0"/>
    <x v="91"/>
    <x v="19"/>
    <x v="3"/>
    <x v="3"/>
  </r>
  <r>
    <x v="827"/>
    <x v="1"/>
    <x v="24"/>
    <x v="0"/>
    <x v="8"/>
    <x v="0"/>
    <x v="57"/>
    <x v="9"/>
    <x v="3"/>
    <x v="3"/>
  </r>
  <r>
    <x v="827"/>
    <x v="2"/>
    <x v="66"/>
    <x v="1"/>
    <x v="45"/>
    <x v="1"/>
    <x v="359"/>
    <x v="59"/>
    <x v="6"/>
    <x v="6"/>
  </r>
  <r>
    <x v="828"/>
    <x v="0"/>
    <x v="27"/>
    <x v="0"/>
    <x v="20"/>
    <x v="0"/>
    <x v="320"/>
    <x v="23"/>
    <x v="3"/>
    <x v="3"/>
  </r>
  <r>
    <x v="828"/>
    <x v="1"/>
    <x v="86"/>
    <x v="1"/>
    <x v="54"/>
    <x v="3"/>
    <x v="360"/>
    <x v="79"/>
    <x v="3"/>
    <x v="3"/>
  </r>
  <r>
    <x v="829"/>
    <x v="0"/>
    <x v="25"/>
    <x v="1"/>
    <x v="18"/>
    <x v="0"/>
    <x v="144"/>
    <x v="21"/>
    <x v="5"/>
    <x v="5"/>
  </r>
  <r>
    <x v="829"/>
    <x v="1"/>
    <x v="96"/>
    <x v="1"/>
    <x v="26"/>
    <x v="1"/>
    <x v="184"/>
    <x v="88"/>
    <x v="5"/>
    <x v="5"/>
  </r>
  <r>
    <x v="829"/>
    <x v="2"/>
    <x v="81"/>
    <x v="1"/>
    <x v="29"/>
    <x v="0"/>
    <x v="209"/>
    <x v="74"/>
    <x v="5"/>
    <x v="5"/>
  </r>
  <r>
    <x v="830"/>
    <x v="0"/>
    <x v="50"/>
    <x v="0"/>
    <x v="34"/>
    <x v="0"/>
    <x v="210"/>
    <x v="43"/>
    <x v="0"/>
    <x v="0"/>
  </r>
  <r>
    <x v="830"/>
    <x v="1"/>
    <x v="16"/>
    <x v="0"/>
    <x v="13"/>
    <x v="0"/>
    <x v="114"/>
    <x v="14"/>
    <x v="2"/>
    <x v="2"/>
  </r>
  <r>
    <x v="830"/>
    <x v="2"/>
    <x v="39"/>
    <x v="0"/>
    <x v="19"/>
    <x v="3"/>
    <x v="201"/>
    <x v="22"/>
    <x v="0"/>
    <x v="0"/>
  </r>
  <r>
    <x v="831"/>
    <x v="0"/>
    <x v="59"/>
    <x v="0"/>
    <x v="41"/>
    <x v="2"/>
    <x v="361"/>
    <x v="52"/>
    <x v="6"/>
    <x v="6"/>
  </r>
  <r>
    <x v="831"/>
    <x v="1"/>
    <x v="78"/>
    <x v="0"/>
    <x v="52"/>
    <x v="0"/>
    <x v="362"/>
    <x v="71"/>
    <x v="1"/>
    <x v="1"/>
  </r>
  <r>
    <x v="831"/>
    <x v="2"/>
    <x v="97"/>
    <x v="0"/>
    <x v="4"/>
    <x v="1"/>
    <x v="133"/>
    <x v="89"/>
    <x v="1"/>
    <x v="1"/>
  </r>
  <r>
    <x v="831"/>
    <x v="3"/>
    <x v="3"/>
    <x v="1"/>
    <x v="0"/>
    <x v="3"/>
    <x v="28"/>
    <x v="3"/>
    <x v="0"/>
    <x v="0"/>
  </r>
  <r>
    <x v="832"/>
    <x v="0"/>
    <x v="0"/>
    <x v="1"/>
    <x v="0"/>
    <x v="2"/>
    <x v="3"/>
    <x v="0"/>
    <x v="0"/>
    <x v="0"/>
  </r>
  <r>
    <x v="833"/>
    <x v="0"/>
    <x v="59"/>
    <x v="0"/>
    <x v="41"/>
    <x v="1"/>
    <x v="339"/>
    <x v="52"/>
    <x v="6"/>
    <x v="6"/>
  </r>
  <r>
    <x v="833"/>
    <x v="1"/>
    <x v="20"/>
    <x v="0"/>
    <x v="11"/>
    <x v="2"/>
    <x v="18"/>
    <x v="15"/>
    <x v="5"/>
    <x v="5"/>
  </r>
  <r>
    <x v="833"/>
    <x v="2"/>
    <x v="46"/>
    <x v="0"/>
    <x v="31"/>
    <x v="0"/>
    <x v="363"/>
    <x v="40"/>
    <x v="0"/>
    <x v="0"/>
  </r>
  <r>
    <x v="834"/>
    <x v="0"/>
    <x v="105"/>
    <x v="1"/>
    <x v="63"/>
    <x v="1"/>
    <x v="306"/>
    <x v="97"/>
    <x v="0"/>
    <x v="0"/>
  </r>
  <r>
    <x v="834"/>
    <x v="1"/>
    <x v="90"/>
    <x v="0"/>
    <x v="43"/>
    <x v="0"/>
    <x v="212"/>
    <x v="83"/>
    <x v="0"/>
    <x v="0"/>
  </r>
  <r>
    <x v="834"/>
    <x v="2"/>
    <x v="6"/>
    <x v="0"/>
    <x v="5"/>
    <x v="2"/>
    <x v="132"/>
    <x v="6"/>
    <x v="1"/>
    <x v="1"/>
  </r>
  <r>
    <x v="835"/>
    <x v="0"/>
    <x v="75"/>
    <x v="1"/>
    <x v="19"/>
    <x v="0"/>
    <x v="364"/>
    <x v="68"/>
    <x v="3"/>
    <x v="3"/>
  </r>
  <r>
    <x v="836"/>
    <x v="0"/>
    <x v="80"/>
    <x v="0"/>
    <x v="53"/>
    <x v="2"/>
    <x v="365"/>
    <x v="73"/>
    <x v="6"/>
    <x v="6"/>
  </r>
  <r>
    <x v="836"/>
    <x v="1"/>
    <x v="44"/>
    <x v="0"/>
    <x v="29"/>
    <x v="3"/>
    <x v="283"/>
    <x v="38"/>
    <x v="5"/>
    <x v="5"/>
  </r>
  <r>
    <x v="836"/>
    <x v="2"/>
    <x v="108"/>
    <x v="1"/>
    <x v="37"/>
    <x v="0"/>
    <x v="229"/>
    <x v="100"/>
    <x v="5"/>
    <x v="5"/>
  </r>
  <r>
    <x v="837"/>
    <x v="0"/>
    <x v="76"/>
    <x v="0"/>
    <x v="50"/>
    <x v="3"/>
    <x v="336"/>
    <x v="69"/>
    <x v="1"/>
    <x v="1"/>
  </r>
  <r>
    <x v="837"/>
    <x v="1"/>
    <x v="2"/>
    <x v="0"/>
    <x v="2"/>
    <x v="3"/>
    <x v="139"/>
    <x v="2"/>
    <x v="2"/>
    <x v="2"/>
  </r>
  <r>
    <x v="837"/>
    <x v="2"/>
    <x v="96"/>
    <x v="1"/>
    <x v="26"/>
    <x v="2"/>
    <x v="162"/>
    <x v="88"/>
    <x v="5"/>
    <x v="5"/>
  </r>
  <r>
    <x v="837"/>
    <x v="3"/>
    <x v="105"/>
    <x v="1"/>
    <x v="63"/>
    <x v="1"/>
    <x v="306"/>
    <x v="97"/>
    <x v="0"/>
    <x v="0"/>
  </r>
  <r>
    <x v="838"/>
    <x v="0"/>
    <x v="66"/>
    <x v="0"/>
    <x v="45"/>
    <x v="1"/>
    <x v="310"/>
    <x v="59"/>
    <x v="6"/>
    <x v="6"/>
  </r>
  <r>
    <x v="838"/>
    <x v="1"/>
    <x v="25"/>
    <x v="0"/>
    <x v="18"/>
    <x v="3"/>
    <x v="366"/>
    <x v="21"/>
    <x v="5"/>
    <x v="5"/>
  </r>
  <r>
    <x v="838"/>
    <x v="2"/>
    <x v="71"/>
    <x v="1"/>
    <x v="23"/>
    <x v="2"/>
    <x v="244"/>
    <x v="64"/>
    <x v="6"/>
    <x v="6"/>
  </r>
  <r>
    <x v="839"/>
    <x v="0"/>
    <x v="97"/>
    <x v="0"/>
    <x v="4"/>
    <x v="1"/>
    <x v="133"/>
    <x v="89"/>
    <x v="1"/>
    <x v="1"/>
  </r>
  <r>
    <x v="839"/>
    <x v="1"/>
    <x v="52"/>
    <x v="0"/>
    <x v="28"/>
    <x v="1"/>
    <x v="192"/>
    <x v="45"/>
    <x v="1"/>
    <x v="1"/>
  </r>
  <r>
    <x v="839"/>
    <x v="2"/>
    <x v="26"/>
    <x v="1"/>
    <x v="19"/>
    <x v="0"/>
    <x v="364"/>
    <x v="22"/>
    <x v="3"/>
    <x v="3"/>
  </r>
  <r>
    <x v="840"/>
    <x v="0"/>
    <x v="13"/>
    <x v="1"/>
    <x v="11"/>
    <x v="3"/>
    <x v="23"/>
    <x v="12"/>
    <x v="5"/>
    <x v="5"/>
  </r>
  <r>
    <x v="840"/>
    <x v="1"/>
    <x v="11"/>
    <x v="0"/>
    <x v="9"/>
    <x v="0"/>
    <x v="141"/>
    <x v="10"/>
    <x v="4"/>
    <x v="4"/>
  </r>
  <r>
    <x v="840"/>
    <x v="2"/>
    <x v="16"/>
    <x v="0"/>
    <x v="13"/>
    <x v="0"/>
    <x v="114"/>
    <x v="14"/>
    <x v="2"/>
    <x v="2"/>
  </r>
  <r>
    <x v="840"/>
    <x v="3"/>
    <x v="45"/>
    <x v="1"/>
    <x v="30"/>
    <x v="1"/>
    <x v="268"/>
    <x v="39"/>
    <x v="5"/>
    <x v="5"/>
  </r>
  <r>
    <x v="840"/>
    <x v="4"/>
    <x v="96"/>
    <x v="0"/>
    <x v="26"/>
    <x v="3"/>
    <x v="164"/>
    <x v="88"/>
    <x v="5"/>
    <x v="5"/>
  </r>
  <r>
    <x v="841"/>
    <x v="0"/>
    <x v="89"/>
    <x v="1"/>
    <x v="56"/>
    <x v="1"/>
    <x v="311"/>
    <x v="82"/>
    <x v="0"/>
    <x v="0"/>
  </r>
  <r>
    <x v="841"/>
    <x v="1"/>
    <x v="41"/>
    <x v="0"/>
    <x v="27"/>
    <x v="3"/>
    <x v="367"/>
    <x v="36"/>
    <x v="1"/>
    <x v="1"/>
  </r>
  <r>
    <x v="842"/>
    <x v="0"/>
    <x v="31"/>
    <x v="0"/>
    <x v="22"/>
    <x v="3"/>
    <x v="368"/>
    <x v="27"/>
    <x v="0"/>
    <x v="0"/>
  </r>
  <r>
    <x v="842"/>
    <x v="1"/>
    <x v="85"/>
    <x v="1"/>
    <x v="0"/>
    <x v="3"/>
    <x v="28"/>
    <x v="78"/>
    <x v="0"/>
    <x v="0"/>
  </r>
  <r>
    <x v="842"/>
    <x v="2"/>
    <x v="89"/>
    <x v="0"/>
    <x v="56"/>
    <x v="3"/>
    <x v="369"/>
    <x v="82"/>
    <x v="0"/>
    <x v="0"/>
  </r>
  <r>
    <x v="842"/>
    <x v="3"/>
    <x v="19"/>
    <x v="1"/>
    <x v="15"/>
    <x v="1"/>
    <x v="69"/>
    <x v="17"/>
    <x v="5"/>
    <x v="5"/>
  </r>
  <r>
    <x v="843"/>
    <x v="0"/>
    <x v="47"/>
    <x v="1"/>
    <x v="32"/>
    <x v="1"/>
    <x v="370"/>
    <x v="41"/>
    <x v="0"/>
    <x v="0"/>
  </r>
  <r>
    <x v="843"/>
    <x v="1"/>
    <x v="10"/>
    <x v="0"/>
    <x v="8"/>
    <x v="3"/>
    <x v="98"/>
    <x v="9"/>
    <x v="0"/>
    <x v="0"/>
  </r>
  <r>
    <x v="843"/>
    <x v="2"/>
    <x v="56"/>
    <x v="1"/>
    <x v="39"/>
    <x v="0"/>
    <x v="355"/>
    <x v="49"/>
    <x v="5"/>
    <x v="5"/>
  </r>
  <r>
    <x v="843"/>
    <x v="3"/>
    <x v="74"/>
    <x v="0"/>
    <x v="42"/>
    <x v="0"/>
    <x v="224"/>
    <x v="67"/>
    <x v="6"/>
    <x v="6"/>
  </r>
  <r>
    <x v="843"/>
    <x v="4"/>
    <x v="65"/>
    <x v="1"/>
    <x v="25"/>
    <x v="2"/>
    <x v="371"/>
    <x v="58"/>
    <x v="2"/>
    <x v="2"/>
  </r>
  <r>
    <x v="844"/>
    <x v="0"/>
    <x v="3"/>
    <x v="1"/>
    <x v="0"/>
    <x v="0"/>
    <x v="24"/>
    <x v="3"/>
    <x v="0"/>
    <x v="0"/>
  </r>
  <r>
    <x v="844"/>
    <x v="1"/>
    <x v="85"/>
    <x v="0"/>
    <x v="0"/>
    <x v="0"/>
    <x v="0"/>
    <x v="78"/>
    <x v="0"/>
    <x v="0"/>
  </r>
  <r>
    <x v="844"/>
    <x v="2"/>
    <x v="8"/>
    <x v="1"/>
    <x v="0"/>
    <x v="2"/>
    <x v="3"/>
    <x v="3"/>
    <x v="3"/>
    <x v="3"/>
  </r>
  <r>
    <x v="844"/>
    <x v="3"/>
    <x v="30"/>
    <x v="1"/>
    <x v="5"/>
    <x v="0"/>
    <x v="39"/>
    <x v="26"/>
    <x v="0"/>
    <x v="0"/>
  </r>
  <r>
    <x v="844"/>
    <x v="4"/>
    <x v="54"/>
    <x v="0"/>
    <x v="37"/>
    <x v="2"/>
    <x v="232"/>
    <x v="47"/>
    <x v="5"/>
    <x v="5"/>
  </r>
  <r>
    <x v="845"/>
    <x v="0"/>
    <x v="109"/>
    <x v="1"/>
    <x v="64"/>
    <x v="2"/>
    <x v="372"/>
    <x v="101"/>
    <x v="1"/>
    <x v="1"/>
  </r>
  <r>
    <x v="845"/>
    <x v="1"/>
    <x v="42"/>
    <x v="0"/>
    <x v="28"/>
    <x v="1"/>
    <x v="192"/>
    <x v="37"/>
    <x v="1"/>
    <x v="1"/>
  </r>
  <r>
    <x v="845"/>
    <x v="2"/>
    <x v="68"/>
    <x v="0"/>
    <x v="24"/>
    <x v="3"/>
    <x v="325"/>
    <x v="61"/>
    <x v="0"/>
    <x v="0"/>
  </r>
  <r>
    <x v="845"/>
    <x v="3"/>
    <x v="31"/>
    <x v="1"/>
    <x v="22"/>
    <x v="2"/>
    <x v="262"/>
    <x v="27"/>
    <x v="0"/>
    <x v="0"/>
  </r>
  <r>
    <x v="845"/>
    <x v="4"/>
    <x v="27"/>
    <x v="1"/>
    <x v="20"/>
    <x v="1"/>
    <x v="373"/>
    <x v="23"/>
    <x v="3"/>
    <x v="3"/>
  </r>
  <r>
    <x v="846"/>
    <x v="0"/>
    <x v="32"/>
    <x v="1"/>
    <x v="23"/>
    <x v="2"/>
    <x v="244"/>
    <x v="28"/>
    <x v="4"/>
    <x v="4"/>
  </r>
  <r>
    <x v="847"/>
    <x v="0"/>
    <x v="101"/>
    <x v="0"/>
    <x v="30"/>
    <x v="1"/>
    <x v="158"/>
    <x v="93"/>
    <x v="5"/>
    <x v="5"/>
  </r>
  <r>
    <x v="847"/>
    <x v="1"/>
    <x v="96"/>
    <x v="1"/>
    <x v="26"/>
    <x v="0"/>
    <x v="195"/>
    <x v="88"/>
    <x v="5"/>
    <x v="5"/>
  </r>
  <r>
    <x v="847"/>
    <x v="2"/>
    <x v="54"/>
    <x v="1"/>
    <x v="37"/>
    <x v="0"/>
    <x v="229"/>
    <x v="47"/>
    <x v="5"/>
    <x v="5"/>
  </r>
  <r>
    <x v="847"/>
    <x v="3"/>
    <x v="67"/>
    <x v="1"/>
    <x v="46"/>
    <x v="1"/>
    <x v="374"/>
    <x v="60"/>
    <x v="1"/>
    <x v="1"/>
  </r>
  <r>
    <x v="848"/>
    <x v="0"/>
    <x v="36"/>
    <x v="0"/>
    <x v="24"/>
    <x v="0"/>
    <x v="307"/>
    <x v="32"/>
    <x v="3"/>
    <x v="3"/>
  </r>
  <r>
    <x v="849"/>
    <x v="0"/>
    <x v="70"/>
    <x v="1"/>
    <x v="48"/>
    <x v="1"/>
    <x v="257"/>
    <x v="63"/>
    <x v="5"/>
    <x v="5"/>
  </r>
  <r>
    <x v="849"/>
    <x v="1"/>
    <x v="21"/>
    <x v="1"/>
    <x v="16"/>
    <x v="1"/>
    <x v="129"/>
    <x v="18"/>
    <x v="1"/>
    <x v="1"/>
  </r>
  <r>
    <x v="849"/>
    <x v="2"/>
    <x v="88"/>
    <x v="0"/>
    <x v="55"/>
    <x v="1"/>
    <x v="375"/>
    <x v="81"/>
    <x v="1"/>
    <x v="1"/>
  </r>
  <r>
    <x v="850"/>
    <x v="0"/>
    <x v="34"/>
    <x v="0"/>
    <x v="4"/>
    <x v="0"/>
    <x v="90"/>
    <x v="30"/>
    <x v="1"/>
    <x v="1"/>
  </r>
  <r>
    <x v="850"/>
    <x v="1"/>
    <x v="101"/>
    <x v="0"/>
    <x v="30"/>
    <x v="2"/>
    <x v="338"/>
    <x v="93"/>
    <x v="5"/>
    <x v="5"/>
  </r>
  <r>
    <x v="851"/>
    <x v="0"/>
    <x v="109"/>
    <x v="1"/>
    <x v="64"/>
    <x v="1"/>
    <x v="376"/>
    <x v="101"/>
    <x v="1"/>
    <x v="1"/>
  </r>
  <r>
    <x v="852"/>
    <x v="0"/>
    <x v="40"/>
    <x v="0"/>
    <x v="15"/>
    <x v="2"/>
    <x v="115"/>
    <x v="35"/>
    <x v="5"/>
    <x v="5"/>
  </r>
  <r>
    <x v="852"/>
    <x v="1"/>
    <x v="71"/>
    <x v="1"/>
    <x v="23"/>
    <x v="0"/>
    <x v="377"/>
    <x v="64"/>
    <x v="6"/>
    <x v="6"/>
  </r>
  <r>
    <x v="852"/>
    <x v="2"/>
    <x v="41"/>
    <x v="1"/>
    <x v="27"/>
    <x v="0"/>
    <x v="194"/>
    <x v="36"/>
    <x v="1"/>
    <x v="1"/>
  </r>
  <r>
    <x v="852"/>
    <x v="3"/>
    <x v="78"/>
    <x v="0"/>
    <x v="52"/>
    <x v="0"/>
    <x v="362"/>
    <x v="71"/>
    <x v="1"/>
    <x v="1"/>
  </r>
  <r>
    <x v="852"/>
    <x v="4"/>
    <x v="18"/>
    <x v="0"/>
    <x v="14"/>
    <x v="2"/>
    <x v="62"/>
    <x v="16"/>
    <x v="1"/>
    <x v="1"/>
  </r>
  <r>
    <x v="853"/>
    <x v="0"/>
    <x v="108"/>
    <x v="0"/>
    <x v="37"/>
    <x v="3"/>
    <x v="378"/>
    <x v="100"/>
    <x v="5"/>
    <x v="5"/>
  </r>
  <r>
    <x v="854"/>
    <x v="0"/>
    <x v="9"/>
    <x v="0"/>
    <x v="7"/>
    <x v="3"/>
    <x v="65"/>
    <x v="8"/>
    <x v="0"/>
    <x v="0"/>
  </r>
  <r>
    <x v="854"/>
    <x v="1"/>
    <x v="101"/>
    <x v="1"/>
    <x v="30"/>
    <x v="0"/>
    <x v="266"/>
    <x v="93"/>
    <x v="5"/>
    <x v="5"/>
  </r>
  <r>
    <x v="854"/>
    <x v="2"/>
    <x v="84"/>
    <x v="0"/>
    <x v="30"/>
    <x v="0"/>
    <x v="269"/>
    <x v="77"/>
    <x v="5"/>
    <x v="5"/>
  </r>
  <r>
    <x v="855"/>
    <x v="0"/>
    <x v="83"/>
    <x v="1"/>
    <x v="8"/>
    <x v="2"/>
    <x v="11"/>
    <x v="76"/>
    <x v="1"/>
    <x v="1"/>
  </r>
  <r>
    <x v="856"/>
    <x v="0"/>
    <x v="61"/>
    <x v="0"/>
    <x v="4"/>
    <x v="0"/>
    <x v="90"/>
    <x v="54"/>
    <x v="1"/>
    <x v="1"/>
  </r>
  <r>
    <x v="857"/>
    <x v="0"/>
    <x v="78"/>
    <x v="1"/>
    <x v="52"/>
    <x v="0"/>
    <x v="250"/>
    <x v="71"/>
    <x v="1"/>
    <x v="1"/>
  </r>
  <r>
    <x v="857"/>
    <x v="1"/>
    <x v="21"/>
    <x v="0"/>
    <x v="16"/>
    <x v="0"/>
    <x v="58"/>
    <x v="18"/>
    <x v="1"/>
    <x v="1"/>
  </r>
  <r>
    <x v="857"/>
    <x v="2"/>
    <x v="15"/>
    <x v="0"/>
    <x v="11"/>
    <x v="1"/>
    <x v="36"/>
    <x v="12"/>
    <x v="0"/>
    <x v="0"/>
  </r>
  <r>
    <x v="857"/>
    <x v="3"/>
    <x v="30"/>
    <x v="1"/>
    <x v="5"/>
    <x v="1"/>
    <x v="130"/>
    <x v="26"/>
    <x v="0"/>
    <x v="0"/>
  </r>
  <r>
    <x v="858"/>
    <x v="0"/>
    <x v="83"/>
    <x v="1"/>
    <x v="8"/>
    <x v="1"/>
    <x v="30"/>
    <x v="76"/>
    <x v="1"/>
    <x v="1"/>
  </r>
  <r>
    <x v="858"/>
    <x v="1"/>
    <x v="17"/>
    <x v="0"/>
    <x v="11"/>
    <x v="3"/>
    <x v="21"/>
    <x v="15"/>
    <x v="0"/>
    <x v="0"/>
  </r>
  <r>
    <x v="858"/>
    <x v="2"/>
    <x v="15"/>
    <x v="1"/>
    <x v="11"/>
    <x v="3"/>
    <x v="23"/>
    <x v="12"/>
    <x v="0"/>
    <x v="0"/>
  </r>
  <r>
    <x v="858"/>
    <x v="3"/>
    <x v="68"/>
    <x v="1"/>
    <x v="24"/>
    <x v="3"/>
    <x v="288"/>
    <x v="61"/>
    <x v="0"/>
    <x v="0"/>
  </r>
  <r>
    <x v="858"/>
    <x v="4"/>
    <x v="107"/>
    <x v="1"/>
    <x v="61"/>
    <x v="3"/>
    <x v="302"/>
    <x v="99"/>
    <x v="1"/>
    <x v="1"/>
  </r>
  <r>
    <x v="859"/>
    <x v="0"/>
    <x v="18"/>
    <x v="0"/>
    <x v="14"/>
    <x v="2"/>
    <x v="62"/>
    <x v="16"/>
    <x v="1"/>
    <x v="1"/>
  </r>
  <r>
    <x v="859"/>
    <x v="1"/>
    <x v="24"/>
    <x v="1"/>
    <x v="8"/>
    <x v="0"/>
    <x v="118"/>
    <x v="9"/>
    <x v="3"/>
    <x v="3"/>
  </r>
  <r>
    <x v="859"/>
    <x v="2"/>
    <x v="22"/>
    <x v="0"/>
    <x v="17"/>
    <x v="0"/>
    <x v="76"/>
    <x v="19"/>
    <x v="3"/>
    <x v="3"/>
  </r>
  <r>
    <x v="859"/>
    <x v="3"/>
    <x v="71"/>
    <x v="1"/>
    <x v="23"/>
    <x v="1"/>
    <x v="179"/>
    <x v="64"/>
    <x v="6"/>
    <x v="6"/>
  </r>
  <r>
    <x v="859"/>
    <x v="4"/>
    <x v="43"/>
    <x v="1"/>
    <x v="15"/>
    <x v="2"/>
    <x v="89"/>
    <x v="31"/>
    <x v="5"/>
    <x v="5"/>
  </r>
  <r>
    <x v="860"/>
    <x v="0"/>
    <x v="15"/>
    <x v="1"/>
    <x v="11"/>
    <x v="1"/>
    <x v="35"/>
    <x v="12"/>
    <x v="0"/>
    <x v="0"/>
  </r>
  <r>
    <x v="860"/>
    <x v="1"/>
    <x v="37"/>
    <x v="0"/>
    <x v="25"/>
    <x v="0"/>
    <x v="152"/>
    <x v="33"/>
    <x v="2"/>
    <x v="2"/>
  </r>
  <r>
    <x v="861"/>
    <x v="0"/>
    <x v="25"/>
    <x v="0"/>
    <x v="18"/>
    <x v="2"/>
    <x v="161"/>
    <x v="21"/>
    <x v="5"/>
    <x v="5"/>
  </r>
  <r>
    <x v="861"/>
    <x v="1"/>
    <x v="40"/>
    <x v="0"/>
    <x v="15"/>
    <x v="0"/>
    <x v="122"/>
    <x v="35"/>
    <x v="5"/>
    <x v="5"/>
  </r>
  <r>
    <x v="861"/>
    <x v="2"/>
    <x v="60"/>
    <x v="1"/>
    <x v="25"/>
    <x v="1"/>
    <x v="182"/>
    <x v="53"/>
    <x v="6"/>
    <x v="6"/>
  </r>
  <r>
    <x v="862"/>
    <x v="0"/>
    <x v="101"/>
    <x v="1"/>
    <x v="30"/>
    <x v="3"/>
    <x v="343"/>
    <x v="93"/>
    <x v="5"/>
    <x v="5"/>
  </r>
  <r>
    <x v="863"/>
    <x v="0"/>
    <x v="88"/>
    <x v="0"/>
    <x v="55"/>
    <x v="3"/>
    <x v="379"/>
    <x v="81"/>
    <x v="1"/>
    <x v="1"/>
  </r>
  <r>
    <x v="863"/>
    <x v="1"/>
    <x v="105"/>
    <x v="1"/>
    <x v="63"/>
    <x v="2"/>
    <x v="380"/>
    <x v="97"/>
    <x v="0"/>
    <x v="0"/>
  </r>
  <r>
    <x v="863"/>
    <x v="2"/>
    <x v="17"/>
    <x v="0"/>
    <x v="11"/>
    <x v="0"/>
    <x v="51"/>
    <x v="15"/>
    <x v="0"/>
    <x v="0"/>
  </r>
  <r>
    <x v="864"/>
    <x v="0"/>
    <x v="36"/>
    <x v="1"/>
    <x v="24"/>
    <x v="3"/>
    <x v="288"/>
    <x v="32"/>
    <x v="3"/>
    <x v="3"/>
  </r>
  <r>
    <x v="864"/>
    <x v="1"/>
    <x v="98"/>
    <x v="0"/>
    <x v="14"/>
    <x v="2"/>
    <x v="62"/>
    <x v="90"/>
    <x v="1"/>
    <x v="1"/>
  </r>
  <r>
    <x v="865"/>
    <x v="0"/>
    <x v="54"/>
    <x v="0"/>
    <x v="37"/>
    <x v="0"/>
    <x v="321"/>
    <x v="47"/>
    <x v="5"/>
    <x v="5"/>
  </r>
  <r>
    <x v="865"/>
    <x v="1"/>
    <x v="50"/>
    <x v="1"/>
    <x v="34"/>
    <x v="1"/>
    <x v="381"/>
    <x v="43"/>
    <x v="0"/>
    <x v="0"/>
  </r>
  <r>
    <x v="865"/>
    <x v="2"/>
    <x v="53"/>
    <x v="0"/>
    <x v="36"/>
    <x v="1"/>
    <x v="382"/>
    <x v="46"/>
    <x v="0"/>
    <x v="0"/>
  </r>
  <r>
    <x v="865"/>
    <x v="3"/>
    <x v="17"/>
    <x v="1"/>
    <x v="11"/>
    <x v="1"/>
    <x v="35"/>
    <x v="15"/>
    <x v="0"/>
    <x v="0"/>
  </r>
  <r>
    <x v="866"/>
    <x v="0"/>
    <x v="70"/>
    <x v="0"/>
    <x v="48"/>
    <x v="2"/>
    <x v="327"/>
    <x v="63"/>
    <x v="5"/>
    <x v="5"/>
  </r>
  <r>
    <x v="867"/>
    <x v="0"/>
    <x v="109"/>
    <x v="0"/>
    <x v="64"/>
    <x v="1"/>
    <x v="383"/>
    <x v="101"/>
    <x v="1"/>
    <x v="1"/>
  </r>
  <r>
    <x v="868"/>
    <x v="0"/>
    <x v="14"/>
    <x v="0"/>
    <x v="12"/>
    <x v="0"/>
    <x v="137"/>
    <x v="13"/>
    <x v="1"/>
    <x v="1"/>
  </r>
  <r>
    <x v="868"/>
    <x v="1"/>
    <x v="26"/>
    <x v="1"/>
    <x v="19"/>
    <x v="2"/>
    <x v="150"/>
    <x v="22"/>
    <x v="3"/>
    <x v="3"/>
  </r>
  <r>
    <x v="868"/>
    <x v="2"/>
    <x v="57"/>
    <x v="0"/>
    <x v="14"/>
    <x v="2"/>
    <x v="62"/>
    <x v="50"/>
    <x v="1"/>
    <x v="1"/>
  </r>
  <r>
    <x v="868"/>
    <x v="3"/>
    <x v="66"/>
    <x v="1"/>
    <x v="45"/>
    <x v="2"/>
    <x v="256"/>
    <x v="59"/>
    <x v="6"/>
    <x v="6"/>
  </r>
  <r>
    <x v="868"/>
    <x v="4"/>
    <x v="105"/>
    <x v="1"/>
    <x v="63"/>
    <x v="0"/>
    <x v="384"/>
    <x v="97"/>
    <x v="0"/>
    <x v="0"/>
  </r>
  <r>
    <x v="869"/>
    <x v="0"/>
    <x v="65"/>
    <x v="0"/>
    <x v="25"/>
    <x v="1"/>
    <x v="222"/>
    <x v="58"/>
    <x v="2"/>
    <x v="2"/>
  </r>
  <r>
    <x v="870"/>
    <x v="0"/>
    <x v="26"/>
    <x v="0"/>
    <x v="19"/>
    <x v="0"/>
    <x v="188"/>
    <x v="22"/>
    <x v="3"/>
    <x v="3"/>
  </r>
  <r>
    <x v="870"/>
    <x v="1"/>
    <x v="83"/>
    <x v="0"/>
    <x v="8"/>
    <x v="3"/>
    <x v="98"/>
    <x v="76"/>
    <x v="1"/>
    <x v="1"/>
  </r>
  <r>
    <x v="870"/>
    <x v="2"/>
    <x v="34"/>
    <x v="1"/>
    <x v="4"/>
    <x v="0"/>
    <x v="73"/>
    <x v="30"/>
    <x v="1"/>
    <x v="1"/>
  </r>
  <r>
    <x v="870"/>
    <x v="3"/>
    <x v="92"/>
    <x v="1"/>
    <x v="24"/>
    <x v="2"/>
    <x v="293"/>
    <x v="72"/>
    <x v="3"/>
    <x v="3"/>
  </r>
  <r>
    <x v="871"/>
    <x v="0"/>
    <x v="37"/>
    <x v="1"/>
    <x v="25"/>
    <x v="1"/>
    <x v="182"/>
    <x v="33"/>
    <x v="2"/>
    <x v="2"/>
  </r>
  <r>
    <x v="871"/>
    <x v="1"/>
    <x v="29"/>
    <x v="0"/>
    <x v="5"/>
    <x v="3"/>
    <x v="92"/>
    <x v="25"/>
    <x v="6"/>
    <x v="6"/>
  </r>
  <r>
    <x v="872"/>
    <x v="0"/>
    <x v="33"/>
    <x v="1"/>
    <x v="14"/>
    <x v="3"/>
    <x v="110"/>
    <x v="29"/>
    <x v="1"/>
    <x v="1"/>
  </r>
  <r>
    <x v="873"/>
    <x v="0"/>
    <x v="28"/>
    <x v="0"/>
    <x v="21"/>
    <x v="2"/>
    <x v="347"/>
    <x v="24"/>
    <x v="6"/>
    <x v="6"/>
  </r>
  <r>
    <x v="873"/>
    <x v="1"/>
    <x v="97"/>
    <x v="1"/>
    <x v="4"/>
    <x v="2"/>
    <x v="79"/>
    <x v="89"/>
    <x v="1"/>
    <x v="1"/>
  </r>
  <r>
    <x v="873"/>
    <x v="2"/>
    <x v="30"/>
    <x v="0"/>
    <x v="5"/>
    <x v="3"/>
    <x v="92"/>
    <x v="26"/>
    <x v="0"/>
    <x v="0"/>
  </r>
  <r>
    <x v="873"/>
    <x v="3"/>
    <x v="104"/>
    <x v="1"/>
    <x v="62"/>
    <x v="1"/>
    <x v="278"/>
    <x v="96"/>
    <x v="0"/>
    <x v="0"/>
  </r>
  <r>
    <x v="874"/>
    <x v="0"/>
    <x v="21"/>
    <x v="1"/>
    <x v="16"/>
    <x v="3"/>
    <x v="87"/>
    <x v="18"/>
    <x v="1"/>
    <x v="1"/>
  </r>
  <r>
    <x v="874"/>
    <x v="1"/>
    <x v="12"/>
    <x v="1"/>
    <x v="10"/>
    <x v="2"/>
    <x v="94"/>
    <x v="11"/>
    <x v="0"/>
    <x v="0"/>
  </r>
  <r>
    <x v="874"/>
    <x v="2"/>
    <x v="15"/>
    <x v="0"/>
    <x v="11"/>
    <x v="1"/>
    <x v="36"/>
    <x v="12"/>
    <x v="0"/>
    <x v="0"/>
  </r>
  <r>
    <x v="874"/>
    <x v="3"/>
    <x v="103"/>
    <x v="0"/>
    <x v="38"/>
    <x v="0"/>
    <x v="314"/>
    <x v="95"/>
    <x v="3"/>
    <x v="3"/>
  </r>
  <r>
    <x v="875"/>
    <x v="0"/>
    <x v="7"/>
    <x v="1"/>
    <x v="6"/>
    <x v="0"/>
    <x v="71"/>
    <x v="7"/>
    <x v="0"/>
    <x v="0"/>
  </r>
  <r>
    <x v="875"/>
    <x v="1"/>
    <x v="82"/>
    <x v="1"/>
    <x v="34"/>
    <x v="0"/>
    <x v="166"/>
    <x v="75"/>
    <x v="0"/>
    <x v="0"/>
  </r>
  <r>
    <x v="875"/>
    <x v="2"/>
    <x v="81"/>
    <x v="0"/>
    <x v="29"/>
    <x v="1"/>
    <x v="243"/>
    <x v="74"/>
    <x v="5"/>
    <x v="5"/>
  </r>
  <r>
    <x v="875"/>
    <x v="3"/>
    <x v="92"/>
    <x v="1"/>
    <x v="24"/>
    <x v="2"/>
    <x v="293"/>
    <x v="72"/>
    <x v="3"/>
    <x v="3"/>
  </r>
  <r>
    <x v="876"/>
    <x v="0"/>
    <x v="30"/>
    <x v="0"/>
    <x v="5"/>
    <x v="1"/>
    <x v="116"/>
    <x v="26"/>
    <x v="0"/>
    <x v="0"/>
  </r>
  <r>
    <x v="876"/>
    <x v="1"/>
    <x v="27"/>
    <x v="0"/>
    <x v="20"/>
    <x v="3"/>
    <x v="309"/>
    <x v="23"/>
    <x v="3"/>
    <x v="3"/>
  </r>
  <r>
    <x v="877"/>
    <x v="0"/>
    <x v="27"/>
    <x v="0"/>
    <x v="20"/>
    <x v="0"/>
    <x v="320"/>
    <x v="23"/>
    <x v="3"/>
    <x v="3"/>
  </r>
  <r>
    <x v="877"/>
    <x v="1"/>
    <x v="17"/>
    <x v="0"/>
    <x v="11"/>
    <x v="3"/>
    <x v="21"/>
    <x v="15"/>
    <x v="0"/>
    <x v="0"/>
  </r>
  <r>
    <x v="877"/>
    <x v="2"/>
    <x v="18"/>
    <x v="1"/>
    <x v="14"/>
    <x v="0"/>
    <x v="117"/>
    <x v="16"/>
    <x v="1"/>
    <x v="1"/>
  </r>
  <r>
    <x v="877"/>
    <x v="3"/>
    <x v="9"/>
    <x v="1"/>
    <x v="7"/>
    <x v="2"/>
    <x v="32"/>
    <x v="8"/>
    <x v="0"/>
    <x v="0"/>
  </r>
  <r>
    <x v="878"/>
    <x v="0"/>
    <x v="96"/>
    <x v="1"/>
    <x v="26"/>
    <x v="0"/>
    <x v="195"/>
    <x v="88"/>
    <x v="5"/>
    <x v="5"/>
  </r>
  <r>
    <x v="878"/>
    <x v="1"/>
    <x v="6"/>
    <x v="1"/>
    <x v="5"/>
    <x v="1"/>
    <x v="130"/>
    <x v="6"/>
    <x v="1"/>
    <x v="1"/>
  </r>
  <r>
    <x v="878"/>
    <x v="2"/>
    <x v="56"/>
    <x v="1"/>
    <x v="39"/>
    <x v="0"/>
    <x v="355"/>
    <x v="49"/>
    <x v="5"/>
    <x v="5"/>
  </r>
  <r>
    <x v="878"/>
    <x v="3"/>
    <x v="90"/>
    <x v="0"/>
    <x v="43"/>
    <x v="1"/>
    <x v="348"/>
    <x v="83"/>
    <x v="0"/>
    <x v="0"/>
  </r>
  <r>
    <x v="879"/>
    <x v="0"/>
    <x v="76"/>
    <x v="1"/>
    <x v="50"/>
    <x v="0"/>
    <x v="312"/>
    <x v="69"/>
    <x v="1"/>
    <x v="1"/>
  </r>
  <r>
    <x v="879"/>
    <x v="1"/>
    <x v="43"/>
    <x v="0"/>
    <x v="15"/>
    <x v="3"/>
    <x v="37"/>
    <x v="31"/>
    <x v="5"/>
    <x v="5"/>
  </r>
  <r>
    <x v="879"/>
    <x v="2"/>
    <x v="21"/>
    <x v="0"/>
    <x v="16"/>
    <x v="1"/>
    <x v="105"/>
    <x v="18"/>
    <x v="1"/>
    <x v="1"/>
  </r>
  <r>
    <x v="879"/>
    <x v="3"/>
    <x v="8"/>
    <x v="0"/>
    <x v="0"/>
    <x v="3"/>
    <x v="12"/>
    <x v="3"/>
    <x v="3"/>
    <x v="3"/>
  </r>
  <r>
    <x v="879"/>
    <x v="4"/>
    <x v="82"/>
    <x v="0"/>
    <x v="34"/>
    <x v="0"/>
    <x v="210"/>
    <x v="75"/>
    <x v="0"/>
    <x v="0"/>
  </r>
  <r>
    <x v="880"/>
    <x v="0"/>
    <x v="72"/>
    <x v="0"/>
    <x v="26"/>
    <x v="1"/>
    <x v="255"/>
    <x v="65"/>
    <x v="5"/>
    <x v="5"/>
  </r>
  <r>
    <x v="880"/>
    <x v="1"/>
    <x v="69"/>
    <x v="0"/>
    <x v="47"/>
    <x v="0"/>
    <x v="190"/>
    <x v="62"/>
    <x v="6"/>
    <x v="6"/>
  </r>
  <r>
    <x v="880"/>
    <x v="2"/>
    <x v="38"/>
    <x v="1"/>
    <x v="26"/>
    <x v="2"/>
    <x v="162"/>
    <x v="34"/>
    <x v="0"/>
    <x v="0"/>
  </r>
  <r>
    <x v="880"/>
    <x v="3"/>
    <x v="50"/>
    <x v="0"/>
    <x v="34"/>
    <x v="3"/>
    <x v="173"/>
    <x v="43"/>
    <x v="0"/>
    <x v="0"/>
  </r>
  <r>
    <x v="881"/>
    <x v="0"/>
    <x v="65"/>
    <x v="1"/>
    <x v="25"/>
    <x v="1"/>
    <x v="182"/>
    <x v="58"/>
    <x v="2"/>
    <x v="2"/>
  </r>
  <r>
    <x v="881"/>
    <x v="1"/>
    <x v="75"/>
    <x v="1"/>
    <x v="19"/>
    <x v="0"/>
    <x v="364"/>
    <x v="68"/>
    <x v="3"/>
    <x v="3"/>
  </r>
  <r>
    <x v="881"/>
    <x v="2"/>
    <x v="94"/>
    <x v="1"/>
    <x v="59"/>
    <x v="1"/>
    <x v="385"/>
    <x v="86"/>
    <x v="6"/>
    <x v="6"/>
  </r>
  <r>
    <x v="882"/>
    <x v="0"/>
    <x v="99"/>
    <x v="0"/>
    <x v="60"/>
    <x v="2"/>
    <x v="386"/>
    <x v="91"/>
    <x v="1"/>
    <x v="1"/>
  </r>
  <r>
    <x v="882"/>
    <x v="1"/>
    <x v="21"/>
    <x v="1"/>
    <x v="16"/>
    <x v="2"/>
    <x v="131"/>
    <x v="18"/>
    <x v="1"/>
    <x v="1"/>
  </r>
  <r>
    <x v="883"/>
    <x v="0"/>
    <x v="60"/>
    <x v="1"/>
    <x v="25"/>
    <x v="2"/>
    <x v="371"/>
    <x v="53"/>
    <x v="6"/>
    <x v="6"/>
  </r>
  <r>
    <x v="883"/>
    <x v="1"/>
    <x v="79"/>
    <x v="1"/>
    <x v="24"/>
    <x v="1"/>
    <x v="207"/>
    <x v="72"/>
    <x v="0"/>
    <x v="0"/>
  </r>
  <r>
    <x v="883"/>
    <x v="2"/>
    <x v="109"/>
    <x v="1"/>
    <x v="64"/>
    <x v="0"/>
    <x v="387"/>
    <x v="101"/>
    <x v="1"/>
    <x v="1"/>
  </r>
  <r>
    <x v="883"/>
    <x v="3"/>
    <x v="2"/>
    <x v="0"/>
    <x v="2"/>
    <x v="3"/>
    <x v="139"/>
    <x v="2"/>
    <x v="2"/>
    <x v="2"/>
  </r>
  <r>
    <x v="883"/>
    <x v="4"/>
    <x v="20"/>
    <x v="1"/>
    <x v="11"/>
    <x v="2"/>
    <x v="64"/>
    <x v="15"/>
    <x v="5"/>
    <x v="5"/>
  </r>
  <r>
    <x v="884"/>
    <x v="0"/>
    <x v="26"/>
    <x v="0"/>
    <x v="19"/>
    <x v="1"/>
    <x v="274"/>
    <x v="22"/>
    <x v="3"/>
    <x v="3"/>
  </r>
  <r>
    <x v="884"/>
    <x v="1"/>
    <x v="52"/>
    <x v="0"/>
    <x v="28"/>
    <x v="3"/>
    <x v="168"/>
    <x v="45"/>
    <x v="1"/>
    <x v="1"/>
  </r>
  <r>
    <x v="885"/>
    <x v="0"/>
    <x v="42"/>
    <x v="0"/>
    <x v="28"/>
    <x v="2"/>
    <x v="357"/>
    <x v="37"/>
    <x v="1"/>
    <x v="1"/>
  </r>
  <r>
    <x v="885"/>
    <x v="1"/>
    <x v="34"/>
    <x v="0"/>
    <x v="4"/>
    <x v="2"/>
    <x v="6"/>
    <x v="30"/>
    <x v="1"/>
    <x v="1"/>
  </r>
  <r>
    <x v="886"/>
    <x v="0"/>
    <x v="69"/>
    <x v="1"/>
    <x v="47"/>
    <x v="2"/>
    <x v="342"/>
    <x v="62"/>
    <x v="6"/>
    <x v="6"/>
  </r>
  <r>
    <x v="886"/>
    <x v="1"/>
    <x v="63"/>
    <x v="0"/>
    <x v="43"/>
    <x v="3"/>
    <x v="388"/>
    <x v="56"/>
    <x v="0"/>
    <x v="0"/>
  </r>
  <r>
    <x v="887"/>
    <x v="0"/>
    <x v="57"/>
    <x v="1"/>
    <x v="14"/>
    <x v="3"/>
    <x v="110"/>
    <x v="50"/>
    <x v="1"/>
    <x v="1"/>
  </r>
  <r>
    <x v="887"/>
    <x v="1"/>
    <x v="8"/>
    <x v="1"/>
    <x v="0"/>
    <x v="0"/>
    <x v="24"/>
    <x v="3"/>
    <x v="3"/>
    <x v="3"/>
  </r>
  <r>
    <x v="888"/>
    <x v="0"/>
    <x v="10"/>
    <x v="1"/>
    <x v="8"/>
    <x v="3"/>
    <x v="97"/>
    <x v="9"/>
    <x v="0"/>
    <x v="0"/>
  </r>
  <r>
    <x v="889"/>
    <x v="0"/>
    <x v="3"/>
    <x v="1"/>
    <x v="0"/>
    <x v="3"/>
    <x v="28"/>
    <x v="3"/>
    <x v="0"/>
    <x v="0"/>
  </r>
  <r>
    <x v="889"/>
    <x v="1"/>
    <x v="86"/>
    <x v="1"/>
    <x v="54"/>
    <x v="3"/>
    <x v="360"/>
    <x v="79"/>
    <x v="3"/>
    <x v="3"/>
  </r>
  <r>
    <x v="889"/>
    <x v="2"/>
    <x v="58"/>
    <x v="0"/>
    <x v="40"/>
    <x v="2"/>
    <x v="175"/>
    <x v="51"/>
    <x v="6"/>
    <x v="6"/>
  </r>
  <r>
    <x v="889"/>
    <x v="3"/>
    <x v="50"/>
    <x v="0"/>
    <x v="34"/>
    <x v="3"/>
    <x v="173"/>
    <x v="43"/>
    <x v="0"/>
    <x v="0"/>
  </r>
  <r>
    <x v="889"/>
    <x v="4"/>
    <x v="105"/>
    <x v="1"/>
    <x v="63"/>
    <x v="3"/>
    <x v="287"/>
    <x v="97"/>
    <x v="0"/>
    <x v="0"/>
  </r>
  <r>
    <x v="890"/>
    <x v="0"/>
    <x v="92"/>
    <x v="1"/>
    <x v="24"/>
    <x v="3"/>
    <x v="288"/>
    <x v="72"/>
    <x v="3"/>
    <x v="3"/>
  </r>
  <r>
    <x v="890"/>
    <x v="1"/>
    <x v="33"/>
    <x v="0"/>
    <x v="14"/>
    <x v="2"/>
    <x v="62"/>
    <x v="29"/>
    <x v="1"/>
    <x v="1"/>
  </r>
  <r>
    <x v="890"/>
    <x v="2"/>
    <x v="100"/>
    <x v="1"/>
    <x v="61"/>
    <x v="3"/>
    <x v="302"/>
    <x v="92"/>
    <x v="1"/>
    <x v="1"/>
  </r>
  <r>
    <x v="890"/>
    <x v="3"/>
    <x v="69"/>
    <x v="0"/>
    <x v="47"/>
    <x v="3"/>
    <x v="389"/>
    <x v="62"/>
    <x v="6"/>
    <x v="6"/>
  </r>
  <r>
    <x v="891"/>
    <x v="0"/>
    <x v="107"/>
    <x v="0"/>
    <x v="61"/>
    <x v="3"/>
    <x v="326"/>
    <x v="99"/>
    <x v="1"/>
    <x v="1"/>
  </r>
  <r>
    <x v="891"/>
    <x v="1"/>
    <x v="11"/>
    <x v="1"/>
    <x v="9"/>
    <x v="0"/>
    <x v="44"/>
    <x v="10"/>
    <x v="4"/>
    <x v="4"/>
  </r>
  <r>
    <x v="891"/>
    <x v="2"/>
    <x v="69"/>
    <x v="1"/>
    <x v="47"/>
    <x v="1"/>
    <x v="390"/>
    <x v="62"/>
    <x v="6"/>
    <x v="6"/>
  </r>
  <r>
    <x v="891"/>
    <x v="3"/>
    <x v="54"/>
    <x v="0"/>
    <x v="37"/>
    <x v="2"/>
    <x v="232"/>
    <x v="47"/>
    <x v="5"/>
    <x v="5"/>
  </r>
  <r>
    <x v="892"/>
    <x v="0"/>
    <x v="50"/>
    <x v="1"/>
    <x v="34"/>
    <x v="2"/>
    <x v="251"/>
    <x v="43"/>
    <x v="0"/>
    <x v="0"/>
  </r>
  <r>
    <x v="892"/>
    <x v="1"/>
    <x v="78"/>
    <x v="0"/>
    <x v="52"/>
    <x v="1"/>
    <x v="242"/>
    <x v="71"/>
    <x v="1"/>
    <x v="1"/>
  </r>
  <r>
    <x v="893"/>
    <x v="0"/>
    <x v="70"/>
    <x v="1"/>
    <x v="48"/>
    <x v="0"/>
    <x v="191"/>
    <x v="63"/>
    <x v="5"/>
    <x v="5"/>
  </r>
  <r>
    <x v="894"/>
    <x v="0"/>
    <x v="26"/>
    <x v="0"/>
    <x v="19"/>
    <x v="1"/>
    <x v="274"/>
    <x v="22"/>
    <x v="3"/>
    <x v="3"/>
  </r>
  <r>
    <x v="895"/>
    <x v="0"/>
    <x v="87"/>
    <x v="1"/>
    <x v="29"/>
    <x v="2"/>
    <x v="215"/>
    <x v="80"/>
    <x v="5"/>
    <x v="5"/>
  </r>
  <r>
    <x v="895"/>
    <x v="1"/>
    <x v="2"/>
    <x v="0"/>
    <x v="2"/>
    <x v="2"/>
    <x v="99"/>
    <x v="2"/>
    <x v="2"/>
    <x v="2"/>
  </r>
  <r>
    <x v="896"/>
    <x v="0"/>
    <x v="86"/>
    <x v="0"/>
    <x v="54"/>
    <x v="2"/>
    <x v="391"/>
    <x v="79"/>
    <x v="3"/>
    <x v="3"/>
  </r>
  <r>
    <x v="896"/>
    <x v="1"/>
    <x v="81"/>
    <x v="0"/>
    <x v="29"/>
    <x v="2"/>
    <x v="277"/>
    <x v="74"/>
    <x v="5"/>
    <x v="5"/>
  </r>
  <r>
    <x v="897"/>
    <x v="0"/>
    <x v="78"/>
    <x v="1"/>
    <x v="52"/>
    <x v="0"/>
    <x v="250"/>
    <x v="71"/>
    <x v="1"/>
    <x v="1"/>
  </r>
  <r>
    <x v="897"/>
    <x v="1"/>
    <x v="3"/>
    <x v="0"/>
    <x v="0"/>
    <x v="1"/>
    <x v="5"/>
    <x v="3"/>
    <x v="0"/>
    <x v="0"/>
  </r>
  <r>
    <x v="897"/>
    <x v="2"/>
    <x v="94"/>
    <x v="1"/>
    <x v="59"/>
    <x v="0"/>
    <x v="241"/>
    <x v="86"/>
    <x v="6"/>
    <x v="6"/>
  </r>
  <r>
    <x v="897"/>
    <x v="3"/>
    <x v="79"/>
    <x v="1"/>
    <x v="24"/>
    <x v="1"/>
    <x v="207"/>
    <x v="72"/>
    <x v="0"/>
    <x v="0"/>
  </r>
  <r>
    <x v="898"/>
    <x v="0"/>
    <x v="64"/>
    <x v="1"/>
    <x v="44"/>
    <x v="3"/>
    <x v="392"/>
    <x v="57"/>
    <x v="6"/>
    <x v="6"/>
  </r>
  <r>
    <x v="898"/>
    <x v="1"/>
    <x v="7"/>
    <x v="0"/>
    <x v="6"/>
    <x v="3"/>
    <x v="47"/>
    <x v="7"/>
    <x v="0"/>
    <x v="0"/>
  </r>
  <r>
    <x v="898"/>
    <x v="2"/>
    <x v="18"/>
    <x v="0"/>
    <x v="14"/>
    <x v="0"/>
    <x v="63"/>
    <x v="16"/>
    <x v="1"/>
    <x v="1"/>
  </r>
  <r>
    <x v="899"/>
    <x v="0"/>
    <x v="8"/>
    <x v="1"/>
    <x v="0"/>
    <x v="2"/>
    <x v="3"/>
    <x v="3"/>
    <x v="3"/>
    <x v="3"/>
  </r>
  <r>
    <x v="899"/>
    <x v="1"/>
    <x v="75"/>
    <x v="0"/>
    <x v="19"/>
    <x v="1"/>
    <x v="274"/>
    <x v="68"/>
    <x v="3"/>
    <x v="3"/>
  </r>
  <r>
    <x v="899"/>
    <x v="2"/>
    <x v="84"/>
    <x v="0"/>
    <x v="30"/>
    <x v="0"/>
    <x v="269"/>
    <x v="77"/>
    <x v="5"/>
    <x v="5"/>
  </r>
  <r>
    <x v="899"/>
    <x v="3"/>
    <x v="32"/>
    <x v="1"/>
    <x v="23"/>
    <x v="2"/>
    <x v="244"/>
    <x v="28"/>
    <x v="4"/>
    <x v="4"/>
  </r>
  <r>
    <x v="899"/>
    <x v="4"/>
    <x v="76"/>
    <x v="1"/>
    <x v="50"/>
    <x v="1"/>
    <x v="393"/>
    <x v="69"/>
    <x v="1"/>
    <x v="1"/>
  </r>
  <r>
    <x v="900"/>
    <x v="0"/>
    <x v="69"/>
    <x v="0"/>
    <x v="47"/>
    <x v="0"/>
    <x v="190"/>
    <x v="62"/>
    <x v="6"/>
    <x v="6"/>
  </r>
  <r>
    <x v="900"/>
    <x v="1"/>
    <x v="52"/>
    <x v="0"/>
    <x v="28"/>
    <x v="1"/>
    <x v="192"/>
    <x v="45"/>
    <x v="1"/>
    <x v="1"/>
  </r>
  <r>
    <x v="901"/>
    <x v="0"/>
    <x v="83"/>
    <x v="1"/>
    <x v="8"/>
    <x v="1"/>
    <x v="30"/>
    <x v="76"/>
    <x v="1"/>
    <x v="1"/>
  </r>
  <r>
    <x v="901"/>
    <x v="1"/>
    <x v="102"/>
    <x v="0"/>
    <x v="30"/>
    <x v="1"/>
    <x v="158"/>
    <x v="94"/>
    <x v="5"/>
    <x v="5"/>
  </r>
  <r>
    <x v="901"/>
    <x v="2"/>
    <x v="10"/>
    <x v="0"/>
    <x v="8"/>
    <x v="0"/>
    <x v="57"/>
    <x v="9"/>
    <x v="0"/>
    <x v="0"/>
  </r>
  <r>
    <x v="901"/>
    <x v="3"/>
    <x v="35"/>
    <x v="1"/>
    <x v="15"/>
    <x v="2"/>
    <x v="89"/>
    <x v="31"/>
    <x v="0"/>
    <x v="0"/>
  </r>
  <r>
    <x v="902"/>
    <x v="0"/>
    <x v="93"/>
    <x v="1"/>
    <x v="58"/>
    <x v="1"/>
    <x v="394"/>
    <x v="85"/>
    <x v="1"/>
    <x v="1"/>
  </r>
  <r>
    <x v="902"/>
    <x v="1"/>
    <x v="74"/>
    <x v="1"/>
    <x v="42"/>
    <x v="2"/>
    <x v="199"/>
    <x v="67"/>
    <x v="6"/>
    <x v="6"/>
  </r>
  <r>
    <x v="903"/>
    <x v="0"/>
    <x v="107"/>
    <x v="1"/>
    <x v="61"/>
    <x v="3"/>
    <x v="302"/>
    <x v="99"/>
    <x v="1"/>
    <x v="1"/>
  </r>
  <r>
    <x v="903"/>
    <x v="1"/>
    <x v="80"/>
    <x v="1"/>
    <x v="53"/>
    <x v="1"/>
    <x v="208"/>
    <x v="73"/>
    <x v="6"/>
    <x v="6"/>
  </r>
  <r>
    <x v="903"/>
    <x v="2"/>
    <x v="102"/>
    <x v="1"/>
    <x v="30"/>
    <x v="0"/>
    <x v="266"/>
    <x v="94"/>
    <x v="5"/>
    <x v="5"/>
  </r>
  <r>
    <x v="903"/>
    <x v="3"/>
    <x v="17"/>
    <x v="0"/>
    <x v="11"/>
    <x v="0"/>
    <x v="51"/>
    <x v="15"/>
    <x v="0"/>
    <x v="0"/>
  </r>
  <r>
    <x v="904"/>
    <x v="0"/>
    <x v="50"/>
    <x v="0"/>
    <x v="34"/>
    <x v="3"/>
    <x v="173"/>
    <x v="43"/>
    <x v="0"/>
    <x v="0"/>
  </r>
  <r>
    <x v="904"/>
    <x v="1"/>
    <x v="37"/>
    <x v="1"/>
    <x v="25"/>
    <x v="2"/>
    <x v="371"/>
    <x v="33"/>
    <x v="2"/>
    <x v="2"/>
  </r>
  <r>
    <x v="904"/>
    <x v="2"/>
    <x v="41"/>
    <x v="1"/>
    <x v="27"/>
    <x v="0"/>
    <x v="194"/>
    <x v="36"/>
    <x v="1"/>
    <x v="1"/>
  </r>
  <r>
    <x v="904"/>
    <x v="3"/>
    <x v="0"/>
    <x v="0"/>
    <x v="0"/>
    <x v="0"/>
    <x v="0"/>
    <x v="0"/>
    <x v="0"/>
    <x v="0"/>
  </r>
  <r>
    <x v="905"/>
    <x v="0"/>
    <x v="19"/>
    <x v="1"/>
    <x v="15"/>
    <x v="0"/>
    <x v="33"/>
    <x v="17"/>
    <x v="5"/>
    <x v="5"/>
  </r>
  <r>
    <x v="905"/>
    <x v="1"/>
    <x v="76"/>
    <x v="1"/>
    <x v="50"/>
    <x v="1"/>
    <x v="393"/>
    <x v="69"/>
    <x v="1"/>
    <x v="1"/>
  </r>
  <r>
    <x v="905"/>
    <x v="2"/>
    <x v="109"/>
    <x v="0"/>
    <x v="64"/>
    <x v="2"/>
    <x v="395"/>
    <x v="101"/>
    <x v="1"/>
    <x v="1"/>
  </r>
  <r>
    <x v="905"/>
    <x v="3"/>
    <x v="48"/>
    <x v="1"/>
    <x v="26"/>
    <x v="3"/>
    <x v="270"/>
    <x v="34"/>
    <x v="3"/>
    <x v="3"/>
  </r>
  <r>
    <x v="905"/>
    <x v="4"/>
    <x v="13"/>
    <x v="1"/>
    <x v="11"/>
    <x v="0"/>
    <x v="78"/>
    <x v="12"/>
    <x v="5"/>
    <x v="5"/>
  </r>
  <r>
    <x v="906"/>
    <x v="0"/>
    <x v="73"/>
    <x v="1"/>
    <x v="49"/>
    <x v="1"/>
    <x v="396"/>
    <x v="66"/>
    <x v="5"/>
    <x v="5"/>
  </r>
  <r>
    <x v="906"/>
    <x v="1"/>
    <x v="105"/>
    <x v="0"/>
    <x v="63"/>
    <x v="1"/>
    <x v="397"/>
    <x v="97"/>
    <x v="0"/>
    <x v="0"/>
  </r>
  <r>
    <x v="907"/>
    <x v="0"/>
    <x v="67"/>
    <x v="0"/>
    <x v="46"/>
    <x v="0"/>
    <x v="358"/>
    <x v="60"/>
    <x v="1"/>
    <x v="1"/>
  </r>
  <r>
    <x v="907"/>
    <x v="1"/>
    <x v="49"/>
    <x v="0"/>
    <x v="33"/>
    <x v="3"/>
    <x v="398"/>
    <x v="42"/>
    <x v="5"/>
    <x v="5"/>
  </r>
  <r>
    <x v="907"/>
    <x v="2"/>
    <x v="48"/>
    <x v="1"/>
    <x v="26"/>
    <x v="3"/>
    <x v="270"/>
    <x v="34"/>
    <x v="3"/>
    <x v="3"/>
  </r>
  <r>
    <x v="908"/>
    <x v="0"/>
    <x v="21"/>
    <x v="0"/>
    <x v="16"/>
    <x v="0"/>
    <x v="58"/>
    <x v="18"/>
    <x v="1"/>
    <x v="1"/>
  </r>
  <r>
    <x v="909"/>
    <x v="0"/>
    <x v="19"/>
    <x v="0"/>
    <x v="15"/>
    <x v="3"/>
    <x v="37"/>
    <x v="17"/>
    <x v="5"/>
    <x v="5"/>
  </r>
  <r>
    <x v="910"/>
    <x v="0"/>
    <x v="82"/>
    <x v="1"/>
    <x v="34"/>
    <x v="2"/>
    <x v="251"/>
    <x v="75"/>
    <x v="0"/>
    <x v="0"/>
  </r>
  <r>
    <x v="910"/>
    <x v="1"/>
    <x v="26"/>
    <x v="0"/>
    <x v="19"/>
    <x v="2"/>
    <x v="399"/>
    <x v="22"/>
    <x v="3"/>
    <x v="3"/>
  </r>
  <r>
    <x v="910"/>
    <x v="2"/>
    <x v="87"/>
    <x v="1"/>
    <x v="29"/>
    <x v="2"/>
    <x v="215"/>
    <x v="80"/>
    <x v="5"/>
    <x v="5"/>
  </r>
  <r>
    <x v="910"/>
    <x v="3"/>
    <x v="60"/>
    <x v="0"/>
    <x v="25"/>
    <x v="0"/>
    <x v="152"/>
    <x v="53"/>
    <x v="6"/>
    <x v="6"/>
  </r>
  <r>
    <x v="911"/>
    <x v="0"/>
    <x v="13"/>
    <x v="1"/>
    <x v="11"/>
    <x v="0"/>
    <x v="78"/>
    <x v="12"/>
    <x v="5"/>
    <x v="5"/>
  </r>
  <r>
    <x v="911"/>
    <x v="1"/>
    <x v="68"/>
    <x v="1"/>
    <x v="24"/>
    <x v="2"/>
    <x v="293"/>
    <x v="61"/>
    <x v="0"/>
    <x v="0"/>
  </r>
  <r>
    <x v="911"/>
    <x v="2"/>
    <x v="70"/>
    <x v="0"/>
    <x v="48"/>
    <x v="2"/>
    <x v="327"/>
    <x v="63"/>
    <x v="5"/>
    <x v="5"/>
  </r>
  <r>
    <x v="911"/>
    <x v="3"/>
    <x v="6"/>
    <x v="1"/>
    <x v="5"/>
    <x v="0"/>
    <x v="39"/>
    <x v="6"/>
    <x v="1"/>
    <x v="1"/>
  </r>
  <r>
    <x v="912"/>
    <x v="0"/>
    <x v="45"/>
    <x v="1"/>
    <x v="30"/>
    <x v="3"/>
    <x v="343"/>
    <x v="39"/>
    <x v="5"/>
    <x v="5"/>
  </r>
  <r>
    <x v="912"/>
    <x v="1"/>
    <x v="24"/>
    <x v="1"/>
    <x v="8"/>
    <x v="2"/>
    <x v="11"/>
    <x v="9"/>
    <x v="3"/>
    <x v="3"/>
  </r>
  <r>
    <x v="913"/>
    <x v="0"/>
    <x v="83"/>
    <x v="0"/>
    <x v="8"/>
    <x v="1"/>
    <x v="77"/>
    <x v="76"/>
    <x v="1"/>
    <x v="1"/>
  </r>
  <r>
    <x v="913"/>
    <x v="1"/>
    <x v="0"/>
    <x v="1"/>
    <x v="0"/>
    <x v="0"/>
    <x v="24"/>
    <x v="0"/>
    <x v="0"/>
    <x v="0"/>
  </r>
  <r>
    <x v="913"/>
    <x v="2"/>
    <x v="26"/>
    <x v="0"/>
    <x v="19"/>
    <x v="2"/>
    <x v="399"/>
    <x v="22"/>
    <x v="3"/>
    <x v="3"/>
  </r>
  <r>
    <x v="913"/>
    <x v="3"/>
    <x v="109"/>
    <x v="0"/>
    <x v="64"/>
    <x v="3"/>
    <x v="400"/>
    <x v="101"/>
    <x v="1"/>
    <x v="1"/>
  </r>
  <r>
    <x v="914"/>
    <x v="0"/>
    <x v="38"/>
    <x v="0"/>
    <x v="26"/>
    <x v="2"/>
    <x v="275"/>
    <x v="34"/>
    <x v="0"/>
    <x v="0"/>
  </r>
  <r>
    <x v="914"/>
    <x v="1"/>
    <x v="74"/>
    <x v="0"/>
    <x v="42"/>
    <x v="1"/>
    <x v="245"/>
    <x v="67"/>
    <x v="6"/>
    <x v="6"/>
  </r>
  <r>
    <x v="914"/>
    <x v="2"/>
    <x v="41"/>
    <x v="0"/>
    <x v="27"/>
    <x v="0"/>
    <x v="319"/>
    <x v="36"/>
    <x v="1"/>
    <x v="1"/>
  </r>
  <r>
    <x v="914"/>
    <x v="3"/>
    <x v="6"/>
    <x v="0"/>
    <x v="5"/>
    <x v="1"/>
    <x v="116"/>
    <x v="6"/>
    <x v="1"/>
    <x v="1"/>
  </r>
  <r>
    <x v="915"/>
    <x v="0"/>
    <x v="102"/>
    <x v="0"/>
    <x v="30"/>
    <x v="0"/>
    <x v="269"/>
    <x v="94"/>
    <x v="5"/>
    <x v="5"/>
  </r>
  <r>
    <x v="916"/>
    <x v="0"/>
    <x v="67"/>
    <x v="0"/>
    <x v="46"/>
    <x v="1"/>
    <x v="298"/>
    <x v="60"/>
    <x v="1"/>
    <x v="1"/>
  </r>
  <r>
    <x v="917"/>
    <x v="0"/>
    <x v="87"/>
    <x v="0"/>
    <x v="29"/>
    <x v="0"/>
    <x v="344"/>
    <x v="80"/>
    <x v="5"/>
    <x v="5"/>
  </r>
  <r>
    <x v="917"/>
    <x v="1"/>
    <x v="93"/>
    <x v="0"/>
    <x v="58"/>
    <x v="3"/>
    <x v="401"/>
    <x v="85"/>
    <x v="1"/>
    <x v="1"/>
  </r>
  <r>
    <x v="917"/>
    <x v="2"/>
    <x v="4"/>
    <x v="1"/>
    <x v="3"/>
    <x v="1"/>
    <x v="127"/>
    <x v="4"/>
    <x v="1"/>
    <x v="1"/>
  </r>
  <r>
    <x v="918"/>
    <x v="0"/>
    <x v="14"/>
    <x v="0"/>
    <x v="12"/>
    <x v="1"/>
    <x v="140"/>
    <x v="13"/>
    <x v="1"/>
    <x v="1"/>
  </r>
  <r>
    <x v="918"/>
    <x v="1"/>
    <x v="99"/>
    <x v="0"/>
    <x v="60"/>
    <x v="3"/>
    <x v="402"/>
    <x v="91"/>
    <x v="1"/>
    <x v="1"/>
  </r>
  <r>
    <x v="919"/>
    <x v="0"/>
    <x v="35"/>
    <x v="0"/>
    <x v="15"/>
    <x v="2"/>
    <x v="115"/>
    <x v="31"/>
    <x v="0"/>
    <x v="0"/>
  </r>
  <r>
    <x v="919"/>
    <x v="1"/>
    <x v="62"/>
    <x v="1"/>
    <x v="42"/>
    <x v="1"/>
    <x v="177"/>
    <x v="55"/>
    <x v="1"/>
    <x v="1"/>
  </r>
  <r>
    <x v="919"/>
    <x v="2"/>
    <x v="46"/>
    <x v="0"/>
    <x v="31"/>
    <x v="2"/>
    <x v="159"/>
    <x v="40"/>
    <x v="0"/>
    <x v="0"/>
  </r>
  <r>
    <x v="919"/>
    <x v="3"/>
    <x v="53"/>
    <x v="1"/>
    <x v="36"/>
    <x v="1"/>
    <x v="304"/>
    <x v="46"/>
    <x v="0"/>
    <x v="0"/>
  </r>
  <r>
    <x v="920"/>
    <x v="0"/>
    <x v="104"/>
    <x v="0"/>
    <x v="62"/>
    <x v="0"/>
    <x v="403"/>
    <x v="96"/>
    <x v="0"/>
    <x v="0"/>
  </r>
  <r>
    <x v="920"/>
    <x v="1"/>
    <x v="85"/>
    <x v="1"/>
    <x v="0"/>
    <x v="1"/>
    <x v="19"/>
    <x v="78"/>
    <x v="0"/>
    <x v="0"/>
  </r>
  <r>
    <x v="920"/>
    <x v="2"/>
    <x v="74"/>
    <x v="0"/>
    <x v="42"/>
    <x v="3"/>
    <x v="404"/>
    <x v="67"/>
    <x v="6"/>
    <x v="6"/>
  </r>
  <r>
    <x v="921"/>
    <x v="0"/>
    <x v="39"/>
    <x v="0"/>
    <x v="19"/>
    <x v="0"/>
    <x v="188"/>
    <x v="22"/>
    <x v="0"/>
    <x v="0"/>
  </r>
  <r>
    <x v="921"/>
    <x v="1"/>
    <x v="30"/>
    <x v="0"/>
    <x v="5"/>
    <x v="0"/>
    <x v="56"/>
    <x v="26"/>
    <x v="0"/>
    <x v="0"/>
  </r>
  <r>
    <x v="921"/>
    <x v="2"/>
    <x v="106"/>
    <x v="0"/>
    <x v="39"/>
    <x v="3"/>
    <x v="174"/>
    <x v="98"/>
    <x v="5"/>
    <x v="5"/>
  </r>
  <r>
    <x v="922"/>
    <x v="0"/>
    <x v="51"/>
    <x v="1"/>
    <x v="35"/>
    <x v="2"/>
    <x v="405"/>
    <x v="44"/>
    <x v="0"/>
    <x v="0"/>
  </r>
  <r>
    <x v="922"/>
    <x v="1"/>
    <x v="18"/>
    <x v="0"/>
    <x v="14"/>
    <x v="3"/>
    <x v="107"/>
    <x v="16"/>
    <x v="1"/>
    <x v="1"/>
  </r>
  <r>
    <x v="923"/>
    <x v="0"/>
    <x v="44"/>
    <x v="1"/>
    <x v="29"/>
    <x v="0"/>
    <x v="209"/>
    <x v="38"/>
    <x v="5"/>
    <x v="5"/>
  </r>
  <r>
    <x v="923"/>
    <x v="1"/>
    <x v="107"/>
    <x v="0"/>
    <x v="61"/>
    <x v="0"/>
    <x v="265"/>
    <x v="99"/>
    <x v="1"/>
    <x v="1"/>
  </r>
  <r>
    <x v="924"/>
    <x v="0"/>
    <x v="44"/>
    <x v="0"/>
    <x v="29"/>
    <x v="1"/>
    <x v="243"/>
    <x v="38"/>
    <x v="5"/>
    <x v="5"/>
  </r>
  <r>
    <x v="924"/>
    <x v="1"/>
    <x v="37"/>
    <x v="1"/>
    <x v="25"/>
    <x v="0"/>
    <x v="165"/>
    <x v="33"/>
    <x v="2"/>
    <x v="2"/>
  </r>
  <r>
    <x v="925"/>
    <x v="0"/>
    <x v="88"/>
    <x v="1"/>
    <x v="55"/>
    <x v="0"/>
    <x v="406"/>
    <x v="81"/>
    <x v="1"/>
    <x v="1"/>
  </r>
  <r>
    <x v="926"/>
    <x v="0"/>
    <x v="51"/>
    <x v="1"/>
    <x v="35"/>
    <x v="3"/>
    <x v="264"/>
    <x v="44"/>
    <x v="0"/>
    <x v="0"/>
  </r>
  <r>
    <x v="926"/>
    <x v="1"/>
    <x v="3"/>
    <x v="1"/>
    <x v="0"/>
    <x v="0"/>
    <x v="24"/>
    <x v="3"/>
    <x v="0"/>
    <x v="0"/>
  </r>
  <r>
    <x v="926"/>
    <x v="2"/>
    <x v="69"/>
    <x v="0"/>
    <x v="47"/>
    <x v="3"/>
    <x v="389"/>
    <x v="62"/>
    <x v="6"/>
    <x v="6"/>
  </r>
  <r>
    <x v="926"/>
    <x v="3"/>
    <x v="5"/>
    <x v="0"/>
    <x v="4"/>
    <x v="3"/>
    <x v="16"/>
    <x v="5"/>
    <x v="1"/>
    <x v="1"/>
  </r>
  <r>
    <x v="926"/>
    <x v="4"/>
    <x v="52"/>
    <x v="0"/>
    <x v="28"/>
    <x v="1"/>
    <x v="192"/>
    <x v="45"/>
    <x v="1"/>
    <x v="1"/>
  </r>
  <r>
    <x v="927"/>
    <x v="0"/>
    <x v="68"/>
    <x v="1"/>
    <x v="24"/>
    <x v="2"/>
    <x v="293"/>
    <x v="61"/>
    <x v="0"/>
    <x v="0"/>
  </r>
  <r>
    <x v="927"/>
    <x v="1"/>
    <x v="56"/>
    <x v="0"/>
    <x v="39"/>
    <x v="0"/>
    <x v="296"/>
    <x v="49"/>
    <x v="5"/>
    <x v="5"/>
  </r>
  <r>
    <x v="928"/>
    <x v="0"/>
    <x v="90"/>
    <x v="0"/>
    <x v="43"/>
    <x v="0"/>
    <x v="212"/>
    <x v="83"/>
    <x v="0"/>
    <x v="0"/>
  </r>
  <r>
    <x v="928"/>
    <x v="1"/>
    <x v="65"/>
    <x v="1"/>
    <x v="25"/>
    <x v="3"/>
    <x v="279"/>
    <x v="58"/>
    <x v="2"/>
    <x v="2"/>
  </r>
  <r>
    <x v="928"/>
    <x v="2"/>
    <x v="24"/>
    <x v="0"/>
    <x v="8"/>
    <x v="2"/>
    <x v="101"/>
    <x v="9"/>
    <x v="3"/>
    <x v="3"/>
  </r>
  <r>
    <x v="929"/>
    <x v="0"/>
    <x v="28"/>
    <x v="1"/>
    <x v="21"/>
    <x v="1"/>
    <x v="354"/>
    <x v="24"/>
    <x v="6"/>
    <x v="6"/>
  </r>
  <r>
    <x v="929"/>
    <x v="1"/>
    <x v="90"/>
    <x v="0"/>
    <x v="43"/>
    <x v="1"/>
    <x v="348"/>
    <x v="83"/>
    <x v="0"/>
    <x v="0"/>
  </r>
  <r>
    <x v="929"/>
    <x v="2"/>
    <x v="91"/>
    <x v="0"/>
    <x v="57"/>
    <x v="3"/>
    <x v="407"/>
    <x v="84"/>
    <x v="4"/>
    <x v="4"/>
  </r>
  <r>
    <x v="929"/>
    <x v="3"/>
    <x v="105"/>
    <x v="1"/>
    <x v="63"/>
    <x v="2"/>
    <x v="380"/>
    <x v="97"/>
    <x v="0"/>
    <x v="0"/>
  </r>
  <r>
    <x v="929"/>
    <x v="4"/>
    <x v="80"/>
    <x v="1"/>
    <x v="53"/>
    <x v="3"/>
    <x v="408"/>
    <x v="73"/>
    <x v="6"/>
    <x v="6"/>
  </r>
  <r>
    <x v="930"/>
    <x v="0"/>
    <x v="60"/>
    <x v="1"/>
    <x v="25"/>
    <x v="1"/>
    <x v="182"/>
    <x v="53"/>
    <x v="6"/>
    <x v="6"/>
  </r>
  <r>
    <x v="930"/>
    <x v="1"/>
    <x v="35"/>
    <x v="0"/>
    <x v="15"/>
    <x v="0"/>
    <x v="122"/>
    <x v="31"/>
    <x v="0"/>
    <x v="0"/>
  </r>
  <r>
    <x v="931"/>
    <x v="0"/>
    <x v="51"/>
    <x v="0"/>
    <x v="35"/>
    <x v="2"/>
    <x v="167"/>
    <x v="44"/>
    <x v="0"/>
    <x v="0"/>
  </r>
  <r>
    <x v="932"/>
    <x v="0"/>
    <x v="104"/>
    <x v="0"/>
    <x v="62"/>
    <x v="1"/>
    <x v="409"/>
    <x v="96"/>
    <x v="0"/>
    <x v="0"/>
  </r>
  <r>
    <x v="932"/>
    <x v="1"/>
    <x v="20"/>
    <x v="0"/>
    <x v="11"/>
    <x v="0"/>
    <x v="51"/>
    <x v="15"/>
    <x v="5"/>
    <x v="5"/>
  </r>
  <r>
    <x v="932"/>
    <x v="2"/>
    <x v="85"/>
    <x v="1"/>
    <x v="0"/>
    <x v="2"/>
    <x v="3"/>
    <x v="78"/>
    <x v="0"/>
    <x v="0"/>
  </r>
  <r>
    <x v="933"/>
    <x v="0"/>
    <x v="100"/>
    <x v="1"/>
    <x v="61"/>
    <x v="2"/>
    <x v="323"/>
    <x v="92"/>
    <x v="1"/>
    <x v="1"/>
  </r>
  <r>
    <x v="933"/>
    <x v="1"/>
    <x v="74"/>
    <x v="0"/>
    <x v="42"/>
    <x v="2"/>
    <x v="196"/>
    <x v="67"/>
    <x v="6"/>
    <x v="6"/>
  </r>
  <r>
    <x v="933"/>
    <x v="2"/>
    <x v="9"/>
    <x v="0"/>
    <x v="7"/>
    <x v="3"/>
    <x v="65"/>
    <x v="8"/>
    <x v="0"/>
    <x v="0"/>
  </r>
  <r>
    <x v="933"/>
    <x v="3"/>
    <x v="32"/>
    <x v="0"/>
    <x v="23"/>
    <x v="1"/>
    <x v="193"/>
    <x v="28"/>
    <x v="4"/>
    <x v="4"/>
  </r>
  <r>
    <x v="933"/>
    <x v="4"/>
    <x v="28"/>
    <x v="1"/>
    <x v="21"/>
    <x v="0"/>
    <x v="410"/>
    <x v="24"/>
    <x v="6"/>
    <x v="6"/>
  </r>
  <r>
    <x v="934"/>
    <x v="0"/>
    <x v="105"/>
    <x v="1"/>
    <x v="63"/>
    <x v="0"/>
    <x v="384"/>
    <x v="97"/>
    <x v="0"/>
    <x v="0"/>
  </r>
  <r>
    <x v="934"/>
    <x v="1"/>
    <x v="35"/>
    <x v="1"/>
    <x v="15"/>
    <x v="1"/>
    <x v="69"/>
    <x v="31"/>
    <x v="0"/>
    <x v="0"/>
  </r>
  <r>
    <x v="934"/>
    <x v="2"/>
    <x v="18"/>
    <x v="0"/>
    <x v="14"/>
    <x v="1"/>
    <x v="29"/>
    <x v="16"/>
    <x v="1"/>
    <x v="1"/>
  </r>
  <r>
    <x v="934"/>
    <x v="3"/>
    <x v="83"/>
    <x v="0"/>
    <x v="8"/>
    <x v="1"/>
    <x v="77"/>
    <x v="76"/>
    <x v="1"/>
    <x v="1"/>
  </r>
  <r>
    <x v="935"/>
    <x v="0"/>
    <x v="63"/>
    <x v="0"/>
    <x v="43"/>
    <x v="3"/>
    <x v="388"/>
    <x v="56"/>
    <x v="0"/>
    <x v="0"/>
  </r>
  <r>
    <x v="935"/>
    <x v="1"/>
    <x v="99"/>
    <x v="0"/>
    <x v="60"/>
    <x v="1"/>
    <x v="411"/>
    <x v="91"/>
    <x v="1"/>
    <x v="1"/>
  </r>
  <r>
    <x v="936"/>
    <x v="0"/>
    <x v="75"/>
    <x v="1"/>
    <x v="19"/>
    <x v="3"/>
    <x v="145"/>
    <x v="68"/>
    <x v="3"/>
    <x v="3"/>
  </r>
  <r>
    <x v="936"/>
    <x v="1"/>
    <x v="80"/>
    <x v="1"/>
    <x v="53"/>
    <x v="1"/>
    <x v="208"/>
    <x v="73"/>
    <x v="6"/>
    <x v="6"/>
  </r>
  <r>
    <x v="936"/>
    <x v="2"/>
    <x v="71"/>
    <x v="1"/>
    <x v="23"/>
    <x v="1"/>
    <x v="179"/>
    <x v="64"/>
    <x v="6"/>
    <x v="6"/>
  </r>
  <r>
    <x v="936"/>
    <x v="3"/>
    <x v="76"/>
    <x v="1"/>
    <x v="50"/>
    <x v="1"/>
    <x v="393"/>
    <x v="69"/>
    <x v="1"/>
    <x v="1"/>
  </r>
  <r>
    <x v="936"/>
    <x v="4"/>
    <x v="82"/>
    <x v="0"/>
    <x v="34"/>
    <x v="0"/>
    <x v="210"/>
    <x v="75"/>
    <x v="0"/>
    <x v="0"/>
  </r>
  <r>
    <x v="937"/>
    <x v="0"/>
    <x v="4"/>
    <x v="0"/>
    <x v="3"/>
    <x v="2"/>
    <x v="143"/>
    <x v="4"/>
    <x v="1"/>
    <x v="1"/>
  </r>
  <r>
    <x v="937"/>
    <x v="1"/>
    <x v="17"/>
    <x v="0"/>
    <x v="11"/>
    <x v="2"/>
    <x v="18"/>
    <x v="15"/>
    <x v="0"/>
    <x v="0"/>
  </r>
  <r>
    <x v="938"/>
    <x v="0"/>
    <x v="21"/>
    <x v="0"/>
    <x v="16"/>
    <x v="3"/>
    <x v="38"/>
    <x v="18"/>
    <x v="1"/>
    <x v="1"/>
  </r>
  <r>
    <x v="938"/>
    <x v="1"/>
    <x v="92"/>
    <x v="1"/>
    <x v="24"/>
    <x v="0"/>
    <x v="151"/>
    <x v="72"/>
    <x v="3"/>
    <x v="3"/>
  </r>
  <r>
    <x v="939"/>
    <x v="0"/>
    <x v="85"/>
    <x v="1"/>
    <x v="0"/>
    <x v="0"/>
    <x v="24"/>
    <x v="78"/>
    <x v="0"/>
    <x v="0"/>
  </r>
  <r>
    <x v="940"/>
    <x v="0"/>
    <x v="22"/>
    <x v="0"/>
    <x v="17"/>
    <x v="3"/>
    <x v="93"/>
    <x v="19"/>
    <x v="3"/>
    <x v="3"/>
  </r>
  <r>
    <x v="940"/>
    <x v="1"/>
    <x v="48"/>
    <x v="1"/>
    <x v="26"/>
    <x v="2"/>
    <x v="162"/>
    <x v="34"/>
    <x v="3"/>
    <x v="3"/>
  </r>
  <r>
    <x v="940"/>
    <x v="2"/>
    <x v="16"/>
    <x v="1"/>
    <x v="13"/>
    <x v="1"/>
    <x v="136"/>
    <x v="14"/>
    <x v="2"/>
    <x v="2"/>
  </r>
  <r>
    <x v="941"/>
    <x v="0"/>
    <x v="72"/>
    <x v="1"/>
    <x v="26"/>
    <x v="2"/>
    <x v="162"/>
    <x v="65"/>
    <x v="5"/>
    <x v="5"/>
  </r>
  <r>
    <x v="941"/>
    <x v="1"/>
    <x v="55"/>
    <x v="1"/>
    <x v="38"/>
    <x v="3"/>
    <x v="267"/>
    <x v="48"/>
    <x v="3"/>
    <x v="3"/>
  </r>
  <r>
    <x v="941"/>
    <x v="2"/>
    <x v="100"/>
    <x v="1"/>
    <x v="61"/>
    <x v="1"/>
    <x v="317"/>
    <x v="92"/>
    <x v="1"/>
    <x v="1"/>
  </r>
  <r>
    <x v="941"/>
    <x v="3"/>
    <x v="27"/>
    <x v="0"/>
    <x v="20"/>
    <x v="2"/>
    <x v="146"/>
    <x v="23"/>
    <x v="3"/>
    <x v="3"/>
  </r>
  <r>
    <x v="941"/>
    <x v="4"/>
    <x v="96"/>
    <x v="0"/>
    <x v="26"/>
    <x v="2"/>
    <x v="275"/>
    <x v="88"/>
    <x v="5"/>
    <x v="5"/>
  </r>
  <r>
    <x v="942"/>
    <x v="0"/>
    <x v="22"/>
    <x v="0"/>
    <x v="17"/>
    <x v="0"/>
    <x v="76"/>
    <x v="19"/>
    <x v="3"/>
    <x v="3"/>
  </r>
  <r>
    <x v="942"/>
    <x v="1"/>
    <x v="90"/>
    <x v="0"/>
    <x v="43"/>
    <x v="0"/>
    <x v="212"/>
    <x v="83"/>
    <x v="0"/>
    <x v="0"/>
  </r>
  <r>
    <x v="943"/>
    <x v="0"/>
    <x v="61"/>
    <x v="1"/>
    <x v="4"/>
    <x v="1"/>
    <x v="13"/>
    <x v="54"/>
    <x v="1"/>
    <x v="1"/>
  </r>
  <r>
    <x v="943"/>
    <x v="1"/>
    <x v="3"/>
    <x v="1"/>
    <x v="0"/>
    <x v="3"/>
    <x v="28"/>
    <x v="3"/>
    <x v="0"/>
    <x v="0"/>
  </r>
  <r>
    <x v="943"/>
    <x v="2"/>
    <x v="63"/>
    <x v="1"/>
    <x v="43"/>
    <x v="0"/>
    <x v="247"/>
    <x v="56"/>
    <x v="0"/>
    <x v="0"/>
  </r>
  <r>
    <x v="943"/>
    <x v="3"/>
    <x v="25"/>
    <x v="1"/>
    <x v="18"/>
    <x v="0"/>
    <x v="144"/>
    <x v="21"/>
    <x v="5"/>
    <x v="5"/>
  </r>
  <r>
    <x v="943"/>
    <x v="4"/>
    <x v="79"/>
    <x v="1"/>
    <x v="24"/>
    <x v="1"/>
    <x v="207"/>
    <x v="72"/>
    <x v="0"/>
    <x v="0"/>
  </r>
  <r>
    <x v="944"/>
    <x v="0"/>
    <x v="86"/>
    <x v="0"/>
    <x v="54"/>
    <x v="2"/>
    <x v="391"/>
    <x v="79"/>
    <x v="3"/>
    <x v="3"/>
  </r>
  <r>
    <x v="944"/>
    <x v="1"/>
    <x v="49"/>
    <x v="1"/>
    <x v="33"/>
    <x v="0"/>
    <x v="291"/>
    <x v="42"/>
    <x v="5"/>
    <x v="5"/>
  </r>
  <r>
    <x v="944"/>
    <x v="2"/>
    <x v="98"/>
    <x v="1"/>
    <x v="14"/>
    <x v="2"/>
    <x v="124"/>
    <x v="90"/>
    <x v="1"/>
    <x v="1"/>
  </r>
  <r>
    <x v="944"/>
    <x v="3"/>
    <x v="99"/>
    <x v="1"/>
    <x v="60"/>
    <x v="3"/>
    <x v="412"/>
    <x v="91"/>
    <x v="1"/>
    <x v="1"/>
  </r>
  <r>
    <x v="944"/>
    <x v="4"/>
    <x v="69"/>
    <x v="1"/>
    <x v="47"/>
    <x v="2"/>
    <x v="342"/>
    <x v="62"/>
    <x v="6"/>
    <x v="6"/>
  </r>
  <r>
    <x v="945"/>
    <x v="0"/>
    <x v="14"/>
    <x v="0"/>
    <x v="12"/>
    <x v="3"/>
    <x v="40"/>
    <x v="13"/>
    <x v="1"/>
    <x v="1"/>
  </r>
  <r>
    <x v="945"/>
    <x v="1"/>
    <x v="25"/>
    <x v="1"/>
    <x v="18"/>
    <x v="0"/>
    <x v="144"/>
    <x v="21"/>
    <x v="5"/>
    <x v="5"/>
  </r>
  <r>
    <x v="945"/>
    <x v="2"/>
    <x v="37"/>
    <x v="0"/>
    <x v="25"/>
    <x v="2"/>
    <x v="413"/>
    <x v="33"/>
    <x v="2"/>
    <x v="2"/>
  </r>
  <r>
    <x v="945"/>
    <x v="3"/>
    <x v="13"/>
    <x v="1"/>
    <x v="11"/>
    <x v="0"/>
    <x v="78"/>
    <x v="12"/>
    <x v="5"/>
    <x v="5"/>
  </r>
  <r>
    <x v="945"/>
    <x v="4"/>
    <x v="28"/>
    <x v="1"/>
    <x v="21"/>
    <x v="1"/>
    <x v="354"/>
    <x v="24"/>
    <x v="6"/>
    <x v="6"/>
  </r>
  <r>
    <x v="946"/>
    <x v="0"/>
    <x v="33"/>
    <x v="0"/>
    <x v="14"/>
    <x v="2"/>
    <x v="62"/>
    <x v="29"/>
    <x v="1"/>
    <x v="1"/>
  </r>
  <r>
    <x v="946"/>
    <x v="1"/>
    <x v="41"/>
    <x v="1"/>
    <x v="27"/>
    <x v="1"/>
    <x v="414"/>
    <x v="36"/>
    <x v="1"/>
    <x v="1"/>
  </r>
  <r>
    <x v="946"/>
    <x v="2"/>
    <x v="99"/>
    <x v="0"/>
    <x v="60"/>
    <x v="1"/>
    <x v="411"/>
    <x v="91"/>
    <x v="1"/>
    <x v="1"/>
  </r>
  <r>
    <x v="947"/>
    <x v="0"/>
    <x v="19"/>
    <x v="1"/>
    <x v="15"/>
    <x v="0"/>
    <x v="33"/>
    <x v="17"/>
    <x v="5"/>
    <x v="5"/>
  </r>
  <r>
    <x v="947"/>
    <x v="1"/>
    <x v="0"/>
    <x v="1"/>
    <x v="0"/>
    <x v="3"/>
    <x v="28"/>
    <x v="0"/>
    <x v="0"/>
    <x v="0"/>
  </r>
  <r>
    <x v="947"/>
    <x v="2"/>
    <x v="70"/>
    <x v="0"/>
    <x v="48"/>
    <x v="0"/>
    <x v="415"/>
    <x v="63"/>
    <x v="5"/>
    <x v="5"/>
  </r>
  <r>
    <x v="947"/>
    <x v="3"/>
    <x v="102"/>
    <x v="1"/>
    <x v="30"/>
    <x v="0"/>
    <x v="266"/>
    <x v="94"/>
    <x v="5"/>
    <x v="5"/>
  </r>
  <r>
    <x v="947"/>
    <x v="4"/>
    <x v="31"/>
    <x v="1"/>
    <x v="22"/>
    <x v="0"/>
    <x v="416"/>
    <x v="27"/>
    <x v="0"/>
    <x v="0"/>
  </r>
  <r>
    <x v="948"/>
    <x v="0"/>
    <x v="11"/>
    <x v="1"/>
    <x v="9"/>
    <x v="3"/>
    <x v="42"/>
    <x v="10"/>
    <x v="4"/>
    <x v="4"/>
  </r>
  <r>
    <x v="948"/>
    <x v="1"/>
    <x v="66"/>
    <x v="1"/>
    <x v="45"/>
    <x v="2"/>
    <x v="256"/>
    <x v="59"/>
    <x v="6"/>
    <x v="6"/>
  </r>
  <r>
    <x v="949"/>
    <x v="0"/>
    <x v="28"/>
    <x v="0"/>
    <x v="21"/>
    <x v="2"/>
    <x v="347"/>
    <x v="24"/>
    <x v="6"/>
    <x v="6"/>
  </r>
  <r>
    <x v="950"/>
    <x v="0"/>
    <x v="64"/>
    <x v="0"/>
    <x v="44"/>
    <x v="3"/>
    <x v="417"/>
    <x v="57"/>
    <x v="6"/>
    <x v="6"/>
  </r>
  <r>
    <x v="950"/>
    <x v="1"/>
    <x v="52"/>
    <x v="1"/>
    <x v="28"/>
    <x v="3"/>
    <x v="418"/>
    <x v="45"/>
    <x v="1"/>
    <x v="1"/>
  </r>
  <r>
    <x v="950"/>
    <x v="2"/>
    <x v="37"/>
    <x v="1"/>
    <x v="25"/>
    <x v="0"/>
    <x v="165"/>
    <x v="33"/>
    <x v="2"/>
    <x v="2"/>
  </r>
  <r>
    <x v="951"/>
    <x v="0"/>
    <x v="0"/>
    <x v="1"/>
    <x v="0"/>
    <x v="1"/>
    <x v="19"/>
    <x v="0"/>
    <x v="0"/>
    <x v="0"/>
  </r>
  <r>
    <x v="951"/>
    <x v="1"/>
    <x v="94"/>
    <x v="0"/>
    <x v="59"/>
    <x v="2"/>
    <x v="419"/>
    <x v="86"/>
    <x v="6"/>
    <x v="6"/>
  </r>
  <r>
    <x v="952"/>
    <x v="0"/>
    <x v="19"/>
    <x v="1"/>
    <x v="15"/>
    <x v="1"/>
    <x v="69"/>
    <x v="17"/>
    <x v="5"/>
    <x v="5"/>
  </r>
  <r>
    <x v="953"/>
    <x v="0"/>
    <x v="4"/>
    <x v="1"/>
    <x v="3"/>
    <x v="3"/>
    <x v="25"/>
    <x v="4"/>
    <x v="1"/>
    <x v="1"/>
  </r>
  <r>
    <x v="954"/>
    <x v="0"/>
    <x v="52"/>
    <x v="0"/>
    <x v="28"/>
    <x v="3"/>
    <x v="168"/>
    <x v="45"/>
    <x v="1"/>
    <x v="1"/>
  </r>
  <r>
    <x v="954"/>
    <x v="1"/>
    <x v="93"/>
    <x v="1"/>
    <x v="58"/>
    <x v="1"/>
    <x v="394"/>
    <x v="85"/>
    <x v="1"/>
    <x v="1"/>
  </r>
  <r>
    <x v="954"/>
    <x v="2"/>
    <x v="81"/>
    <x v="0"/>
    <x v="29"/>
    <x v="2"/>
    <x v="277"/>
    <x v="74"/>
    <x v="5"/>
    <x v="5"/>
  </r>
  <r>
    <x v="954"/>
    <x v="3"/>
    <x v="65"/>
    <x v="0"/>
    <x v="25"/>
    <x v="0"/>
    <x v="152"/>
    <x v="58"/>
    <x v="2"/>
    <x v="2"/>
  </r>
  <r>
    <x v="954"/>
    <x v="4"/>
    <x v="54"/>
    <x v="0"/>
    <x v="37"/>
    <x v="2"/>
    <x v="232"/>
    <x v="47"/>
    <x v="5"/>
    <x v="5"/>
  </r>
  <r>
    <x v="955"/>
    <x v="0"/>
    <x v="35"/>
    <x v="1"/>
    <x v="15"/>
    <x v="3"/>
    <x v="50"/>
    <x v="31"/>
    <x v="0"/>
    <x v="0"/>
  </r>
  <r>
    <x v="955"/>
    <x v="1"/>
    <x v="19"/>
    <x v="0"/>
    <x v="15"/>
    <x v="0"/>
    <x v="122"/>
    <x v="17"/>
    <x v="5"/>
    <x v="5"/>
  </r>
  <r>
    <x v="955"/>
    <x v="2"/>
    <x v="30"/>
    <x v="1"/>
    <x v="5"/>
    <x v="3"/>
    <x v="8"/>
    <x v="26"/>
    <x v="0"/>
    <x v="0"/>
  </r>
  <r>
    <x v="955"/>
    <x v="3"/>
    <x v="17"/>
    <x v="1"/>
    <x v="11"/>
    <x v="0"/>
    <x v="78"/>
    <x v="15"/>
    <x v="0"/>
    <x v="0"/>
  </r>
  <r>
    <x v="955"/>
    <x v="4"/>
    <x v="47"/>
    <x v="1"/>
    <x v="32"/>
    <x v="3"/>
    <x v="420"/>
    <x v="41"/>
    <x v="0"/>
    <x v="0"/>
  </r>
  <r>
    <x v="956"/>
    <x v="0"/>
    <x v="75"/>
    <x v="1"/>
    <x v="19"/>
    <x v="2"/>
    <x v="150"/>
    <x v="68"/>
    <x v="3"/>
    <x v="3"/>
  </r>
  <r>
    <x v="956"/>
    <x v="1"/>
    <x v="15"/>
    <x v="1"/>
    <x v="11"/>
    <x v="1"/>
    <x v="35"/>
    <x v="12"/>
    <x v="0"/>
    <x v="0"/>
  </r>
  <r>
    <x v="956"/>
    <x v="2"/>
    <x v="63"/>
    <x v="1"/>
    <x v="43"/>
    <x v="2"/>
    <x v="281"/>
    <x v="56"/>
    <x v="0"/>
    <x v="0"/>
  </r>
  <r>
    <x v="956"/>
    <x v="3"/>
    <x v="82"/>
    <x v="0"/>
    <x v="34"/>
    <x v="1"/>
    <x v="421"/>
    <x v="75"/>
    <x v="0"/>
    <x v="0"/>
  </r>
  <r>
    <x v="956"/>
    <x v="4"/>
    <x v="103"/>
    <x v="0"/>
    <x v="38"/>
    <x v="2"/>
    <x v="318"/>
    <x v="95"/>
    <x v="3"/>
    <x v="3"/>
  </r>
  <r>
    <x v="957"/>
    <x v="0"/>
    <x v="80"/>
    <x v="0"/>
    <x v="53"/>
    <x v="3"/>
    <x v="422"/>
    <x v="73"/>
    <x v="6"/>
    <x v="6"/>
  </r>
  <r>
    <x v="957"/>
    <x v="1"/>
    <x v="35"/>
    <x v="0"/>
    <x v="15"/>
    <x v="0"/>
    <x v="122"/>
    <x v="31"/>
    <x v="0"/>
    <x v="0"/>
  </r>
  <r>
    <x v="958"/>
    <x v="0"/>
    <x v="12"/>
    <x v="0"/>
    <x v="10"/>
    <x v="0"/>
    <x v="103"/>
    <x v="11"/>
    <x v="0"/>
    <x v="0"/>
  </r>
  <r>
    <x v="958"/>
    <x v="1"/>
    <x v="31"/>
    <x v="0"/>
    <x v="22"/>
    <x v="3"/>
    <x v="368"/>
    <x v="27"/>
    <x v="0"/>
    <x v="0"/>
  </r>
  <r>
    <x v="958"/>
    <x v="2"/>
    <x v="67"/>
    <x v="0"/>
    <x v="46"/>
    <x v="2"/>
    <x v="423"/>
    <x v="60"/>
    <x v="1"/>
    <x v="1"/>
  </r>
  <r>
    <x v="958"/>
    <x v="3"/>
    <x v="105"/>
    <x v="0"/>
    <x v="63"/>
    <x v="1"/>
    <x v="397"/>
    <x v="97"/>
    <x v="0"/>
    <x v="0"/>
  </r>
  <r>
    <x v="959"/>
    <x v="0"/>
    <x v="30"/>
    <x v="1"/>
    <x v="5"/>
    <x v="2"/>
    <x v="125"/>
    <x v="26"/>
    <x v="0"/>
    <x v="0"/>
  </r>
  <r>
    <x v="959"/>
    <x v="1"/>
    <x v="58"/>
    <x v="0"/>
    <x v="40"/>
    <x v="3"/>
    <x v="340"/>
    <x v="51"/>
    <x v="6"/>
    <x v="6"/>
  </r>
  <r>
    <x v="959"/>
    <x v="2"/>
    <x v="74"/>
    <x v="1"/>
    <x v="42"/>
    <x v="2"/>
    <x v="199"/>
    <x v="67"/>
    <x v="6"/>
    <x v="6"/>
  </r>
  <r>
    <x v="959"/>
    <x v="3"/>
    <x v="56"/>
    <x v="1"/>
    <x v="39"/>
    <x v="3"/>
    <x v="424"/>
    <x v="49"/>
    <x v="5"/>
    <x v="5"/>
  </r>
  <r>
    <x v="960"/>
    <x v="0"/>
    <x v="86"/>
    <x v="0"/>
    <x v="54"/>
    <x v="3"/>
    <x v="425"/>
    <x v="79"/>
    <x v="3"/>
    <x v="3"/>
  </r>
  <r>
    <x v="960"/>
    <x v="1"/>
    <x v="42"/>
    <x v="1"/>
    <x v="28"/>
    <x v="0"/>
    <x v="426"/>
    <x v="37"/>
    <x v="1"/>
    <x v="1"/>
  </r>
  <r>
    <x v="960"/>
    <x v="2"/>
    <x v="105"/>
    <x v="1"/>
    <x v="63"/>
    <x v="1"/>
    <x v="306"/>
    <x v="97"/>
    <x v="0"/>
    <x v="0"/>
  </r>
  <r>
    <x v="961"/>
    <x v="0"/>
    <x v="105"/>
    <x v="1"/>
    <x v="63"/>
    <x v="1"/>
    <x v="306"/>
    <x v="97"/>
    <x v="0"/>
    <x v="0"/>
  </r>
  <r>
    <x v="961"/>
    <x v="1"/>
    <x v="38"/>
    <x v="1"/>
    <x v="26"/>
    <x v="1"/>
    <x v="184"/>
    <x v="34"/>
    <x v="0"/>
    <x v="0"/>
  </r>
  <r>
    <x v="962"/>
    <x v="0"/>
    <x v="4"/>
    <x v="0"/>
    <x v="3"/>
    <x v="1"/>
    <x v="123"/>
    <x v="4"/>
    <x v="1"/>
    <x v="1"/>
  </r>
  <r>
    <x v="963"/>
    <x v="0"/>
    <x v="45"/>
    <x v="0"/>
    <x v="30"/>
    <x v="0"/>
    <x v="269"/>
    <x v="39"/>
    <x v="5"/>
    <x v="5"/>
  </r>
  <r>
    <x v="963"/>
    <x v="1"/>
    <x v="51"/>
    <x v="0"/>
    <x v="35"/>
    <x v="0"/>
    <x v="427"/>
    <x v="44"/>
    <x v="0"/>
    <x v="0"/>
  </r>
  <r>
    <x v="964"/>
    <x v="0"/>
    <x v="45"/>
    <x v="1"/>
    <x v="30"/>
    <x v="3"/>
    <x v="343"/>
    <x v="39"/>
    <x v="5"/>
    <x v="5"/>
  </r>
  <r>
    <x v="965"/>
    <x v="0"/>
    <x v="54"/>
    <x v="0"/>
    <x v="37"/>
    <x v="2"/>
    <x v="232"/>
    <x v="47"/>
    <x v="5"/>
    <x v="5"/>
  </r>
  <r>
    <x v="965"/>
    <x v="1"/>
    <x v="30"/>
    <x v="0"/>
    <x v="5"/>
    <x v="1"/>
    <x v="116"/>
    <x v="26"/>
    <x v="0"/>
    <x v="0"/>
  </r>
  <r>
    <x v="966"/>
    <x v="0"/>
    <x v="82"/>
    <x v="0"/>
    <x v="34"/>
    <x v="0"/>
    <x v="210"/>
    <x v="75"/>
    <x v="0"/>
    <x v="0"/>
  </r>
  <r>
    <x v="966"/>
    <x v="1"/>
    <x v="104"/>
    <x v="1"/>
    <x v="62"/>
    <x v="2"/>
    <x v="316"/>
    <x v="96"/>
    <x v="0"/>
    <x v="0"/>
  </r>
  <r>
    <x v="966"/>
    <x v="2"/>
    <x v="108"/>
    <x v="0"/>
    <x v="37"/>
    <x v="3"/>
    <x v="378"/>
    <x v="100"/>
    <x v="5"/>
    <x v="5"/>
  </r>
  <r>
    <x v="966"/>
    <x v="3"/>
    <x v="27"/>
    <x v="0"/>
    <x v="20"/>
    <x v="0"/>
    <x v="320"/>
    <x v="23"/>
    <x v="3"/>
    <x v="3"/>
  </r>
  <r>
    <x v="967"/>
    <x v="0"/>
    <x v="108"/>
    <x v="0"/>
    <x v="37"/>
    <x v="0"/>
    <x v="321"/>
    <x v="100"/>
    <x v="5"/>
    <x v="5"/>
  </r>
  <r>
    <x v="967"/>
    <x v="1"/>
    <x v="32"/>
    <x v="1"/>
    <x v="23"/>
    <x v="2"/>
    <x v="244"/>
    <x v="28"/>
    <x v="4"/>
    <x v="4"/>
  </r>
  <r>
    <x v="967"/>
    <x v="2"/>
    <x v="2"/>
    <x v="1"/>
    <x v="2"/>
    <x v="2"/>
    <x v="2"/>
    <x v="2"/>
    <x v="2"/>
    <x v="2"/>
  </r>
  <r>
    <x v="968"/>
    <x v="0"/>
    <x v="51"/>
    <x v="0"/>
    <x v="35"/>
    <x v="0"/>
    <x v="427"/>
    <x v="44"/>
    <x v="0"/>
    <x v="0"/>
  </r>
  <r>
    <x v="968"/>
    <x v="1"/>
    <x v="107"/>
    <x v="0"/>
    <x v="61"/>
    <x v="3"/>
    <x v="326"/>
    <x v="99"/>
    <x v="1"/>
    <x v="1"/>
  </r>
  <r>
    <x v="969"/>
    <x v="0"/>
    <x v="25"/>
    <x v="0"/>
    <x v="18"/>
    <x v="3"/>
    <x v="366"/>
    <x v="21"/>
    <x v="5"/>
    <x v="5"/>
  </r>
  <r>
    <x v="969"/>
    <x v="1"/>
    <x v="74"/>
    <x v="1"/>
    <x v="42"/>
    <x v="3"/>
    <x v="428"/>
    <x v="67"/>
    <x v="6"/>
    <x v="6"/>
  </r>
  <r>
    <x v="969"/>
    <x v="2"/>
    <x v="59"/>
    <x v="1"/>
    <x v="41"/>
    <x v="3"/>
    <x v="216"/>
    <x v="52"/>
    <x v="6"/>
    <x v="6"/>
  </r>
  <r>
    <x v="969"/>
    <x v="3"/>
    <x v="39"/>
    <x v="0"/>
    <x v="19"/>
    <x v="3"/>
    <x v="201"/>
    <x v="22"/>
    <x v="0"/>
    <x v="0"/>
  </r>
  <r>
    <x v="970"/>
    <x v="0"/>
    <x v="63"/>
    <x v="1"/>
    <x v="43"/>
    <x v="2"/>
    <x v="281"/>
    <x v="56"/>
    <x v="0"/>
    <x v="0"/>
  </r>
  <r>
    <x v="970"/>
    <x v="1"/>
    <x v="105"/>
    <x v="1"/>
    <x v="63"/>
    <x v="1"/>
    <x v="306"/>
    <x v="97"/>
    <x v="0"/>
    <x v="0"/>
  </r>
  <r>
    <x v="970"/>
    <x v="2"/>
    <x v="1"/>
    <x v="1"/>
    <x v="1"/>
    <x v="2"/>
    <x v="134"/>
    <x v="1"/>
    <x v="1"/>
    <x v="1"/>
  </r>
  <r>
    <x v="970"/>
    <x v="3"/>
    <x v="10"/>
    <x v="1"/>
    <x v="8"/>
    <x v="1"/>
    <x v="30"/>
    <x v="9"/>
    <x v="0"/>
    <x v="0"/>
  </r>
  <r>
    <x v="970"/>
    <x v="4"/>
    <x v="83"/>
    <x v="0"/>
    <x v="8"/>
    <x v="0"/>
    <x v="57"/>
    <x v="76"/>
    <x v="1"/>
    <x v="1"/>
  </r>
  <r>
    <x v="971"/>
    <x v="0"/>
    <x v="96"/>
    <x v="0"/>
    <x v="26"/>
    <x v="0"/>
    <x v="153"/>
    <x v="88"/>
    <x v="5"/>
    <x v="5"/>
  </r>
  <r>
    <x v="971"/>
    <x v="1"/>
    <x v="65"/>
    <x v="0"/>
    <x v="25"/>
    <x v="1"/>
    <x v="222"/>
    <x v="58"/>
    <x v="2"/>
    <x v="2"/>
  </r>
  <r>
    <x v="972"/>
    <x v="0"/>
    <x v="4"/>
    <x v="1"/>
    <x v="3"/>
    <x v="3"/>
    <x v="25"/>
    <x v="4"/>
    <x v="1"/>
    <x v="1"/>
  </r>
  <r>
    <x v="972"/>
    <x v="1"/>
    <x v="76"/>
    <x v="1"/>
    <x v="50"/>
    <x v="3"/>
    <x v="429"/>
    <x v="69"/>
    <x v="1"/>
    <x v="1"/>
  </r>
  <r>
    <x v="972"/>
    <x v="2"/>
    <x v="42"/>
    <x v="1"/>
    <x v="28"/>
    <x v="2"/>
    <x v="181"/>
    <x v="37"/>
    <x v="1"/>
    <x v="1"/>
  </r>
  <r>
    <x v="972"/>
    <x v="3"/>
    <x v="68"/>
    <x v="0"/>
    <x v="24"/>
    <x v="1"/>
    <x v="187"/>
    <x v="61"/>
    <x v="0"/>
    <x v="0"/>
  </r>
  <r>
    <x v="973"/>
    <x v="0"/>
    <x v="57"/>
    <x v="1"/>
    <x v="14"/>
    <x v="3"/>
    <x v="110"/>
    <x v="50"/>
    <x v="1"/>
    <x v="1"/>
  </r>
  <r>
    <x v="973"/>
    <x v="1"/>
    <x v="13"/>
    <x v="1"/>
    <x v="11"/>
    <x v="0"/>
    <x v="78"/>
    <x v="12"/>
    <x v="5"/>
    <x v="5"/>
  </r>
  <r>
    <x v="974"/>
    <x v="0"/>
    <x v="55"/>
    <x v="1"/>
    <x v="38"/>
    <x v="0"/>
    <x v="430"/>
    <x v="48"/>
    <x v="3"/>
    <x v="3"/>
  </r>
  <r>
    <x v="975"/>
    <x v="0"/>
    <x v="8"/>
    <x v="1"/>
    <x v="0"/>
    <x v="3"/>
    <x v="28"/>
    <x v="3"/>
    <x v="3"/>
    <x v="3"/>
  </r>
  <r>
    <x v="975"/>
    <x v="1"/>
    <x v="62"/>
    <x v="0"/>
    <x v="42"/>
    <x v="1"/>
    <x v="245"/>
    <x v="55"/>
    <x v="1"/>
    <x v="1"/>
  </r>
  <r>
    <x v="976"/>
    <x v="0"/>
    <x v="58"/>
    <x v="1"/>
    <x v="40"/>
    <x v="3"/>
    <x v="431"/>
    <x v="51"/>
    <x v="6"/>
    <x v="6"/>
  </r>
  <r>
    <x v="976"/>
    <x v="1"/>
    <x v="79"/>
    <x v="1"/>
    <x v="24"/>
    <x v="2"/>
    <x v="293"/>
    <x v="72"/>
    <x v="0"/>
    <x v="0"/>
  </r>
  <r>
    <x v="976"/>
    <x v="2"/>
    <x v="97"/>
    <x v="0"/>
    <x v="4"/>
    <x v="2"/>
    <x v="6"/>
    <x v="89"/>
    <x v="1"/>
    <x v="1"/>
  </r>
  <r>
    <x v="976"/>
    <x v="3"/>
    <x v="53"/>
    <x v="1"/>
    <x v="36"/>
    <x v="2"/>
    <x v="432"/>
    <x v="46"/>
    <x v="0"/>
    <x v="0"/>
  </r>
  <r>
    <x v="977"/>
    <x v="0"/>
    <x v="26"/>
    <x v="1"/>
    <x v="19"/>
    <x v="2"/>
    <x v="150"/>
    <x v="22"/>
    <x v="3"/>
    <x v="3"/>
  </r>
  <r>
    <x v="977"/>
    <x v="1"/>
    <x v="22"/>
    <x v="1"/>
    <x v="17"/>
    <x v="0"/>
    <x v="91"/>
    <x v="19"/>
    <x v="3"/>
    <x v="3"/>
  </r>
  <r>
    <x v="977"/>
    <x v="2"/>
    <x v="75"/>
    <x v="1"/>
    <x v="19"/>
    <x v="2"/>
    <x v="150"/>
    <x v="68"/>
    <x v="3"/>
    <x v="3"/>
  </r>
  <r>
    <x v="978"/>
    <x v="0"/>
    <x v="66"/>
    <x v="0"/>
    <x v="45"/>
    <x v="2"/>
    <x v="433"/>
    <x v="59"/>
    <x v="6"/>
    <x v="6"/>
  </r>
  <r>
    <x v="978"/>
    <x v="1"/>
    <x v="68"/>
    <x v="1"/>
    <x v="24"/>
    <x v="0"/>
    <x v="151"/>
    <x v="61"/>
    <x v="0"/>
    <x v="0"/>
  </r>
  <r>
    <x v="978"/>
    <x v="2"/>
    <x v="10"/>
    <x v="1"/>
    <x v="8"/>
    <x v="3"/>
    <x v="97"/>
    <x v="9"/>
    <x v="0"/>
    <x v="0"/>
  </r>
  <r>
    <x v="978"/>
    <x v="3"/>
    <x v="58"/>
    <x v="0"/>
    <x v="40"/>
    <x v="0"/>
    <x v="434"/>
    <x v="51"/>
    <x v="6"/>
    <x v="6"/>
  </r>
  <r>
    <x v="979"/>
    <x v="0"/>
    <x v="60"/>
    <x v="1"/>
    <x v="25"/>
    <x v="0"/>
    <x v="165"/>
    <x v="53"/>
    <x v="6"/>
    <x v="6"/>
  </r>
  <r>
    <x v="979"/>
    <x v="1"/>
    <x v="11"/>
    <x v="0"/>
    <x v="9"/>
    <x v="3"/>
    <x v="128"/>
    <x v="10"/>
    <x v="4"/>
    <x v="4"/>
  </r>
  <r>
    <x v="979"/>
    <x v="2"/>
    <x v="38"/>
    <x v="0"/>
    <x v="26"/>
    <x v="3"/>
    <x v="164"/>
    <x v="34"/>
    <x v="0"/>
    <x v="0"/>
  </r>
  <r>
    <x v="980"/>
    <x v="0"/>
    <x v="100"/>
    <x v="0"/>
    <x v="61"/>
    <x v="3"/>
    <x v="326"/>
    <x v="92"/>
    <x v="1"/>
    <x v="1"/>
  </r>
  <r>
    <x v="980"/>
    <x v="1"/>
    <x v="43"/>
    <x v="1"/>
    <x v="15"/>
    <x v="2"/>
    <x v="89"/>
    <x v="31"/>
    <x v="5"/>
    <x v="5"/>
  </r>
  <r>
    <x v="980"/>
    <x v="2"/>
    <x v="20"/>
    <x v="1"/>
    <x v="11"/>
    <x v="1"/>
    <x v="35"/>
    <x v="15"/>
    <x v="5"/>
    <x v="5"/>
  </r>
  <r>
    <x v="980"/>
    <x v="3"/>
    <x v="107"/>
    <x v="1"/>
    <x v="61"/>
    <x v="3"/>
    <x v="302"/>
    <x v="99"/>
    <x v="1"/>
    <x v="1"/>
  </r>
  <r>
    <x v="980"/>
    <x v="4"/>
    <x v="32"/>
    <x v="0"/>
    <x v="23"/>
    <x v="1"/>
    <x v="193"/>
    <x v="28"/>
    <x v="4"/>
    <x v="4"/>
  </r>
  <r>
    <x v="981"/>
    <x v="0"/>
    <x v="13"/>
    <x v="1"/>
    <x v="11"/>
    <x v="3"/>
    <x v="23"/>
    <x v="12"/>
    <x v="5"/>
    <x v="5"/>
  </r>
  <r>
    <x v="981"/>
    <x v="1"/>
    <x v="55"/>
    <x v="0"/>
    <x v="38"/>
    <x v="1"/>
    <x v="271"/>
    <x v="48"/>
    <x v="3"/>
    <x v="3"/>
  </r>
  <r>
    <x v="981"/>
    <x v="2"/>
    <x v="58"/>
    <x v="0"/>
    <x v="40"/>
    <x v="1"/>
    <x v="435"/>
    <x v="51"/>
    <x v="6"/>
    <x v="6"/>
  </r>
  <r>
    <x v="981"/>
    <x v="3"/>
    <x v="95"/>
    <x v="1"/>
    <x v="23"/>
    <x v="2"/>
    <x v="244"/>
    <x v="87"/>
    <x v="1"/>
    <x v="1"/>
  </r>
  <r>
    <x v="982"/>
    <x v="0"/>
    <x v="65"/>
    <x v="0"/>
    <x v="25"/>
    <x v="3"/>
    <x v="315"/>
    <x v="58"/>
    <x v="2"/>
    <x v="2"/>
  </r>
  <r>
    <x v="982"/>
    <x v="1"/>
    <x v="0"/>
    <x v="1"/>
    <x v="0"/>
    <x v="0"/>
    <x v="24"/>
    <x v="0"/>
    <x v="0"/>
    <x v="0"/>
  </r>
  <r>
    <x v="982"/>
    <x v="2"/>
    <x v="39"/>
    <x v="0"/>
    <x v="19"/>
    <x v="1"/>
    <x v="274"/>
    <x v="22"/>
    <x v="0"/>
    <x v="0"/>
  </r>
  <r>
    <x v="982"/>
    <x v="3"/>
    <x v="89"/>
    <x v="1"/>
    <x v="56"/>
    <x v="1"/>
    <x v="311"/>
    <x v="82"/>
    <x v="0"/>
    <x v="0"/>
  </r>
  <r>
    <x v="982"/>
    <x v="4"/>
    <x v="54"/>
    <x v="0"/>
    <x v="37"/>
    <x v="2"/>
    <x v="232"/>
    <x v="47"/>
    <x v="5"/>
    <x v="5"/>
  </r>
  <r>
    <x v="983"/>
    <x v="0"/>
    <x v="39"/>
    <x v="0"/>
    <x v="19"/>
    <x v="0"/>
    <x v="188"/>
    <x v="22"/>
    <x v="0"/>
    <x v="0"/>
  </r>
  <r>
    <x v="983"/>
    <x v="1"/>
    <x v="89"/>
    <x v="1"/>
    <x v="56"/>
    <x v="0"/>
    <x v="436"/>
    <x v="82"/>
    <x v="0"/>
    <x v="0"/>
  </r>
  <r>
    <x v="983"/>
    <x v="2"/>
    <x v="10"/>
    <x v="0"/>
    <x v="8"/>
    <x v="3"/>
    <x v="98"/>
    <x v="9"/>
    <x v="0"/>
    <x v="0"/>
  </r>
  <r>
    <x v="983"/>
    <x v="3"/>
    <x v="103"/>
    <x v="0"/>
    <x v="38"/>
    <x v="0"/>
    <x v="314"/>
    <x v="95"/>
    <x v="3"/>
    <x v="3"/>
  </r>
  <r>
    <x v="984"/>
    <x v="0"/>
    <x v="21"/>
    <x v="1"/>
    <x v="16"/>
    <x v="1"/>
    <x v="129"/>
    <x v="18"/>
    <x v="1"/>
    <x v="1"/>
  </r>
  <r>
    <x v="984"/>
    <x v="1"/>
    <x v="64"/>
    <x v="0"/>
    <x v="44"/>
    <x v="0"/>
    <x v="235"/>
    <x v="57"/>
    <x v="6"/>
    <x v="6"/>
  </r>
  <r>
    <x v="984"/>
    <x v="2"/>
    <x v="46"/>
    <x v="1"/>
    <x v="31"/>
    <x v="2"/>
    <x v="437"/>
    <x v="40"/>
    <x v="0"/>
    <x v="0"/>
  </r>
  <r>
    <x v="985"/>
    <x v="0"/>
    <x v="108"/>
    <x v="0"/>
    <x v="37"/>
    <x v="3"/>
    <x v="378"/>
    <x v="100"/>
    <x v="5"/>
    <x v="5"/>
  </r>
  <r>
    <x v="985"/>
    <x v="1"/>
    <x v="46"/>
    <x v="0"/>
    <x v="31"/>
    <x v="2"/>
    <x v="159"/>
    <x v="40"/>
    <x v="0"/>
    <x v="0"/>
  </r>
  <r>
    <x v="985"/>
    <x v="2"/>
    <x v="8"/>
    <x v="1"/>
    <x v="0"/>
    <x v="1"/>
    <x v="19"/>
    <x v="3"/>
    <x v="3"/>
    <x v="3"/>
  </r>
  <r>
    <x v="986"/>
    <x v="0"/>
    <x v="80"/>
    <x v="1"/>
    <x v="53"/>
    <x v="3"/>
    <x v="408"/>
    <x v="73"/>
    <x v="6"/>
    <x v="6"/>
  </r>
  <r>
    <x v="986"/>
    <x v="1"/>
    <x v="91"/>
    <x v="1"/>
    <x v="57"/>
    <x v="0"/>
    <x v="225"/>
    <x v="84"/>
    <x v="4"/>
    <x v="4"/>
  </r>
  <r>
    <x v="986"/>
    <x v="2"/>
    <x v="53"/>
    <x v="0"/>
    <x v="36"/>
    <x v="1"/>
    <x v="382"/>
    <x v="46"/>
    <x v="0"/>
    <x v="0"/>
  </r>
  <r>
    <x v="987"/>
    <x v="0"/>
    <x v="100"/>
    <x v="0"/>
    <x v="61"/>
    <x v="0"/>
    <x v="265"/>
    <x v="92"/>
    <x v="1"/>
    <x v="1"/>
  </r>
  <r>
    <x v="987"/>
    <x v="1"/>
    <x v="83"/>
    <x v="0"/>
    <x v="8"/>
    <x v="1"/>
    <x v="77"/>
    <x v="76"/>
    <x v="1"/>
    <x v="1"/>
  </r>
  <r>
    <x v="987"/>
    <x v="2"/>
    <x v="10"/>
    <x v="1"/>
    <x v="8"/>
    <x v="1"/>
    <x v="30"/>
    <x v="9"/>
    <x v="0"/>
    <x v="0"/>
  </r>
  <r>
    <x v="988"/>
    <x v="0"/>
    <x v="40"/>
    <x v="0"/>
    <x v="15"/>
    <x v="2"/>
    <x v="115"/>
    <x v="35"/>
    <x v="5"/>
    <x v="5"/>
  </r>
  <r>
    <x v="988"/>
    <x v="1"/>
    <x v="97"/>
    <x v="0"/>
    <x v="4"/>
    <x v="3"/>
    <x v="16"/>
    <x v="89"/>
    <x v="1"/>
    <x v="1"/>
  </r>
  <r>
    <x v="988"/>
    <x v="2"/>
    <x v="63"/>
    <x v="0"/>
    <x v="43"/>
    <x v="3"/>
    <x v="388"/>
    <x v="56"/>
    <x v="0"/>
    <x v="0"/>
  </r>
  <r>
    <x v="988"/>
    <x v="3"/>
    <x v="73"/>
    <x v="1"/>
    <x v="49"/>
    <x v="1"/>
    <x v="396"/>
    <x v="66"/>
    <x v="5"/>
    <x v="5"/>
  </r>
  <r>
    <x v="988"/>
    <x v="4"/>
    <x v="21"/>
    <x v="0"/>
    <x v="16"/>
    <x v="3"/>
    <x v="38"/>
    <x v="18"/>
    <x v="1"/>
    <x v="1"/>
  </r>
  <r>
    <x v="989"/>
    <x v="0"/>
    <x v="18"/>
    <x v="1"/>
    <x v="14"/>
    <x v="0"/>
    <x v="117"/>
    <x v="16"/>
    <x v="1"/>
    <x v="1"/>
  </r>
  <r>
    <x v="989"/>
    <x v="1"/>
    <x v="61"/>
    <x v="0"/>
    <x v="4"/>
    <x v="3"/>
    <x v="16"/>
    <x v="54"/>
    <x v="1"/>
    <x v="1"/>
  </r>
  <r>
    <x v="989"/>
    <x v="2"/>
    <x v="87"/>
    <x v="0"/>
    <x v="29"/>
    <x v="3"/>
    <x v="283"/>
    <x v="80"/>
    <x v="5"/>
    <x v="5"/>
  </r>
  <r>
    <x v="989"/>
    <x v="3"/>
    <x v="15"/>
    <x v="1"/>
    <x v="11"/>
    <x v="3"/>
    <x v="23"/>
    <x v="12"/>
    <x v="0"/>
    <x v="0"/>
  </r>
  <r>
    <x v="990"/>
    <x v="0"/>
    <x v="11"/>
    <x v="1"/>
    <x v="9"/>
    <x v="0"/>
    <x v="44"/>
    <x v="10"/>
    <x v="4"/>
    <x v="4"/>
  </r>
  <r>
    <x v="990"/>
    <x v="1"/>
    <x v="47"/>
    <x v="0"/>
    <x v="32"/>
    <x v="0"/>
    <x v="197"/>
    <x v="41"/>
    <x v="0"/>
    <x v="0"/>
  </r>
  <r>
    <x v="990"/>
    <x v="2"/>
    <x v="98"/>
    <x v="0"/>
    <x v="14"/>
    <x v="0"/>
    <x v="63"/>
    <x v="90"/>
    <x v="1"/>
    <x v="1"/>
  </r>
  <r>
    <x v="991"/>
    <x v="0"/>
    <x v="78"/>
    <x v="0"/>
    <x v="52"/>
    <x v="1"/>
    <x v="242"/>
    <x v="71"/>
    <x v="1"/>
    <x v="1"/>
  </r>
  <r>
    <x v="991"/>
    <x v="1"/>
    <x v="48"/>
    <x v="0"/>
    <x v="26"/>
    <x v="3"/>
    <x v="164"/>
    <x v="34"/>
    <x v="3"/>
    <x v="3"/>
  </r>
  <r>
    <x v="991"/>
    <x v="2"/>
    <x v="0"/>
    <x v="0"/>
    <x v="0"/>
    <x v="0"/>
    <x v="0"/>
    <x v="0"/>
    <x v="0"/>
    <x v="0"/>
  </r>
  <r>
    <x v="991"/>
    <x v="3"/>
    <x v="70"/>
    <x v="1"/>
    <x v="48"/>
    <x v="0"/>
    <x v="191"/>
    <x v="63"/>
    <x v="5"/>
    <x v="5"/>
  </r>
  <r>
    <x v="991"/>
    <x v="4"/>
    <x v="14"/>
    <x v="0"/>
    <x v="12"/>
    <x v="2"/>
    <x v="55"/>
    <x v="13"/>
    <x v="1"/>
    <x v="1"/>
  </r>
  <r>
    <x v="992"/>
    <x v="0"/>
    <x v="71"/>
    <x v="0"/>
    <x v="23"/>
    <x v="0"/>
    <x v="223"/>
    <x v="64"/>
    <x v="6"/>
    <x v="6"/>
  </r>
  <r>
    <x v="992"/>
    <x v="1"/>
    <x v="107"/>
    <x v="1"/>
    <x v="61"/>
    <x v="3"/>
    <x v="302"/>
    <x v="99"/>
    <x v="1"/>
    <x v="1"/>
  </r>
  <r>
    <x v="992"/>
    <x v="2"/>
    <x v="2"/>
    <x v="1"/>
    <x v="2"/>
    <x v="2"/>
    <x v="2"/>
    <x v="2"/>
    <x v="2"/>
    <x v="2"/>
  </r>
  <r>
    <x v="992"/>
    <x v="3"/>
    <x v="40"/>
    <x v="1"/>
    <x v="15"/>
    <x v="1"/>
    <x v="69"/>
    <x v="35"/>
    <x v="5"/>
    <x v="5"/>
  </r>
  <r>
    <x v="992"/>
    <x v="4"/>
    <x v="47"/>
    <x v="1"/>
    <x v="32"/>
    <x v="3"/>
    <x v="420"/>
    <x v="41"/>
    <x v="0"/>
    <x v="0"/>
  </r>
  <r>
    <x v="993"/>
    <x v="0"/>
    <x v="88"/>
    <x v="1"/>
    <x v="55"/>
    <x v="3"/>
    <x v="438"/>
    <x v="81"/>
    <x v="1"/>
    <x v="1"/>
  </r>
  <r>
    <x v="993"/>
    <x v="1"/>
    <x v="78"/>
    <x v="0"/>
    <x v="52"/>
    <x v="0"/>
    <x v="362"/>
    <x v="71"/>
    <x v="1"/>
    <x v="1"/>
  </r>
  <r>
    <x v="993"/>
    <x v="2"/>
    <x v="82"/>
    <x v="0"/>
    <x v="34"/>
    <x v="1"/>
    <x v="421"/>
    <x v="75"/>
    <x v="0"/>
    <x v="0"/>
  </r>
  <r>
    <x v="994"/>
    <x v="0"/>
    <x v="3"/>
    <x v="1"/>
    <x v="0"/>
    <x v="3"/>
    <x v="28"/>
    <x v="3"/>
    <x v="0"/>
    <x v="0"/>
  </r>
  <r>
    <x v="994"/>
    <x v="1"/>
    <x v="45"/>
    <x v="0"/>
    <x v="30"/>
    <x v="0"/>
    <x v="269"/>
    <x v="39"/>
    <x v="5"/>
    <x v="5"/>
  </r>
  <r>
    <x v="994"/>
    <x v="2"/>
    <x v="70"/>
    <x v="0"/>
    <x v="48"/>
    <x v="3"/>
    <x v="439"/>
    <x v="63"/>
    <x v="5"/>
    <x v="5"/>
  </r>
  <r>
    <x v="995"/>
    <x v="0"/>
    <x v="39"/>
    <x v="1"/>
    <x v="19"/>
    <x v="2"/>
    <x v="150"/>
    <x v="22"/>
    <x v="0"/>
    <x v="0"/>
  </r>
  <r>
    <x v="995"/>
    <x v="1"/>
    <x v="33"/>
    <x v="0"/>
    <x v="14"/>
    <x v="2"/>
    <x v="62"/>
    <x v="29"/>
    <x v="1"/>
    <x v="1"/>
  </r>
  <r>
    <x v="996"/>
    <x v="0"/>
    <x v="106"/>
    <x v="1"/>
    <x v="39"/>
    <x v="1"/>
    <x v="440"/>
    <x v="98"/>
    <x v="5"/>
    <x v="5"/>
  </r>
  <r>
    <x v="996"/>
    <x v="1"/>
    <x v="86"/>
    <x v="1"/>
    <x v="54"/>
    <x v="0"/>
    <x v="350"/>
    <x v="79"/>
    <x v="3"/>
    <x v="3"/>
  </r>
  <r>
    <x v="996"/>
    <x v="2"/>
    <x v="15"/>
    <x v="1"/>
    <x v="11"/>
    <x v="1"/>
    <x v="35"/>
    <x v="12"/>
    <x v="0"/>
    <x v="0"/>
  </r>
  <r>
    <x v="997"/>
    <x v="0"/>
    <x v="8"/>
    <x v="1"/>
    <x v="0"/>
    <x v="2"/>
    <x v="3"/>
    <x v="3"/>
    <x v="3"/>
    <x v="3"/>
  </r>
  <r>
    <x v="997"/>
    <x v="1"/>
    <x v="86"/>
    <x v="0"/>
    <x v="54"/>
    <x v="0"/>
    <x v="441"/>
    <x v="79"/>
    <x v="3"/>
    <x v="3"/>
  </r>
  <r>
    <x v="998"/>
    <x v="0"/>
    <x v="63"/>
    <x v="1"/>
    <x v="43"/>
    <x v="1"/>
    <x v="289"/>
    <x v="56"/>
    <x v="0"/>
    <x v="0"/>
  </r>
  <r>
    <x v="998"/>
    <x v="1"/>
    <x v="26"/>
    <x v="0"/>
    <x v="19"/>
    <x v="2"/>
    <x v="399"/>
    <x v="22"/>
    <x v="3"/>
    <x v="3"/>
  </r>
  <r>
    <x v="999"/>
    <x v="0"/>
    <x v="105"/>
    <x v="1"/>
    <x v="63"/>
    <x v="2"/>
    <x v="380"/>
    <x v="97"/>
    <x v="0"/>
    <x v="0"/>
  </r>
  <r>
    <x v="999"/>
    <x v="1"/>
    <x v="103"/>
    <x v="0"/>
    <x v="38"/>
    <x v="3"/>
    <x v="442"/>
    <x v="95"/>
    <x v="3"/>
    <x v="3"/>
  </r>
  <r>
    <x v="999"/>
    <x v="2"/>
    <x v="23"/>
    <x v="1"/>
    <x v="7"/>
    <x v="1"/>
    <x v="53"/>
    <x v="20"/>
    <x v="0"/>
    <x v="0"/>
  </r>
  <r>
    <x v="999"/>
    <x v="3"/>
    <x v="61"/>
    <x v="1"/>
    <x v="4"/>
    <x v="2"/>
    <x v="79"/>
    <x v="54"/>
    <x v="1"/>
    <x v="1"/>
  </r>
  <r>
    <x v="1000"/>
    <x v="0"/>
    <x v="31"/>
    <x v="0"/>
    <x v="22"/>
    <x v="2"/>
    <x v="148"/>
    <x v="27"/>
    <x v="0"/>
    <x v="0"/>
  </r>
  <r>
    <x v="1000"/>
    <x v="1"/>
    <x v="78"/>
    <x v="1"/>
    <x v="52"/>
    <x v="2"/>
    <x v="204"/>
    <x v="71"/>
    <x v="1"/>
    <x v="1"/>
  </r>
  <r>
    <x v="1000"/>
    <x v="2"/>
    <x v="71"/>
    <x v="0"/>
    <x v="23"/>
    <x v="3"/>
    <x v="253"/>
    <x v="64"/>
    <x v="6"/>
    <x v="6"/>
  </r>
  <r>
    <x v="1000"/>
    <x v="3"/>
    <x v="103"/>
    <x v="0"/>
    <x v="38"/>
    <x v="1"/>
    <x v="271"/>
    <x v="95"/>
    <x v="3"/>
    <x v="3"/>
  </r>
  <r>
    <x v="1001"/>
    <x v="0"/>
    <x v="96"/>
    <x v="0"/>
    <x v="26"/>
    <x v="2"/>
    <x v="275"/>
    <x v="88"/>
    <x v="5"/>
    <x v="5"/>
  </r>
  <r>
    <x v="1001"/>
    <x v="1"/>
    <x v="56"/>
    <x v="0"/>
    <x v="39"/>
    <x v="3"/>
    <x v="174"/>
    <x v="49"/>
    <x v="5"/>
    <x v="5"/>
  </r>
  <r>
    <x v="1001"/>
    <x v="2"/>
    <x v="1"/>
    <x v="1"/>
    <x v="1"/>
    <x v="3"/>
    <x v="96"/>
    <x v="1"/>
    <x v="1"/>
    <x v="1"/>
  </r>
  <r>
    <x v="1001"/>
    <x v="3"/>
    <x v="47"/>
    <x v="0"/>
    <x v="32"/>
    <x v="0"/>
    <x v="197"/>
    <x v="41"/>
    <x v="0"/>
    <x v="0"/>
  </r>
  <r>
    <x v="1002"/>
    <x v="0"/>
    <x v="98"/>
    <x v="1"/>
    <x v="14"/>
    <x v="2"/>
    <x v="124"/>
    <x v="90"/>
    <x v="1"/>
    <x v="1"/>
  </r>
  <r>
    <x v="1002"/>
    <x v="1"/>
    <x v="80"/>
    <x v="1"/>
    <x v="53"/>
    <x v="2"/>
    <x v="443"/>
    <x v="73"/>
    <x v="6"/>
    <x v="6"/>
  </r>
  <r>
    <x v="1003"/>
    <x v="0"/>
    <x v="107"/>
    <x v="1"/>
    <x v="61"/>
    <x v="3"/>
    <x v="302"/>
    <x v="99"/>
    <x v="1"/>
    <x v="1"/>
  </r>
  <r>
    <x v="1004"/>
    <x v="0"/>
    <x v="15"/>
    <x v="1"/>
    <x v="11"/>
    <x v="0"/>
    <x v="78"/>
    <x v="12"/>
    <x v="0"/>
    <x v="0"/>
  </r>
  <r>
    <x v="1004"/>
    <x v="1"/>
    <x v="89"/>
    <x v="1"/>
    <x v="56"/>
    <x v="3"/>
    <x v="444"/>
    <x v="82"/>
    <x v="0"/>
    <x v="0"/>
  </r>
  <r>
    <x v="1004"/>
    <x v="2"/>
    <x v="40"/>
    <x v="0"/>
    <x v="15"/>
    <x v="3"/>
    <x v="37"/>
    <x v="35"/>
    <x v="5"/>
    <x v="5"/>
  </r>
  <r>
    <x v="1005"/>
    <x v="0"/>
    <x v="0"/>
    <x v="0"/>
    <x v="0"/>
    <x v="1"/>
    <x v="5"/>
    <x v="0"/>
    <x v="0"/>
    <x v="0"/>
  </r>
  <r>
    <x v="1005"/>
    <x v="1"/>
    <x v="39"/>
    <x v="0"/>
    <x v="19"/>
    <x v="3"/>
    <x v="201"/>
    <x v="22"/>
    <x v="0"/>
    <x v="0"/>
  </r>
  <r>
    <x v="1005"/>
    <x v="2"/>
    <x v="28"/>
    <x v="1"/>
    <x v="21"/>
    <x v="1"/>
    <x v="354"/>
    <x v="24"/>
    <x v="6"/>
    <x v="6"/>
  </r>
  <r>
    <x v="1005"/>
    <x v="3"/>
    <x v="105"/>
    <x v="0"/>
    <x v="63"/>
    <x v="3"/>
    <x v="445"/>
    <x v="97"/>
    <x v="0"/>
    <x v="0"/>
  </r>
  <r>
    <x v="1005"/>
    <x v="4"/>
    <x v="109"/>
    <x v="0"/>
    <x v="64"/>
    <x v="3"/>
    <x v="400"/>
    <x v="101"/>
    <x v="1"/>
    <x v="1"/>
  </r>
  <r>
    <x v="1006"/>
    <x v="0"/>
    <x v="8"/>
    <x v="0"/>
    <x v="0"/>
    <x v="0"/>
    <x v="0"/>
    <x v="3"/>
    <x v="3"/>
    <x v="3"/>
  </r>
  <r>
    <x v="1006"/>
    <x v="1"/>
    <x v="16"/>
    <x v="0"/>
    <x v="13"/>
    <x v="2"/>
    <x v="26"/>
    <x v="14"/>
    <x v="2"/>
    <x v="2"/>
  </r>
  <r>
    <x v="1006"/>
    <x v="2"/>
    <x v="25"/>
    <x v="1"/>
    <x v="18"/>
    <x v="3"/>
    <x v="446"/>
    <x v="21"/>
    <x v="5"/>
    <x v="5"/>
  </r>
  <r>
    <x v="1006"/>
    <x v="3"/>
    <x v="35"/>
    <x v="0"/>
    <x v="15"/>
    <x v="0"/>
    <x v="122"/>
    <x v="31"/>
    <x v="0"/>
    <x v="0"/>
  </r>
  <r>
    <x v="1006"/>
    <x v="4"/>
    <x v="26"/>
    <x v="1"/>
    <x v="19"/>
    <x v="3"/>
    <x v="145"/>
    <x v="22"/>
    <x v="3"/>
    <x v="3"/>
  </r>
  <r>
    <x v="1007"/>
    <x v="0"/>
    <x v="68"/>
    <x v="0"/>
    <x v="24"/>
    <x v="0"/>
    <x v="307"/>
    <x v="61"/>
    <x v="0"/>
    <x v="0"/>
  </r>
  <r>
    <x v="1007"/>
    <x v="1"/>
    <x v="6"/>
    <x v="0"/>
    <x v="5"/>
    <x v="3"/>
    <x v="92"/>
    <x v="6"/>
    <x v="1"/>
    <x v="1"/>
  </r>
  <r>
    <x v="1007"/>
    <x v="2"/>
    <x v="43"/>
    <x v="0"/>
    <x v="15"/>
    <x v="1"/>
    <x v="75"/>
    <x v="31"/>
    <x v="5"/>
    <x v="5"/>
  </r>
  <r>
    <x v="1008"/>
    <x v="0"/>
    <x v="43"/>
    <x v="1"/>
    <x v="15"/>
    <x v="1"/>
    <x v="69"/>
    <x v="31"/>
    <x v="5"/>
    <x v="5"/>
  </r>
  <r>
    <x v="1008"/>
    <x v="1"/>
    <x v="99"/>
    <x v="0"/>
    <x v="60"/>
    <x v="1"/>
    <x v="411"/>
    <x v="91"/>
    <x v="1"/>
    <x v="1"/>
  </r>
  <r>
    <x v="1009"/>
    <x v="0"/>
    <x v="36"/>
    <x v="1"/>
    <x v="24"/>
    <x v="3"/>
    <x v="288"/>
    <x v="32"/>
    <x v="3"/>
    <x v="3"/>
  </r>
  <r>
    <x v="1010"/>
    <x v="0"/>
    <x v="54"/>
    <x v="0"/>
    <x v="37"/>
    <x v="0"/>
    <x v="321"/>
    <x v="47"/>
    <x v="5"/>
    <x v="5"/>
  </r>
  <r>
    <x v="1010"/>
    <x v="1"/>
    <x v="40"/>
    <x v="1"/>
    <x v="15"/>
    <x v="0"/>
    <x v="33"/>
    <x v="35"/>
    <x v="5"/>
    <x v="5"/>
  </r>
  <r>
    <x v="1010"/>
    <x v="2"/>
    <x v="3"/>
    <x v="1"/>
    <x v="0"/>
    <x v="0"/>
    <x v="24"/>
    <x v="3"/>
    <x v="0"/>
    <x v="0"/>
  </r>
  <r>
    <x v="1010"/>
    <x v="3"/>
    <x v="39"/>
    <x v="1"/>
    <x v="19"/>
    <x v="2"/>
    <x v="150"/>
    <x v="22"/>
    <x v="0"/>
    <x v="0"/>
  </r>
  <r>
    <x v="1011"/>
    <x v="0"/>
    <x v="1"/>
    <x v="0"/>
    <x v="1"/>
    <x v="1"/>
    <x v="31"/>
    <x v="1"/>
    <x v="1"/>
    <x v="1"/>
  </r>
  <r>
    <x v="1011"/>
    <x v="1"/>
    <x v="38"/>
    <x v="0"/>
    <x v="26"/>
    <x v="0"/>
    <x v="153"/>
    <x v="34"/>
    <x v="0"/>
    <x v="0"/>
  </r>
  <r>
    <x v="1012"/>
    <x v="0"/>
    <x v="91"/>
    <x v="1"/>
    <x v="57"/>
    <x v="2"/>
    <x v="447"/>
    <x v="84"/>
    <x v="4"/>
    <x v="4"/>
  </r>
  <r>
    <x v="1013"/>
    <x v="0"/>
    <x v="44"/>
    <x v="0"/>
    <x v="29"/>
    <x v="0"/>
    <x v="344"/>
    <x v="38"/>
    <x v="5"/>
    <x v="5"/>
  </r>
  <r>
    <x v="1013"/>
    <x v="1"/>
    <x v="78"/>
    <x v="1"/>
    <x v="52"/>
    <x v="2"/>
    <x v="204"/>
    <x v="71"/>
    <x v="1"/>
    <x v="1"/>
  </r>
  <r>
    <x v="1013"/>
    <x v="2"/>
    <x v="89"/>
    <x v="1"/>
    <x v="56"/>
    <x v="3"/>
    <x v="444"/>
    <x v="82"/>
    <x v="0"/>
    <x v="0"/>
  </r>
  <r>
    <x v="1013"/>
    <x v="3"/>
    <x v="64"/>
    <x v="0"/>
    <x v="44"/>
    <x v="2"/>
    <x v="227"/>
    <x v="57"/>
    <x v="6"/>
    <x v="6"/>
  </r>
  <r>
    <x v="1014"/>
    <x v="0"/>
    <x v="18"/>
    <x v="1"/>
    <x v="14"/>
    <x v="3"/>
    <x v="110"/>
    <x v="16"/>
    <x v="1"/>
    <x v="1"/>
  </r>
  <r>
    <x v="1014"/>
    <x v="1"/>
    <x v="30"/>
    <x v="1"/>
    <x v="5"/>
    <x v="0"/>
    <x v="39"/>
    <x v="26"/>
    <x v="0"/>
    <x v="0"/>
  </r>
  <r>
    <x v="1014"/>
    <x v="2"/>
    <x v="70"/>
    <x v="1"/>
    <x v="48"/>
    <x v="3"/>
    <x v="284"/>
    <x v="63"/>
    <x v="5"/>
    <x v="5"/>
  </r>
  <r>
    <x v="1014"/>
    <x v="3"/>
    <x v="17"/>
    <x v="0"/>
    <x v="11"/>
    <x v="0"/>
    <x v="51"/>
    <x v="15"/>
    <x v="0"/>
    <x v="0"/>
  </r>
  <r>
    <x v="1015"/>
    <x v="0"/>
    <x v="35"/>
    <x v="1"/>
    <x v="15"/>
    <x v="1"/>
    <x v="69"/>
    <x v="31"/>
    <x v="0"/>
    <x v="0"/>
  </r>
  <r>
    <x v="1016"/>
    <x v="0"/>
    <x v="84"/>
    <x v="0"/>
    <x v="30"/>
    <x v="1"/>
    <x v="158"/>
    <x v="77"/>
    <x v="5"/>
    <x v="5"/>
  </r>
  <r>
    <x v="1016"/>
    <x v="1"/>
    <x v="90"/>
    <x v="1"/>
    <x v="43"/>
    <x v="0"/>
    <x v="247"/>
    <x v="83"/>
    <x v="0"/>
    <x v="0"/>
  </r>
  <r>
    <x v="1016"/>
    <x v="2"/>
    <x v="96"/>
    <x v="0"/>
    <x v="26"/>
    <x v="0"/>
    <x v="153"/>
    <x v="88"/>
    <x v="5"/>
    <x v="5"/>
  </r>
  <r>
    <x v="1016"/>
    <x v="3"/>
    <x v="9"/>
    <x v="1"/>
    <x v="7"/>
    <x v="0"/>
    <x v="83"/>
    <x v="8"/>
    <x v="0"/>
    <x v="0"/>
  </r>
  <r>
    <x v="1016"/>
    <x v="4"/>
    <x v="104"/>
    <x v="1"/>
    <x v="62"/>
    <x v="3"/>
    <x v="345"/>
    <x v="96"/>
    <x v="0"/>
    <x v="0"/>
  </r>
  <r>
    <x v="1017"/>
    <x v="0"/>
    <x v="35"/>
    <x v="1"/>
    <x v="15"/>
    <x v="1"/>
    <x v="69"/>
    <x v="31"/>
    <x v="0"/>
    <x v="0"/>
  </r>
  <r>
    <x v="1017"/>
    <x v="1"/>
    <x v="44"/>
    <x v="1"/>
    <x v="29"/>
    <x v="3"/>
    <x v="157"/>
    <x v="38"/>
    <x v="5"/>
    <x v="5"/>
  </r>
  <r>
    <x v="1017"/>
    <x v="2"/>
    <x v="87"/>
    <x v="0"/>
    <x v="29"/>
    <x v="0"/>
    <x v="344"/>
    <x v="80"/>
    <x v="5"/>
    <x v="5"/>
  </r>
  <r>
    <x v="1018"/>
    <x v="0"/>
    <x v="34"/>
    <x v="0"/>
    <x v="4"/>
    <x v="3"/>
    <x v="16"/>
    <x v="30"/>
    <x v="1"/>
    <x v="1"/>
  </r>
  <r>
    <x v="1018"/>
    <x v="1"/>
    <x v="58"/>
    <x v="0"/>
    <x v="40"/>
    <x v="0"/>
    <x v="434"/>
    <x v="51"/>
    <x v="6"/>
    <x v="6"/>
  </r>
  <r>
    <x v="1018"/>
    <x v="2"/>
    <x v="88"/>
    <x v="0"/>
    <x v="55"/>
    <x v="2"/>
    <x v="448"/>
    <x v="81"/>
    <x v="1"/>
    <x v="1"/>
  </r>
  <r>
    <x v="1018"/>
    <x v="3"/>
    <x v="101"/>
    <x v="1"/>
    <x v="30"/>
    <x v="0"/>
    <x v="266"/>
    <x v="93"/>
    <x v="5"/>
    <x v="5"/>
  </r>
  <r>
    <x v="1019"/>
    <x v="0"/>
    <x v="0"/>
    <x v="1"/>
    <x v="0"/>
    <x v="2"/>
    <x v="3"/>
    <x v="0"/>
    <x v="0"/>
    <x v="0"/>
  </r>
  <r>
    <x v="1019"/>
    <x v="1"/>
    <x v="79"/>
    <x v="1"/>
    <x v="24"/>
    <x v="2"/>
    <x v="293"/>
    <x v="72"/>
    <x v="0"/>
    <x v="0"/>
  </r>
  <r>
    <x v="1019"/>
    <x v="2"/>
    <x v="12"/>
    <x v="0"/>
    <x v="10"/>
    <x v="1"/>
    <x v="15"/>
    <x v="11"/>
    <x v="0"/>
    <x v="0"/>
  </r>
  <r>
    <x v="1019"/>
    <x v="3"/>
    <x v="94"/>
    <x v="1"/>
    <x v="59"/>
    <x v="3"/>
    <x v="305"/>
    <x v="86"/>
    <x v="6"/>
    <x v="6"/>
  </r>
  <r>
    <x v="1019"/>
    <x v="4"/>
    <x v="95"/>
    <x v="1"/>
    <x v="23"/>
    <x v="2"/>
    <x v="244"/>
    <x v="87"/>
    <x v="1"/>
    <x v="1"/>
  </r>
  <r>
    <x v="1020"/>
    <x v="0"/>
    <x v="60"/>
    <x v="1"/>
    <x v="25"/>
    <x v="1"/>
    <x v="182"/>
    <x v="53"/>
    <x v="6"/>
    <x v="6"/>
  </r>
  <r>
    <x v="1020"/>
    <x v="1"/>
    <x v="19"/>
    <x v="1"/>
    <x v="15"/>
    <x v="1"/>
    <x v="69"/>
    <x v="17"/>
    <x v="5"/>
    <x v="5"/>
  </r>
  <r>
    <x v="1021"/>
    <x v="0"/>
    <x v="57"/>
    <x v="0"/>
    <x v="14"/>
    <x v="0"/>
    <x v="63"/>
    <x v="50"/>
    <x v="1"/>
    <x v="1"/>
  </r>
  <r>
    <x v="1021"/>
    <x v="1"/>
    <x v="109"/>
    <x v="0"/>
    <x v="64"/>
    <x v="3"/>
    <x v="400"/>
    <x v="101"/>
    <x v="1"/>
    <x v="1"/>
  </r>
  <r>
    <x v="1021"/>
    <x v="2"/>
    <x v="105"/>
    <x v="0"/>
    <x v="63"/>
    <x v="1"/>
    <x v="397"/>
    <x v="97"/>
    <x v="0"/>
    <x v="0"/>
  </r>
  <r>
    <x v="1021"/>
    <x v="3"/>
    <x v="21"/>
    <x v="0"/>
    <x v="16"/>
    <x v="1"/>
    <x v="105"/>
    <x v="18"/>
    <x v="1"/>
    <x v="1"/>
  </r>
  <r>
    <x v="1022"/>
    <x v="0"/>
    <x v="87"/>
    <x v="0"/>
    <x v="29"/>
    <x v="1"/>
    <x v="243"/>
    <x v="80"/>
    <x v="5"/>
    <x v="5"/>
  </r>
  <r>
    <x v="1022"/>
    <x v="1"/>
    <x v="52"/>
    <x v="1"/>
    <x v="28"/>
    <x v="3"/>
    <x v="418"/>
    <x v="45"/>
    <x v="1"/>
    <x v="1"/>
  </r>
  <r>
    <x v="1023"/>
    <x v="0"/>
    <x v="77"/>
    <x v="0"/>
    <x v="51"/>
    <x v="0"/>
    <x v="230"/>
    <x v="70"/>
    <x v="3"/>
    <x v="3"/>
  </r>
  <r>
    <x v="1023"/>
    <x v="1"/>
    <x v="76"/>
    <x v="1"/>
    <x v="50"/>
    <x v="2"/>
    <x v="449"/>
    <x v="69"/>
    <x v="1"/>
    <x v="1"/>
  </r>
  <r>
    <x v="1023"/>
    <x v="2"/>
    <x v="72"/>
    <x v="1"/>
    <x v="26"/>
    <x v="0"/>
    <x v="195"/>
    <x v="65"/>
    <x v="5"/>
    <x v="5"/>
  </r>
  <r>
    <x v="1023"/>
    <x v="3"/>
    <x v="81"/>
    <x v="1"/>
    <x v="29"/>
    <x v="3"/>
    <x v="157"/>
    <x v="74"/>
    <x v="5"/>
    <x v="5"/>
  </r>
  <r>
    <x v="1023"/>
    <x v="4"/>
    <x v="87"/>
    <x v="0"/>
    <x v="29"/>
    <x v="0"/>
    <x v="344"/>
    <x v="80"/>
    <x v="5"/>
    <x v="5"/>
  </r>
  <r>
    <x v="1024"/>
    <x v="0"/>
    <x v="84"/>
    <x v="0"/>
    <x v="30"/>
    <x v="1"/>
    <x v="158"/>
    <x v="77"/>
    <x v="5"/>
    <x v="5"/>
  </r>
  <r>
    <x v="1024"/>
    <x v="1"/>
    <x v="48"/>
    <x v="0"/>
    <x v="26"/>
    <x v="3"/>
    <x v="164"/>
    <x v="34"/>
    <x v="3"/>
    <x v="3"/>
  </r>
  <r>
    <x v="1024"/>
    <x v="2"/>
    <x v="62"/>
    <x v="0"/>
    <x v="42"/>
    <x v="3"/>
    <x v="404"/>
    <x v="55"/>
    <x v="1"/>
    <x v="1"/>
  </r>
  <r>
    <x v="1024"/>
    <x v="3"/>
    <x v="12"/>
    <x v="0"/>
    <x v="10"/>
    <x v="2"/>
    <x v="119"/>
    <x v="11"/>
    <x v="0"/>
    <x v="0"/>
  </r>
  <r>
    <x v="1024"/>
    <x v="4"/>
    <x v="82"/>
    <x v="1"/>
    <x v="34"/>
    <x v="2"/>
    <x v="251"/>
    <x v="75"/>
    <x v="0"/>
    <x v="0"/>
  </r>
  <r>
    <x v="1025"/>
    <x v="0"/>
    <x v="14"/>
    <x v="1"/>
    <x v="12"/>
    <x v="1"/>
    <x v="102"/>
    <x v="13"/>
    <x v="1"/>
    <x v="1"/>
  </r>
  <r>
    <x v="1026"/>
    <x v="0"/>
    <x v="43"/>
    <x v="1"/>
    <x v="15"/>
    <x v="3"/>
    <x v="50"/>
    <x v="31"/>
    <x v="5"/>
    <x v="5"/>
  </r>
  <r>
    <x v="1026"/>
    <x v="1"/>
    <x v="15"/>
    <x v="1"/>
    <x v="11"/>
    <x v="2"/>
    <x v="64"/>
    <x v="12"/>
    <x v="0"/>
    <x v="0"/>
  </r>
  <r>
    <x v="1027"/>
    <x v="0"/>
    <x v="103"/>
    <x v="1"/>
    <x v="38"/>
    <x v="3"/>
    <x v="267"/>
    <x v="95"/>
    <x v="3"/>
    <x v="3"/>
  </r>
  <r>
    <x v="1027"/>
    <x v="1"/>
    <x v="2"/>
    <x v="0"/>
    <x v="2"/>
    <x v="0"/>
    <x v="135"/>
    <x v="2"/>
    <x v="2"/>
    <x v="2"/>
  </r>
  <r>
    <x v="1027"/>
    <x v="2"/>
    <x v="67"/>
    <x v="0"/>
    <x v="46"/>
    <x v="0"/>
    <x v="358"/>
    <x v="60"/>
    <x v="1"/>
    <x v="1"/>
  </r>
  <r>
    <x v="1027"/>
    <x v="3"/>
    <x v="100"/>
    <x v="1"/>
    <x v="61"/>
    <x v="3"/>
    <x v="302"/>
    <x v="92"/>
    <x v="1"/>
    <x v="1"/>
  </r>
  <r>
    <x v="1027"/>
    <x v="4"/>
    <x v="75"/>
    <x v="0"/>
    <x v="19"/>
    <x v="0"/>
    <x v="188"/>
    <x v="68"/>
    <x v="3"/>
    <x v="3"/>
  </r>
  <r>
    <x v="1028"/>
    <x v="0"/>
    <x v="0"/>
    <x v="0"/>
    <x v="0"/>
    <x v="0"/>
    <x v="0"/>
    <x v="0"/>
    <x v="0"/>
    <x v="0"/>
  </r>
  <r>
    <x v="1028"/>
    <x v="1"/>
    <x v="66"/>
    <x v="0"/>
    <x v="45"/>
    <x v="3"/>
    <x v="450"/>
    <x v="59"/>
    <x v="6"/>
    <x v="6"/>
  </r>
  <r>
    <x v="1028"/>
    <x v="2"/>
    <x v="95"/>
    <x v="0"/>
    <x v="23"/>
    <x v="0"/>
    <x v="223"/>
    <x v="87"/>
    <x v="1"/>
    <x v="1"/>
  </r>
  <r>
    <x v="1028"/>
    <x v="3"/>
    <x v="39"/>
    <x v="1"/>
    <x v="19"/>
    <x v="3"/>
    <x v="145"/>
    <x v="22"/>
    <x v="0"/>
    <x v="0"/>
  </r>
  <r>
    <x v="1029"/>
    <x v="0"/>
    <x v="97"/>
    <x v="0"/>
    <x v="4"/>
    <x v="2"/>
    <x v="6"/>
    <x v="89"/>
    <x v="1"/>
    <x v="1"/>
  </r>
  <r>
    <x v="1029"/>
    <x v="1"/>
    <x v="2"/>
    <x v="1"/>
    <x v="2"/>
    <x v="3"/>
    <x v="70"/>
    <x v="2"/>
    <x v="2"/>
    <x v="2"/>
  </r>
  <r>
    <x v="1029"/>
    <x v="2"/>
    <x v="31"/>
    <x v="0"/>
    <x v="22"/>
    <x v="3"/>
    <x v="368"/>
    <x v="27"/>
    <x v="0"/>
    <x v="0"/>
  </r>
  <r>
    <x v="1030"/>
    <x v="0"/>
    <x v="97"/>
    <x v="1"/>
    <x v="4"/>
    <x v="0"/>
    <x v="73"/>
    <x v="89"/>
    <x v="1"/>
    <x v="1"/>
  </r>
  <r>
    <x v="1030"/>
    <x v="1"/>
    <x v="75"/>
    <x v="1"/>
    <x v="19"/>
    <x v="0"/>
    <x v="364"/>
    <x v="68"/>
    <x v="3"/>
    <x v="3"/>
  </r>
  <r>
    <x v="1031"/>
    <x v="0"/>
    <x v="91"/>
    <x v="1"/>
    <x v="57"/>
    <x v="3"/>
    <x v="451"/>
    <x v="84"/>
    <x v="4"/>
    <x v="4"/>
  </r>
  <r>
    <x v="1031"/>
    <x v="1"/>
    <x v="7"/>
    <x v="0"/>
    <x v="6"/>
    <x v="3"/>
    <x v="47"/>
    <x v="7"/>
    <x v="0"/>
    <x v="0"/>
  </r>
  <r>
    <x v="1032"/>
    <x v="0"/>
    <x v="8"/>
    <x v="0"/>
    <x v="0"/>
    <x v="1"/>
    <x v="5"/>
    <x v="3"/>
    <x v="3"/>
    <x v="3"/>
  </r>
  <r>
    <x v="1032"/>
    <x v="1"/>
    <x v="36"/>
    <x v="1"/>
    <x v="24"/>
    <x v="3"/>
    <x v="288"/>
    <x v="32"/>
    <x v="3"/>
    <x v="3"/>
  </r>
  <r>
    <x v="1032"/>
    <x v="2"/>
    <x v="97"/>
    <x v="1"/>
    <x v="4"/>
    <x v="1"/>
    <x v="13"/>
    <x v="89"/>
    <x v="1"/>
    <x v="1"/>
  </r>
  <r>
    <x v="1033"/>
    <x v="0"/>
    <x v="70"/>
    <x v="0"/>
    <x v="48"/>
    <x v="3"/>
    <x v="439"/>
    <x v="63"/>
    <x v="5"/>
    <x v="5"/>
  </r>
  <r>
    <x v="1033"/>
    <x v="1"/>
    <x v="1"/>
    <x v="1"/>
    <x v="1"/>
    <x v="3"/>
    <x v="96"/>
    <x v="1"/>
    <x v="1"/>
    <x v="1"/>
  </r>
  <r>
    <x v="1033"/>
    <x v="2"/>
    <x v="16"/>
    <x v="1"/>
    <x v="13"/>
    <x v="1"/>
    <x v="136"/>
    <x v="14"/>
    <x v="2"/>
    <x v="2"/>
  </r>
  <r>
    <x v="1033"/>
    <x v="3"/>
    <x v="20"/>
    <x v="0"/>
    <x v="11"/>
    <x v="2"/>
    <x v="18"/>
    <x v="15"/>
    <x v="5"/>
    <x v="5"/>
  </r>
  <r>
    <x v="1034"/>
    <x v="0"/>
    <x v="81"/>
    <x v="0"/>
    <x v="29"/>
    <x v="0"/>
    <x v="344"/>
    <x v="74"/>
    <x v="5"/>
    <x v="5"/>
  </r>
  <r>
    <x v="1035"/>
    <x v="0"/>
    <x v="66"/>
    <x v="1"/>
    <x v="45"/>
    <x v="3"/>
    <x v="183"/>
    <x v="59"/>
    <x v="6"/>
    <x v="6"/>
  </r>
  <r>
    <x v="1035"/>
    <x v="1"/>
    <x v="35"/>
    <x v="0"/>
    <x v="15"/>
    <x v="1"/>
    <x v="75"/>
    <x v="31"/>
    <x v="0"/>
    <x v="0"/>
  </r>
  <r>
    <x v="1035"/>
    <x v="2"/>
    <x v="9"/>
    <x v="1"/>
    <x v="7"/>
    <x v="2"/>
    <x v="32"/>
    <x v="8"/>
    <x v="0"/>
    <x v="0"/>
  </r>
  <r>
    <x v="1035"/>
    <x v="3"/>
    <x v="105"/>
    <x v="1"/>
    <x v="63"/>
    <x v="0"/>
    <x v="384"/>
    <x v="97"/>
    <x v="0"/>
    <x v="0"/>
  </r>
  <r>
    <x v="1035"/>
    <x v="4"/>
    <x v="10"/>
    <x v="0"/>
    <x v="8"/>
    <x v="0"/>
    <x v="57"/>
    <x v="9"/>
    <x v="0"/>
    <x v="0"/>
  </r>
  <r>
    <x v="1036"/>
    <x v="0"/>
    <x v="51"/>
    <x v="1"/>
    <x v="35"/>
    <x v="1"/>
    <x v="303"/>
    <x v="44"/>
    <x v="0"/>
    <x v="0"/>
  </r>
  <r>
    <x v="1036"/>
    <x v="1"/>
    <x v="5"/>
    <x v="0"/>
    <x v="4"/>
    <x v="1"/>
    <x v="133"/>
    <x v="5"/>
    <x v="1"/>
    <x v="1"/>
  </r>
  <r>
    <x v="1036"/>
    <x v="2"/>
    <x v="105"/>
    <x v="1"/>
    <x v="63"/>
    <x v="0"/>
    <x v="384"/>
    <x v="97"/>
    <x v="0"/>
    <x v="0"/>
  </r>
  <r>
    <x v="1036"/>
    <x v="3"/>
    <x v="102"/>
    <x v="0"/>
    <x v="30"/>
    <x v="1"/>
    <x v="158"/>
    <x v="94"/>
    <x v="5"/>
    <x v="5"/>
  </r>
  <r>
    <x v="1036"/>
    <x v="4"/>
    <x v="73"/>
    <x v="1"/>
    <x v="49"/>
    <x v="2"/>
    <x v="452"/>
    <x v="66"/>
    <x v="5"/>
    <x v="5"/>
  </r>
  <r>
    <x v="1037"/>
    <x v="0"/>
    <x v="56"/>
    <x v="0"/>
    <x v="39"/>
    <x v="2"/>
    <x v="453"/>
    <x v="49"/>
    <x v="5"/>
    <x v="5"/>
  </r>
  <r>
    <x v="1037"/>
    <x v="1"/>
    <x v="11"/>
    <x v="0"/>
    <x v="9"/>
    <x v="1"/>
    <x v="45"/>
    <x v="10"/>
    <x v="4"/>
    <x v="4"/>
  </r>
  <r>
    <x v="1038"/>
    <x v="0"/>
    <x v="9"/>
    <x v="1"/>
    <x v="7"/>
    <x v="0"/>
    <x v="83"/>
    <x v="8"/>
    <x v="0"/>
    <x v="0"/>
  </r>
  <r>
    <x v="1039"/>
    <x v="0"/>
    <x v="44"/>
    <x v="0"/>
    <x v="29"/>
    <x v="3"/>
    <x v="283"/>
    <x v="38"/>
    <x v="5"/>
    <x v="5"/>
  </r>
  <r>
    <x v="1039"/>
    <x v="1"/>
    <x v="76"/>
    <x v="1"/>
    <x v="50"/>
    <x v="0"/>
    <x v="312"/>
    <x v="69"/>
    <x v="1"/>
    <x v="1"/>
  </r>
  <r>
    <x v="1039"/>
    <x v="2"/>
    <x v="38"/>
    <x v="0"/>
    <x v="26"/>
    <x v="1"/>
    <x v="255"/>
    <x v="34"/>
    <x v="0"/>
    <x v="0"/>
  </r>
  <r>
    <x v="1039"/>
    <x v="3"/>
    <x v="97"/>
    <x v="1"/>
    <x v="4"/>
    <x v="1"/>
    <x v="13"/>
    <x v="89"/>
    <x v="1"/>
    <x v="1"/>
  </r>
  <r>
    <x v="1039"/>
    <x v="4"/>
    <x v="1"/>
    <x v="1"/>
    <x v="1"/>
    <x v="2"/>
    <x v="134"/>
    <x v="1"/>
    <x v="1"/>
    <x v="1"/>
  </r>
  <r>
    <x v="1040"/>
    <x v="0"/>
    <x v="84"/>
    <x v="0"/>
    <x v="30"/>
    <x v="3"/>
    <x v="276"/>
    <x v="77"/>
    <x v="5"/>
    <x v="5"/>
  </r>
  <r>
    <x v="1040"/>
    <x v="1"/>
    <x v="32"/>
    <x v="1"/>
    <x v="23"/>
    <x v="1"/>
    <x v="179"/>
    <x v="28"/>
    <x v="4"/>
    <x v="4"/>
  </r>
  <r>
    <x v="1040"/>
    <x v="2"/>
    <x v="49"/>
    <x v="1"/>
    <x v="33"/>
    <x v="3"/>
    <x v="454"/>
    <x v="42"/>
    <x v="5"/>
    <x v="5"/>
  </r>
  <r>
    <x v="1041"/>
    <x v="0"/>
    <x v="19"/>
    <x v="0"/>
    <x v="15"/>
    <x v="3"/>
    <x v="37"/>
    <x v="17"/>
    <x v="5"/>
    <x v="5"/>
  </r>
  <r>
    <x v="1042"/>
    <x v="0"/>
    <x v="66"/>
    <x v="1"/>
    <x v="45"/>
    <x v="3"/>
    <x v="183"/>
    <x v="59"/>
    <x v="6"/>
    <x v="6"/>
  </r>
  <r>
    <x v="1042"/>
    <x v="1"/>
    <x v="0"/>
    <x v="0"/>
    <x v="0"/>
    <x v="1"/>
    <x v="5"/>
    <x v="0"/>
    <x v="0"/>
    <x v="0"/>
  </r>
  <r>
    <x v="1043"/>
    <x v="0"/>
    <x v="44"/>
    <x v="1"/>
    <x v="29"/>
    <x v="3"/>
    <x v="157"/>
    <x v="38"/>
    <x v="5"/>
    <x v="5"/>
  </r>
  <r>
    <x v="1044"/>
    <x v="0"/>
    <x v="76"/>
    <x v="0"/>
    <x v="50"/>
    <x v="2"/>
    <x v="261"/>
    <x v="69"/>
    <x v="1"/>
    <x v="1"/>
  </r>
  <r>
    <x v="1044"/>
    <x v="1"/>
    <x v="77"/>
    <x v="1"/>
    <x v="51"/>
    <x v="2"/>
    <x v="455"/>
    <x v="70"/>
    <x v="3"/>
    <x v="3"/>
  </r>
  <r>
    <x v="1045"/>
    <x v="0"/>
    <x v="91"/>
    <x v="0"/>
    <x v="57"/>
    <x v="1"/>
    <x v="456"/>
    <x v="84"/>
    <x v="4"/>
    <x v="4"/>
  </r>
  <r>
    <x v="1045"/>
    <x v="1"/>
    <x v="47"/>
    <x v="0"/>
    <x v="32"/>
    <x v="1"/>
    <x v="457"/>
    <x v="41"/>
    <x v="0"/>
    <x v="0"/>
  </r>
  <r>
    <x v="1045"/>
    <x v="2"/>
    <x v="33"/>
    <x v="0"/>
    <x v="14"/>
    <x v="1"/>
    <x v="29"/>
    <x v="29"/>
    <x v="1"/>
    <x v="1"/>
  </r>
  <r>
    <x v="1045"/>
    <x v="3"/>
    <x v="67"/>
    <x v="1"/>
    <x v="46"/>
    <x v="3"/>
    <x v="458"/>
    <x v="60"/>
    <x v="1"/>
    <x v="1"/>
  </r>
  <r>
    <x v="1045"/>
    <x v="4"/>
    <x v="7"/>
    <x v="1"/>
    <x v="6"/>
    <x v="2"/>
    <x v="27"/>
    <x v="7"/>
    <x v="0"/>
    <x v="0"/>
  </r>
  <r>
    <x v="1046"/>
    <x v="0"/>
    <x v="76"/>
    <x v="1"/>
    <x v="50"/>
    <x v="3"/>
    <x v="429"/>
    <x v="69"/>
    <x v="1"/>
    <x v="1"/>
  </r>
  <r>
    <x v="1046"/>
    <x v="1"/>
    <x v="46"/>
    <x v="0"/>
    <x v="31"/>
    <x v="0"/>
    <x v="363"/>
    <x v="40"/>
    <x v="0"/>
    <x v="0"/>
  </r>
  <r>
    <x v="1046"/>
    <x v="2"/>
    <x v="100"/>
    <x v="0"/>
    <x v="61"/>
    <x v="2"/>
    <x v="459"/>
    <x v="92"/>
    <x v="1"/>
    <x v="1"/>
  </r>
  <r>
    <x v="1046"/>
    <x v="3"/>
    <x v="60"/>
    <x v="0"/>
    <x v="25"/>
    <x v="2"/>
    <x v="413"/>
    <x v="53"/>
    <x v="6"/>
    <x v="6"/>
  </r>
  <r>
    <x v="1047"/>
    <x v="0"/>
    <x v="5"/>
    <x v="1"/>
    <x v="4"/>
    <x v="3"/>
    <x v="52"/>
    <x v="5"/>
    <x v="1"/>
    <x v="1"/>
  </r>
  <r>
    <x v="1047"/>
    <x v="1"/>
    <x v="88"/>
    <x v="0"/>
    <x v="55"/>
    <x v="3"/>
    <x v="379"/>
    <x v="81"/>
    <x v="1"/>
    <x v="1"/>
  </r>
  <r>
    <x v="1047"/>
    <x v="2"/>
    <x v="49"/>
    <x v="0"/>
    <x v="33"/>
    <x v="2"/>
    <x v="186"/>
    <x v="42"/>
    <x v="5"/>
    <x v="5"/>
  </r>
  <r>
    <x v="1048"/>
    <x v="0"/>
    <x v="11"/>
    <x v="0"/>
    <x v="9"/>
    <x v="3"/>
    <x v="128"/>
    <x v="10"/>
    <x v="4"/>
    <x v="4"/>
  </r>
  <r>
    <x v="1048"/>
    <x v="1"/>
    <x v="107"/>
    <x v="1"/>
    <x v="61"/>
    <x v="2"/>
    <x v="323"/>
    <x v="99"/>
    <x v="1"/>
    <x v="1"/>
  </r>
  <r>
    <x v="1048"/>
    <x v="2"/>
    <x v="5"/>
    <x v="0"/>
    <x v="4"/>
    <x v="3"/>
    <x v="16"/>
    <x v="5"/>
    <x v="1"/>
    <x v="1"/>
  </r>
  <r>
    <x v="1048"/>
    <x v="3"/>
    <x v="8"/>
    <x v="0"/>
    <x v="0"/>
    <x v="1"/>
    <x v="5"/>
    <x v="3"/>
    <x v="3"/>
    <x v="3"/>
  </r>
  <r>
    <x v="1048"/>
    <x v="4"/>
    <x v="2"/>
    <x v="1"/>
    <x v="2"/>
    <x v="2"/>
    <x v="2"/>
    <x v="2"/>
    <x v="2"/>
    <x v="2"/>
  </r>
  <r>
    <x v="1049"/>
    <x v="0"/>
    <x v="81"/>
    <x v="1"/>
    <x v="29"/>
    <x v="1"/>
    <x v="172"/>
    <x v="74"/>
    <x v="5"/>
    <x v="5"/>
  </r>
  <r>
    <x v="1049"/>
    <x v="1"/>
    <x v="40"/>
    <x v="1"/>
    <x v="15"/>
    <x v="3"/>
    <x v="50"/>
    <x v="35"/>
    <x v="5"/>
    <x v="5"/>
  </r>
  <r>
    <x v="1049"/>
    <x v="2"/>
    <x v="78"/>
    <x v="1"/>
    <x v="52"/>
    <x v="0"/>
    <x v="250"/>
    <x v="71"/>
    <x v="1"/>
    <x v="1"/>
  </r>
  <r>
    <x v="1049"/>
    <x v="3"/>
    <x v="15"/>
    <x v="1"/>
    <x v="11"/>
    <x v="0"/>
    <x v="78"/>
    <x v="12"/>
    <x v="0"/>
    <x v="0"/>
  </r>
  <r>
    <x v="1050"/>
    <x v="0"/>
    <x v="109"/>
    <x v="0"/>
    <x v="64"/>
    <x v="0"/>
    <x v="460"/>
    <x v="101"/>
    <x v="1"/>
    <x v="1"/>
  </r>
  <r>
    <x v="1051"/>
    <x v="0"/>
    <x v="14"/>
    <x v="0"/>
    <x v="12"/>
    <x v="2"/>
    <x v="55"/>
    <x v="13"/>
    <x v="1"/>
    <x v="1"/>
  </r>
  <r>
    <x v="1051"/>
    <x v="1"/>
    <x v="27"/>
    <x v="0"/>
    <x v="20"/>
    <x v="2"/>
    <x v="146"/>
    <x v="23"/>
    <x v="3"/>
    <x v="3"/>
  </r>
  <r>
    <x v="1051"/>
    <x v="2"/>
    <x v="8"/>
    <x v="1"/>
    <x v="0"/>
    <x v="1"/>
    <x v="19"/>
    <x v="3"/>
    <x v="3"/>
    <x v="3"/>
  </r>
  <r>
    <x v="1052"/>
    <x v="0"/>
    <x v="60"/>
    <x v="1"/>
    <x v="25"/>
    <x v="2"/>
    <x v="371"/>
    <x v="53"/>
    <x v="6"/>
    <x v="6"/>
  </r>
  <r>
    <x v="1052"/>
    <x v="1"/>
    <x v="8"/>
    <x v="1"/>
    <x v="0"/>
    <x v="0"/>
    <x v="24"/>
    <x v="3"/>
    <x v="3"/>
    <x v="3"/>
  </r>
  <r>
    <x v="1052"/>
    <x v="2"/>
    <x v="19"/>
    <x v="1"/>
    <x v="15"/>
    <x v="0"/>
    <x v="33"/>
    <x v="17"/>
    <x v="5"/>
    <x v="5"/>
  </r>
  <r>
    <x v="1052"/>
    <x v="3"/>
    <x v="39"/>
    <x v="0"/>
    <x v="19"/>
    <x v="3"/>
    <x v="201"/>
    <x v="22"/>
    <x v="0"/>
    <x v="0"/>
  </r>
  <r>
    <x v="1052"/>
    <x v="4"/>
    <x v="30"/>
    <x v="1"/>
    <x v="5"/>
    <x v="2"/>
    <x v="125"/>
    <x v="26"/>
    <x v="0"/>
    <x v="0"/>
  </r>
  <r>
    <x v="1053"/>
    <x v="0"/>
    <x v="107"/>
    <x v="1"/>
    <x v="61"/>
    <x v="3"/>
    <x v="302"/>
    <x v="99"/>
    <x v="1"/>
    <x v="1"/>
  </r>
  <r>
    <x v="1053"/>
    <x v="1"/>
    <x v="3"/>
    <x v="0"/>
    <x v="0"/>
    <x v="2"/>
    <x v="7"/>
    <x v="3"/>
    <x v="0"/>
    <x v="0"/>
  </r>
  <r>
    <x v="1054"/>
    <x v="0"/>
    <x v="52"/>
    <x v="1"/>
    <x v="28"/>
    <x v="1"/>
    <x v="156"/>
    <x v="45"/>
    <x v="1"/>
    <x v="1"/>
  </r>
  <r>
    <x v="1054"/>
    <x v="1"/>
    <x v="70"/>
    <x v="1"/>
    <x v="48"/>
    <x v="0"/>
    <x v="191"/>
    <x v="63"/>
    <x v="5"/>
    <x v="5"/>
  </r>
  <r>
    <x v="1054"/>
    <x v="2"/>
    <x v="10"/>
    <x v="1"/>
    <x v="8"/>
    <x v="3"/>
    <x v="97"/>
    <x v="9"/>
    <x v="0"/>
    <x v="0"/>
  </r>
  <r>
    <x v="1054"/>
    <x v="3"/>
    <x v="56"/>
    <x v="1"/>
    <x v="39"/>
    <x v="3"/>
    <x v="424"/>
    <x v="49"/>
    <x v="5"/>
    <x v="5"/>
  </r>
  <r>
    <x v="1054"/>
    <x v="4"/>
    <x v="91"/>
    <x v="0"/>
    <x v="57"/>
    <x v="0"/>
    <x v="254"/>
    <x v="84"/>
    <x v="4"/>
    <x v="4"/>
  </r>
  <r>
    <x v="1055"/>
    <x v="0"/>
    <x v="5"/>
    <x v="0"/>
    <x v="4"/>
    <x v="2"/>
    <x v="6"/>
    <x v="5"/>
    <x v="1"/>
    <x v="1"/>
  </r>
  <r>
    <x v="1056"/>
    <x v="0"/>
    <x v="86"/>
    <x v="0"/>
    <x v="54"/>
    <x v="0"/>
    <x v="441"/>
    <x v="79"/>
    <x v="3"/>
    <x v="3"/>
  </r>
  <r>
    <x v="1056"/>
    <x v="1"/>
    <x v="44"/>
    <x v="0"/>
    <x v="29"/>
    <x v="2"/>
    <x v="277"/>
    <x v="38"/>
    <x v="5"/>
    <x v="5"/>
  </r>
  <r>
    <x v="1056"/>
    <x v="2"/>
    <x v="72"/>
    <x v="1"/>
    <x v="26"/>
    <x v="2"/>
    <x v="162"/>
    <x v="65"/>
    <x v="5"/>
    <x v="5"/>
  </r>
  <r>
    <x v="1057"/>
    <x v="0"/>
    <x v="52"/>
    <x v="0"/>
    <x v="28"/>
    <x v="3"/>
    <x v="168"/>
    <x v="45"/>
    <x v="1"/>
    <x v="1"/>
  </r>
  <r>
    <x v="1057"/>
    <x v="1"/>
    <x v="61"/>
    <x v="1"/>
    <x v="4"/>
    <x v="2"/>
    <x v="79"/>
    <x v="54"/>
    <x v="1"/>
    <x v="1"/>
  </r>
  <r>
    <x v="1057"/>
    <x v="2"/>
    <x v="27"/>
    <x v="0"/>
    <x v="20"/>
    <x v="1"/>
    <x v="322"/>
    <x v="23"/>
    <x v="3"/>
    <x v="3"/>
  </r>
  <r>
    <x v="1058"/>
    <x v="0"/>
    <x v="109"/>
    <x v="1"/>
    <x v="64"/>
    <x v="2"/>
    <x v="372"/>
    <x v="101"/>
    <x v="1"/>
    <x v="1"/>
  </r>
  <r>
    <x v="1058"/>
    <x v="1"/>
    <x v="14"/>
    <x v="0"/>
    <x v="12"/>
    <x v="3"/>
    <x v="40"/>
    <x v="13"/>
    <x v="1"/>
    <x v="1"/>
  </r>
  <r>
    <x v="1058"/>
    <x v="2"/>
    <x v="17"/>
    <x v="0"/>
    <x v="11"/>
    <x v="1"/>
    <x v="36"/>
    <x v="15"/>
    <x v="0"/>
    <x v="0"/>
  </r>
  <r>
    <x v="1059"/>
    <x v="0"/>
    <x v="14"/>
    <x v="0"/>
    <x v="12"/>
    <x v="1"/>
    <x v="140"/>
    <x v="13"/>
    <x v="1"/>
    <x v="1"/>
  </r>
  <r>
    <x v="1059"/>
    <x v="1"/>
    <x v="16"/>
    <x v="1"/>
    <x v="13"/>
    <x v="1"/>
    <x v="136"/>
    <x v="14"/>
    <x v="2"/>
    <x v="2"/>
  </r>
  <r>
    <x v="1059"/>
    <x v="2"/>
    <x v="32"/>
    <x v="1"/>
    <x v="23"/>
    <x v="3"/>
    <x v="149"/>
    <x v="28"/>
    <x v="4"/>
    <x v="4"/>
  </r>
  <r>
    <x v="1059"/>
    <x v="3"/>
    <x v="34"/>
    <x v="1"/>
    <x v="4"/>
    <x v="2"/>
    <x v="79"/>
    <x v="30"/>
    <x v="1"/>
    <x v="1"/>
  </r>
  <r>
    <x v="1060"/>
    <x v="0"/>
    <x v="15"/>
    <x v="0"/>
    <x v="11"/>
    <x v="1"/>
    <x v="36"/>
    <x v="12"/>
    <x v="0"/>
    <x v="0"/>
  </r>
  <r>
    <x v="1060"/>
    <x v="1"/>
    <x v="23"/>
    <x v="0"/>
    <x v="7"/>
    <x v="3"/>
    <x v="65"/>
    <x v="20"/>
    <x v="0"/>
    <x v="0"/>
  </r>
  <r>
    <x v="1061"/>
    <x v="0"/>
    <x v="17"/>
    <x v="0"/>
    <x v="11"/>
    <x v="2"/>
    <x v="18"/>
    <x v="15"/>
    <x v="0"/>
    <x v="0"/>
  </r>
  <r>
    <x v="1061"/>
    <x v="1"/>
    <x v="103"/>
    <x v="1"/>
    <x v="38"/>
    <x v="0"/>
    <x v="430"/>
    <x v="95"/>
    <x v="3"/>
    <x v="3"/>
  </r>
  <r>
    <x v="1061"/>
    <x v="2"/>
    <x v="21"/>
    <x v="0"/>
    <x v="16"/>
    <x v="2"/>
    <x v="60"/>
    <x v="18"/>
    <x v="1"/>
    <x v="1"/>
  </r>
  <r>
    <x v="1061"/>
    <x v="3"/>
    <x v="10"/>
    <x v="0"/>
    <x v="8"/>
    <x v="0"/>
    <x v="57"/>
    <x v="9"/>
    <x v="0"/>
    <x v="0"/>
  </r>
  <r>
    <x v="1062"/>
    <x v="0"/>
    <x v="57"/>
    <x v="1"/>
    <x v="14"/>
    <x v="3"/>
    <x v="110"/>
    <x v="50"/>
    <x v="1"/>
    <x v="1"/>
  </r>
  <r>
    <x v="1062"/>
    <x v="1"/>
    <x v="96"/>
    <x v="1"/>
    <x v="26"/>
    <x v="1"/>
    <x v="184"/>
    <x v="88"/>
    <x v="5"/>
    <x v="5"/>
  </r>
  <r>
    <x v="1062"/>
    <x v="2"/>
    <x v="31"/>
    <x v="1"/>
    <x v="22"/>
    <x v="0"/>
    <x v="416"/>
    <x v="27"/>
    <x v="0"/>
    <x v="0"/>
  </r>
  <r>
    <x v="1063"/>
    <x v="0"/>
    <x v="9"/>
    <x v="0"/>
    <x v="7"/>
    <x v="1"/>
    <x v="10"/>
    <x v="8"/>
    <x v="0"/>
    <x v="0"/>
  </r>
  <r>
    <x v="1063"/>
    <x v="1"/>
    <x v="60"/>
    <x v="0"/>
    <x v="25"/>
    <x v="3"/>
    <x v="315"/>
    <x v="53"/>
    <x v="6"/>
    <x v="6"/>
  </r>
  <r>
    <x v="1064"/>
    <x v="0"/>
    <x v="74"/>
    <x v="1"/>
    <x v="42"/>
    <x v="1"/>
    <x v="177"/>
    <x v="67"/>
    <x v="6"/>
    <x v="6"/>
  </r>
  <r>
    <x v="1064"/>
    <x v="1"/>
    <x v="27"/>
    <x v="1"/>
    <x v="20"/>
    <x v="2"/>
    <x v="346"/>
    <x v="23"/>
    <x v="3"/>
    <x v="3"/>
  </r>
  <r>
    <x v="1064"/>
    <x v="2"/>
    <x v="65"/>
    <x v="0"/>
    <x v="25"/>
    <x v="1"/>
    <x v="222"/>
    <x v="58"/>
    <x v="2"/>
    <x v="2"/>
  </r>
  <r>
    <x v="1065"/>
    <x v="0"/>
    <x v="12"/>
    <x v="1"/>
    <x v="10"/>
    <x v="2"/>
    <x v="94"/>
    <x v="11"/>
    <x v="0"/>
    <x v="0"/>
  </r>
  <r>
    <x v="1065"/>
    <x v="1"/>
    <x v="109"/>
    <x v="0"/>
    <x v="64"/>
    <x v="3"/>
    <x v="400"/>
    <x v="101"/>
    <x v="1"/>
    <x v="1"/>
  </r>
  <r>
    <x v="1065"/>
    <x v="2"/>
    <x v="10"/>
    <x v="0"/>
    <x v="8"/>
    <x v="3"/>
    <x v="98"/>
    <x v="9"/>
    <x v="0"/>
    <x v="0"/>
  </r>
  <r>
    <x v="1066"/>
    <x v="0"/>
    <x v="51"/>
    <x v="1"/>
    <x v="35"/>
    <x v="1"/>
    <x v="303"/>
    <x v="44"/>
    <x v="0"/>
    <x v="0"/>
  </r>
  <r>
    <x v="1066"/>
    <x v="1"/>
    <x v="11"/>
    <x v="1"/>
    <x v="9"/>
    <x v="0"/>
    <x v="44"/>
    <x v="10"/>
    <x v="4"/>
    <x v="4"/>
  </r>
  <r>
    <x v="1066"/>
    <x v="2"/>
    <x v="31"/>
    <x v="1"/>
    <x v="22"/>
    <x v="3"/>
    <x v="331"/>
    <x v="27"/>
    <x v="0"/>
    <x v="0"/>
  </r>
  <r>
    <x v="1066"/>
    <x v="3"/>
    <x v="18"/>
    <x v="1"/>
    <x v="14"/>
    <x v="0"/>
    <x v="117"/>
    <x v="16"/>
    <x v="1"/>
    <x v="1"/>
  </r>
  <r>
    <x v="1067"/>
    <x v="0"/>
    <x v="108"/>
    <x v="1"/>
    <x v="37"/>
    <x v="0"/>
    <x v="229"/>
    <x v="100"/>
    <x v="5"/>
    <x v="5"/>
  </r>
  <r>
    <x v="1067"/>
    <x v="1"/>
    <x v="90"/>
    <x v="0"/>
    <x v="43"/>
    <x v="0"/>
    <x v="212"/>
    <x v="83"/>
    <x v="0"/>
    <x v="0"/>
  </r>
  <r>
    <x v="1067"/>
    <x v="2"/>
    <x v="60"/>
    <x v="1"/>
    <x v="25"/>
    <x v="0"/>
    <x v="165"/>
    <x v="53"/>
    <x v="6"/>
    <x v="6"/>
  </r>
  <r>
    <x v="1067"/>
    <x v="3"/>
    <x v="78"/>
    <x v="1"/>
    <x v="52"/>
    <x v="0"/>
    <x v="250"/>
    <x v="71"/>
    <x v="1"/>
    <x v="1"/>
  </r>
  <r>
    <x v="1068"/>
    <x v="0"/>
    <x v="36"/>
    <x v="0"/>
    <x v="24"/>
    <x v="1"/>
    <x v="187"/>
    <x v="32"/>
    <x v="3"/>
    <x v="3"/>
  </r>
  <r>
    <x v="1068"/>
    <x v="1"/>
    <x v="101"/>
    <x v="0"/>
    <x v="30"/>
    <x v="3"/>
    <x v="276"/>
    <x v="93"/>
    <x v="5"/>
    <x v="5"/>
  </r>
  <r>
    <x v="1069"/>
    <x v="0"/>
    <x v="55"/>
    <x v="0"/>
    <x v="38"/>
    <x v="0"/>
    <x v="314"/>
    <x v="48"/>
    <x v="3"/>
    <x v="3"/>
  </r>
  <r>
    <x v="1069"/>
    <x v="1"/>
    <x v="9"/>
    <x v="1"/>
    <x v="7"/>
    <x v="3"/>
    <x v="106"/>
    <x v="8"/>
    <x v="0"/>
    <x v="0"/>
  </r>
  <r>
    <x v="1069"/>
    <x v="2"/>
    <x v="49"/>
    <x v="0"/>
    <x v="33"/>
    <x v="2"/>
    <x v="186"/>
    <x v="42"/>
    <x v="5"/>
    <x v="5"/>
  </r>
  <r>
    <x v="1070"/>
    <x v="0"/>
    <x v="22"/>
    <x v="1"/>
    <x v="17"/>
    <x v="0"/>
    <x v="91"/>
    <x v="19"/>
    <x v="3"/>
    <x v="3"/>
  </r>
  <r>
    <x v="1071"/>
    <x v="0"/>
    <x v="56"/>
    <x v="0"/>
    <x v="39"/>
    <x v="0"/>
    <x v="296"/>
    <x v="49"/>
    <x v="5"/>
    <x v="5"/>
  </r>
  <r>
    <x v="1071"/>
    <x v="1"/>
    <x v="84"/>
    <x v="1"/>
    <x v="30"/>
    <x v="1"/>
    <x v="268"/>
    <x v="77"/>
    <x v="5"/>
    <x v="5"/>
  </r>
  <r>
    <x v="1071"/>
    <x v="2"/>
    <x v="107"/>
    <x v="1"/>
    <x v="61"/>
    <x v="1"/>
    <x v="317"/>
    <x v="99"/>
    <x v="1"/>
    <x v="1"/>
  </r>
  <r>
    <x v="1072"/>
    <x v="0"/>
    <x v="89"/>
    <x v="0"/>
    <x v="56"/>
    <x v="0"/>
    <x v="356"/>
    <x v="82"/>
    <x v="0"/>
    <x v="0"/>
  </r>
  <r>
    <x v="1072"/>
    <x v="1"/>
    <x v="17"/>
    <x v="0"/>
    <x v="11"/>
    <x v="1"/>
    <x v="36"/>
    <x v="15"/>
    <x v="0"/>
    <x v="0"/>
  </r>
  <r>
    <x v="1072"/>
    <x v="2"/>
    <x v="0"/>
    <x v="0"/>
    <x v="0"/>
    <x v="0"/>
    <x v="0"/>
    <x v="0"/>
    <x v="0"/>
    <x v="0"/>
  </r>
  <r>
    <x v="1073"/>
    <x v="0"/>
    <x v="64"/>
    <x v="0"/>
    <x v="44"/>
    <x v="3"/>
    <x v="417"/>
    <x v="57"/>
    <x v="6"/>
    <x v="6"/>
  </r>
  <r>
    <x v="1073"/>
    <x v="1"/>
    <x v="108"/>
    <x v="0"/>
    <x v="37"/>
    <x v="1"/>
    <x v="461"/>
    <x v="100"/>
    <x v="5"/>
    <x v="5"/>
  </r>
  <r>
    <x v="1073"/>
    <x v="2"/>
    <x v="84"/>
    <x v="1"/>
    <x v="30"/>
    <x v="3"/>
    <x v="343"/>
    <x v="77"/>
    <x v="5"/>
    <x v="5"/>
  </r>
  <r>
    <x v="1074"/>
    <x v="0"/>
    <x v="74"/>
    <x v="1"/>
    <x v="42"/>
    <x v="3"/>
    <x v="428"/>
    <x v="67"/>
    <x v="6"/>
    <x v="6"/>
  </r>
  <r>
    <x v="1074"/>
    <x v="1"/>
    <x v="103"/>
    <x v="1"/>
    <x v="38"/>
    <x v="2"/>
    <x v="462"/>
    <x v="95"/>
    <x v="3"/>
    <x v="3"/>
  </r>
  <r>
    <x v="1075"/>
    <x v="0"/>
    <x v="43"/>
    <x v="0"/>
    <x v="15"/>
    <x v="3"/>
    <x v="37"/>
    <x v="31"/>
    <x v="5"/>
    <x v="5"/>
  </r>
  <r>
    <x v="1075"/>
    <x v="1"/>
    <x v="48"/>
    <x v="0"/>
    <x v="26"/>
    <x v="1"/>
    <x v="255"/>
    <x v="34"/>
    <x v="3"/>
    <x v="3"/>
  </r>
  <r>
    <x v="1075"/>
    <x v="2"/>
    <x v="30"/>
    <x v="1"/>
    <x v="5"/>
    <x v="1"/>
    <x v="130"/>
    <x v="26"/>
    <x v="0"/>
    <x v="0"/>
  </r>
  <r>
    <x v="1076"/>
    <x v="0"/>
    <x v="91"/>
    <x v="1"/>
    <x v="57"/>
    <x v="2"/>
    <x v="447"/>
    <x v="84"/>
    <x v="4"/>
    <x v="4"/>
  </r>
  <r>
    <x v="1077"/>
    <x v="0"/>
    <x v="35"/>
    <x v="1"/>
    <x v="15"/>
    <x v="1"/>
    <x v="69"/>
    <x v="31"/>
    <x v="0"/>
    <x v="0"/>
  </r>
  <r>
    <x v="1077"/>
    <x v="1"/>
    <x v="91"/>
    <x v="1"/>
    <x v="57"/>
    <x v="0"/>
    <x v="225"/>
    <x v="84"/>
    <x v="4"/>
    <x v="4"/>
  </r>
  <r>
    <x v="1077"/>
    <x v="2"/>
    <x v="12"/>
    <x v="0"/>
    <x v="10"/>
    <x v="1"/>
    <x v="15"/>
    <x v="11"/>
    <x v="0"/>
    <x v="0"/>
  </r>
  <r>
    <x v="1077"/>
    <x v="3"/>
    <x v="2"/>
    <x v="1"/>
    <x v="2"/>
    <x v="3"/>
    <x v="70"/>
    <x v="2"/>
    <x v="2"/>
    <x v="2"/>
  </r>
  <r>
    <x v="1077"/>
    <x v="4"/>
    <x v="31"/>
    <x v="1"/>
    <x v="22"/>
    <x v="0"/>
    <x v="416"/>
    <x v="27"/>
    <x v="0"/>
    <x v="0"/>
  </r>
  <r>
    <x v="1078"/>
    <x v="0"/>
    <x v="63"/>
    <x v="1"/>
    <x v="43"/>
    <x v="1"/>
    <x v="289"/>
    <x v="56"/>
    <x v="0"/>
    <x v="0"/>
  </r>
  <r>
    <x v="1079"/>
    <x v="0"/>
    <x v="93"/>
    <x v="0"/>
    <x v="58"/>
    <x v="0"/>
    <x v="246"/>
    <x v="85"/>
    <x v="1"/>
    <x v="1"/>
  </r>
  <r>
    <x v="1079"/>
    <x v="1"/>
    <x v="95"/>
    <x v="0"/>
    <x v="23"/>
    <x v="3"/>
    <x v="253"/>
    <x v="87"/>
    <x v="1"/>
    <x v="1"/>
  </r>
  <r>
    <x v="1079"/>
    <x v="2"/>
    <x v="69"/>
    <x v="0"/>
    <x v="47"/>
    <x v="2"/>
    <x v="463"/>
    <x v="62"/>
    <x v="6"/>
    <x v="6"/>
  </r>
  <r>
    <x v="1079"/>
    <x v="3"/>
    <x v="33"/>
    <x v="1"/>
    <x v="14"/>
    <x v="0"/>
    <x v="117"/>
    <x v="29"/>
    <x v="1"/>
    <x v="1"/>
  </r>
  <r>
    <x v="1079"/>
    <x v="4"/>
    <x v="106"/>
    <x v="0"/>
    <x v="39"/>
    <x v="2"/>
    <x v="453"/>
    <x v="98"/>
    <x v="5"/>
    <x v="5"/>
  </r>
  <r>
    <x v="1080"/>
    <x v="0"/>
    <x v="58"/>
    <x v="1"/>
    <x v="40"/>
    <x v="3"/>
    <x v="431"/>
    <x v="51"/>
    <x v="6"/>
    <x v="6"/>
  </r>
  <r>
    <x v="1081"/>
    <x v="0"/>
    <x v="61"/>
    <x v="1"/>
    <x v="4"/>
    <x v="0"/>
    <x v="73"/>
    <x v="54"/>
    <x v="1"/>
    <x v="1"/>
  </r>
  <r>
    <x v="1082"/>
    <x v="0"/>
    <x v="105"/>
    <x v="1"/>
    <x v="63"/>
    <x v="0"/>
    <x v="384"/>
    <x v="97"/>
    <x v="0"/>
    <x v="0"/>
  </r>
  <r>
    <x v="1082"/>
    <x v="1"/>
    <x v="104"/>
    <x v="1"/>
    <x v="62"/>
    <x v="3"/>
    <x v="345"/>
    <x v="96"/>
    <x v="0"/>
    <x v="0"/>
  </r>
  <r>
    <x v="1082"/>
    <x v="2"/>
    <x v="32"/>
    <x v="0"/>
    <x v="23"/>
    <x v="1"/>
    <x v="193"/>
    <x v="28"/>
    <x v="4"/>
    <x v="4"/>
  </r>
  <r>
    <x v="1082"/>
    <x v="3"/>
    <x v="57"/>
    <x v="0"/>
    <x v="14"/>
    <x v="0"/>
    <x v="63"/>
    <x v="50"/>
    <x v="1"/>
    <x v="1"/>
  </r>
  <r>
    <x v="1083"/>
    <x v="0"/>
    <x v="34"/>
    <x v="0"/>
    <x v="4"/>
    <x v="2"/>
    <x v="6"/>
    <x v="30"/>
    <x v="1"/>
    <x v="1"/>
  </r>
  <r>
    <x v="1083"/>
    <x v="1"/>
    <x v="63"/>
    <x v="0"/>
    <x v="43"/>
    <x v="2"/>
    <x v="178"/>
    <x v="56"/>
    <x v="0"/>
    <x v="0"/>
  </r>
  <r>
    <x v="1083"/>
    <x v="2"/>
    <x v="72"/>
    <x v="1"/>
    <x v="26"/>
    <x v="0"/>
    <x v="195"/>
    <x v="65"/>
    <x v="5"/>
    <x v="5"/>
  </r>
  <r>
    <x v="1083"/>
    <x v="3"/>
    <x v="105"/>
    <x v="1"/>
    <x v="63"/>
    <x v="1"/>
    <x v="306"/>
    <x v="97"/>
    <x v="0"/>
    <x v="0"/>
  </r>
  <r>
    <x v="1083"/>
    <x v="4"/>
    <x v="91"/>
    <x v="0"/>
    <x v="57"/>
    <x v="3"/>
    <x v="407"/>
    <x v="84"/>
    <x v="4"/>
    <x v="4"/>
  </r>
  <r>
    <x v="1084"/>
    <x v="0"/>
    <x v="82"/>
    <x v="1"/>
    <x v="34"/>
    <x v="0"/>
    <x v="166"/>
    <x v="75"/>
    <x v="0"/>
    <x v="0"/>
  </r>
  <r>
    <x v="1084"/>
    <x v="1"/>
    <x v="38"/>
    <x v="0"/>
    <x v="26"/>
    <x v="3"/>
    <x v="164"/>
    <x v="34"/>
    <x v="0"/>
    <x v="0"/>
  </r>
  <r>
    <x v="1084"/>
    <x v="2"/>
    <x v="51"/>
    <x v="0"/>
    <x v="35"/>
    <x v="3"/>
    <x v="337"/>
    <x v="44"/>
    <x v="0"/>
    <x v="0"/>
  </r>
  <r>
    <x v="1085"/>
    <x v="0"/>
    <x v="75"/>
    <x v="0"/>
    <x v="19"/>
    <x v="1"/>
    <x v="274"/>
    <x v="68"/>
    <x v="3"/>
    <x v="3"/>
  </r>
  <r>
    <x v="1085"/>
    <x v="1"/>
    <x v="50"/>
    <x v="0"/>
    <x v="34"/>
    <x v="3"/>
    <x v="173"/>
    <x v="43"/>
    <x v="0"/>
    <x v="0"/>
  </r>
  <r>
    <x v="1085"/>
    <x v="2"/>
    <x v="89"/>
    <x v="1"/>
    <x v="56"/>
    <x v="2"/>
    <x v="220"/>
    <x v="82"/>
    <x v="0"/>
    <x v="0"/>
  </r>
  <r>
    <x v="1085"/>
    <x v="3"/>
    <x v="2"/>
    <x v="1"/>
    <x v="2"/>
    <x v="1"/>
    <x v="46"/>
    <x v="2"/>
    <x v="2"/>
    <x v="2"/>
  </r>
  <r>
    <x v="1085"/>
    <x v="4"/>
    <x v="21"/>
    <x v="0"/>
    <x v="16"/>
    <x v="0"/>
    <x v="58"/>
    <x v="18"/>
    <x v="1"/>
    <x v="1"/>
  </r>
  <r>
    <x v="1086"/>
    <x v="0"/>
    <x v="12"/>
    <x v="0"/>
    <x v="10"/>
    <x v="1"/>
    <x v="15"/>
    <x v="11"/>
    <x v="0"/>
    <x v="0"/>
  </r>
  <r>
    <x v="1086"/>
    <x v="1"/>
    <x v="48"/>
    <x v="1"/>
    <x v="26"/>
    <x v="1"/>
    <x v="184"/>
    <x v="34"/>
    <x v="3"/>
    <x v="3"/>
  </r>
  <r>
    <x v="1086"/>
    <x v="2"/>
    <x v="64"/>
    <x v="1"/>
    <x v="44"/>
    <x v="3"/>
    <x v="392"/>
    <x v="57"/>
    <x v="6"/>
    <x v="6"/>
  </r>
  <r>
    <x v="1086"/>
    <x v="3"/>
    <x v="17"/>
    <x v="1"/>
    <x v="11"/>
    <x v="1"/>
    <x v="35"/>
    <x v="15"/>
    <x v="0"/>
    <x v="0"/>
  </r>
  <r>
    <x v="1086"/>
    <x v="4"/>
    <x v="36"/>
    <x v="1"/>
    <x v="24"/>
    <x v="0"/>
    <x v="151"/>
    <x v="32"/>
    <x v="3"/>
    <x v="3"/>
  </r>
  <r>
    <x v="1087"/>
    <x v="0"/>
    <x v="38"/>
    <x v="0"/>
    <x v="26"/>
    <x v="3"/>
    <x v="164"/>
    <x v="34"/>
    <x v="0"/>
    <x v="0"/>
  </r>
  <r>
    <x v="1087"/>
    <x v="1"/>
    <x v="34"/>
    <x v="0"/>
    <x v="4"/>
    <x v="3"/>
    <x v="16"/>
    <x v="30"/>
    <x v="1"/>
    <x v="1"/>
  </r>
  <r>
    <x v="1087"/>
    <x v="2"/>
    <x v="57"/>
    <x v="0"/>
    <x v="14"/>
    <x v="1"/>
    <x v="29"/>
    <x v="50"/>
    <x v="1"/>
    <x v="1"/>
  </r>
  <r>
    <x v="1087"/>
    <x v="3"/>
    <x v="107"/>
    <x v="1"/>
    <x v="61"/>
    <x v="0"/>
    <x v="299"/>
    <x v="99"/>
    <x v="1"/>
    <x v="1"/>
  </r>
  <r>
    <x v="1088"/>
    <x v="0"/>
    <x v="63"/>
    <x v="1"/>
    <x v="43"/>
    <x v="1"/>
    <x v="289"/>
    <x v="56"/>
    <x v="0"/>
    <x v="0"/>
  </r>
  <r>
    <x v="1088"/>
    <x v="1"/>
    <x v="34"/>
    <x v="1"/>
    <x v="4"/>
    <x v="2"/>
    <x v="79"/>
    <x v="30"/>
    <x v="1"/>
    <x v="1"/>
  </r>
  <r>
    <x v="1089"/>
    <x v="0"/>
    <x v="51"/>
    <x v="0"/>
    <x v="35"/>
    <x v="0"/>
    <x v="427"/>
    <x v="44"/>
    <x v="0"/>
    <x v="0"/>
  </r>
  <r>
    <x v="1090"/>
    <x v="0"/>
    <x v="44"/>
    <x v="0"/>
    <x v="29"/>
    <x v="2"/>
    <x v="277"/>
    <x v="38"/>
    <x v="5"/>
    <x v="5"/>
  </r>
  <r>
    <x v="1090"/>
    <x v="1"/>
    <x v="28"/>
    <x v="0"/>
    <x v="21"/>
    <x v="3"/>
    <x v="282"/>
    <x v="24"/>
    <x v="6"/>
    <x v="6"/>
  </r>
  <r>
    <x v="1090"/>
    <x v="2"/>
    <x v="23"/>
    <x v="0"/>
    <x v="7"/>
    <x v="3"/>
    <x v="65"/>
    <x v="20"/>
    <x v="0"/>
    <x v="0"/>
  </r>
  <r>
    <x v="1091"/>
    <x v="0"/>
    <x v="98"/>
    <x v="0"/>
    <x v="14"/>
    <x v="2"/>
    <x v="62"/>
    <x v="90"/>
    <x v="1"/>
    <x v="1"/>
  </r>
  <r>
    <x v="1091"/>
    <x v="1"/>
    <x v="34"/>
    <x v="1"/>
    <x v="4"/>
    <x v="1"/>
    <x v="13"/>
    <x v="30"/>
    <x v="1"/>
    <x v="1"/>
  </r>
  <r>
    <x v="1091"/>
    <x v="2"/>
    <x v="6"/>
    <x v="1"/>
    <x v="5"/>
    <x v="3"/>
    <x v="8"/>
    <x v="6"/>
    <x v="1"/>
    <x v="1"/>
  </r>
  <r>
    <x v="1091"/>
    <x v="3"/>
    <x v="9"/>
    <x v="0"/>
    <x v="7"/>
    <x v="0"/>
    <x v="59"/>
    <x v="8"/>
    <x v="0"/>
    <x v="0"/>
  </r>
  <r>
    <x v="1092"/>
    <x v="0"/>
    <x v="78"/>
    <x v="1"/>
    <x v="52"/>
    <x v="1"/>
    <x v="272"/>
    <x v="71"/>
    <x v="1"/>
    <x v="1"/>
  </r>
  <r>
    <x v="1092"/>
    <x v="1"/>
    <x v="7"/>
    <x v="1"/>
    <x v="6"/>
    <x v="3"/>
    <x v="17"/>
    <x v="7"/>
    <x v="0"/>
    <x v="0"/>
  </r>
  <r>
    <x v="1092"/>
    <x v="2"/>
    <x v="45"/>
    <x v="1"/>
    <x v="30"/>
    <x v="3"/>
    <x v="343"/>
    <x v="39"/>
    <x v="5"/>
    <x v="5"/>
  </r>
  <r>
    <x v="1093"/>
    <x v="0"/>
    <x v="68"/>
    <x v="0"/>
    <x v="24"/>
    <x v="3"/>
    <x v="325"/>
    <x v="61"/>
    <x v="0"/>
    <x v="0"/>
  </r>
  <r>
    <x v="1093"/>
    <x v="1"/>
    <x v="16"/>
    <x v="0"/>
    <x v="13"/>
    <x v="3"/>
    <x v="86"/>
    <x v="14"/>
    <x v="2"/>
    <x v="2"/>
  </r>
  <r>
    <x v="1093"/>
    <x v="2"/>
    <x v="24"/>
    <x v="0"/>
    <x v="8"/>
    <x v="3"/>
    <x v="98"/>
    <x v="9"/>
    <x v="3"/>
    <x v="3"/>
  </r>
  <r>
    <x v="1093"/>
    <x v="3"/>
    <x v="92"/>
    <x v="0"/>
    <x v="24"/>
    <x v="0"/>
    <x v="307"/>
    <x v="72"/>
    <x v="3"/>
    <x v="3"/>
  </r>
  <r>
    <x v="1094"/>
    <x v="0"/>
    <x v="46"/>
    <x v="1"/>
    <x v="31"/>
    <x v="2"/>
    <x v="437"/>
    <x v="40"/>
    <x v="0"/>
    <x v="0"/>
  </r>
  <r>
    <x v="1094"/>
    <x v="1"/>
    <x v="5"/>
    <x v="1"/>
    <x v="4"/>
    <x v="0"/>
    <x v="73"/>
    <x v="5"/>
    <x v="1"/>
    <x v="1"/>
  </r>
  <r>
    <x v="1094"/>
    <x v="2"/>
    <x v="12"/>
    <x v="1"/>
    <x v="10"/>
    <x v="3"/>
    <x v="120"/>
    <x v="11"/>
    <x v="0"/>
    <x v="0"/>
  </r>
  <r>
    <x v="1094"/>
    <x v="3"/>
    <x v="93"/>
    <x v="0"/>
    <x v="58"/>
    <x v="0"/>
    <x v="246"/>
    <x v="85"/>
    <x v="1"/>
    <x v="1"/>
  </r>
  <r>
    <x v="1094"/>
    <x v="4"/>
    <x v="69"/>
    <x v="1"/>
    <x v="47"/>
    <x v="2"/>
    <x v="342"/>
    <x v="62"/>
    <x v="6"/>
    <x v="6"/>
  </r>
  <r>
    <x v="1095"/>
    <x v="0"/>
    <x v="16"/>
    <x v="0"/>
    <x v="13"/>
    <x v="3"/>
    <x v="86"/>
    <x v="14"/>
    <x v="2"/>
    <x v="2"/>
  </r>
  <r>
    <x v="1096"/>
    <x v="0"/>
    <x v="40"/>
    <x v="0"/>
    <x v="15"/>
    <x v="2"/>
    <x v="115"/>
    <x v="35"/>
    <x v="5"/>
    <x v="5"/>
  </r>
  <r>
    <x v="1096"/>
    <x v="1"/>
    <x v="26"/>
    <x v="1"/>
    <x v="19"/>
    <x v="1"/>
    <x v="154"/>
    <x v="22"/>
    <x v="3"/>
    <x v="3"/>
  </r>
  <r>
    <x v="1096"/>
    <x v="2"/>
    <x v="72"/>
    <x v="1"/>
    <x v="26"/>
    <x v="1"/>
    <x v="184"/>
    <x v="65"/>
    <x v="5"/>
    <x v="5"/>
  </r>
  <r>
    <x v="1096"/>
    <x v="3"/>
    <x v="23"/>
    <x v="0"/>
    <x v="7"/>
    <x v="0"/>
    <x v="59"/>
    <x v="20"/>
    <x v="0"/>
    <x v="0"/>
  </r>
  <r>
    <x v="1096"/>
    <x v="4"/>
    <x v="100"/>
    <x v="1"/>
    <x v="61"/>
    <x v="2"/>
    <x v="323"/>
    <x v="92"/>
    <x v="1"/>
    <x v="1"/>
  </r>
  <r>
    <x v="1097"/>
    <x v="0"/>
    <x v="54"/>
    <x v="0"/>
    <x v="37"/>
    <x v="3"/>
    <x v="378"/>
    <x v="47"/>
    <x v="5"/>
    <x v="5"/>
  </r>
  <r>
    <x v="1098"/>
    <x v="0"/>
    <x v="38"/>
    <x v="0"/>
    <x v="26"/>
    <x v="3"/>
    <x v="164"/>
    <x v="34"/>
    <x v="0"/>
    <x v="0"/>
  </r>
  <r>
    <x v="1098"/>
    <x v="1"/>
    <x v="17"/>
    <x v="1"/>
    <x v="11"/>
    <x v="2"/>
    <x v="64"/>
    <x v="15"/>
    <x v="0"/>
    <x v="0"/>
  </r>
  <r>
    <x v="1098"/>
    <x v="2"/>
    <x v="109"/>
    <x v="0"/>
    <x v="64"/>
    <x v="1"/>
    <x v="383"/>
    <x v="101"/>
    <x v="1"/>
    <x v="1"/>
  </r>
  <r>
    <x v="1098"/>
    <x v="3"/>
    <x v="84"/>
    <x v="1"/>
    <x v="30"/>
    <x v="3"/>
    <x v="343"/>
    <x v="77"/>
    <x v="5"/>
    <x v="5"/>
  </r>
  <r>
    <x v="1099"/>
    <x v="0"/>
    <x v="10"/>
    <x v="0"/>
    <x v="8"/>
    <x v="2"/>
    <x v="101"/>
    <x v="9"/>
    <x v="0"/>
    <x v="0"/>
  </r>
  <r>
    <x v="1099"/>
    <x v="1"/>
    <x v="11"/>
    <x v="1"/>
    <x v="9"/>
    <x v="3"/>
    <x v="42"/>
    <x v="10"/>
    <x v="4"/>
    <x v="4"/>
  </r>
  <r>
    <x v="1100"/>
    <x v="0"/>
    <x v="86"/>
    <x v="0"/>
    <x v="54"/>
    <x v="1"/>
    <x v="464"/>
    <x v="79"/>
    <x v="3"/>
    <x v="3"/>
  </r>
  <r>
    <x v="1100"/>
    <x v="1"/>
    <x v="80"/>
    <x v="0"/>
    <x v="53"/>
    <x v="2"/>
    <x v="365"/>
    <x v="73"/>
    <x v="6"/>
    <x v="6"/>
  </r>
  <r>
    <x v="1101"/>
    <x v="0"/>
    <x v="87"/>
    <x v="0"/>
    <x v="29"/>
    <x v="1"/>
    <x v="243"/>
    <x v="80"/>
    <x v="5"/>
    <x v="5"/>
  </r>
  <r>
    <x v="1102"/>
    <x v="0"/>
    <x v="26"/>
    <x v="0"/>
    <x v="19"/>
    <x v="0"/>
    <x v="188"/>
    <x v="22"/>
    <x v="3"/>
    <x v="3"/>
  </r>
  <r>
    <x v="1102"/>
    <x v="1"/>
    <x v="109"/>
    <x v="1"/>
    <x v="64"/>
    <x v="0"/>
    <x v="387"/>
    <x v="101"/>
    <x v="1"/>
    <x v="1"/>
  </r>
  <r>
    <x v="1103"/>
    <x v="0"/>
    <x v="7"/>
    <x v="0"/>
    <x v="6"/>
    <x v="3"/>
    <x v="47"/>
    <x v="7"/>
    <x v="0"/>
    <x v="0"/>
  </r>
  <r>
    <x v="1103"/>
    <x v="1"/>
    <x v="63"/>
    <x v="1"/>
    <x v="43"/>
    <x v="3"/>
    <x v="240"/>
    <x v="56"/>
    <x v="0"/>
    <x v="0"/>
  </r>
  <r>
    <x v="1103"/>
    <x v="2"/>
    <x v="52"/>
    <x v="0"/>
    <x v="28"/>
    <x v="1"/>
    <x v="192"/>
    <x v="45"/>
    <x v="1"/>
    <x v="1"/>
  </r>
  <r>
    <x v="1103"/>
    <x v="3"/>
    <x v="53"/>
    <x v="0"/>
    <x v="36"/>
    <x v="1"/>
    <x v="382"/>
    <x v="46"/>
    <x v="0"/>
    <x v="0"/>
  </r>
  <r>
    <x v="1104"/>
    <x v="0"/>
    <x v="91"/>
    <x v="0"/>
    <x v="57"/>
    <x v="2"/>
    <x v="335"/>
    <x v="84"/>
    <x v="4"/>
    <x v="4"/>
  </r>
  <r>
    <x v="1104"/>
    <x v="1"/>
    <x v="28"/>
    <x v="1"/>
    <x v="21"/>
    <x v="0"/>
    <x v="410"/>
    <x v="24"/>
    <x v="6"/>
    <x v="6"/>
  </r>
  <r>
    <x v="1104"/>
    <x v="2"/>
    <x v="100"/>
    <x v="1"/>
    <x v="61"/>
    <x v="1"/>
    <x v="317"/>
    <x v="92"/>
    <x v="1"/>
    <x v="1"/>
  </r>
  <r>
    <x v="1105"/>
    <x v="0"/>
    <x v="81"/>
    <x v="0"/>
    <x v="29"/>
    <x v="3"/>
    <x v="283"/>
    <x v="74"/>
    <x v="5"/>
    <x v="5"/>
  </r>
  <r>
    <x v="1106"/>
    <x v="0"/>
    <x v="52"/>
    <x v="0"/>
    <x v="28"/>
    <x v="0"/>
    <x v="328"/>
    <x v="45"/>
    <x v="1"/>
    <x v="1"/>
  </r>
  <r>
    <x v="1106"/>
    <x v="1"/>
    <x v="67"/>
    <x v="1"/>
    <x v="46"/>
    <x v="0"/>
    <x v="465"/>
    <x v="60"/>
    <x v="1"/>
    <x v="1"/>
  </r>
  <r>
    <x v="1107"/>
    <x v="0"/>
    <x v="78"/>
    <x v="1"/>
    <x v="52"/>
    <x v="2"/>
    <x v="204"/>
    <x v="71"/>
    <x v="1"/>
    <x v="1"/>
  </r>
  <r>
    <x v="1107"/>
    <x v="1"/>
    <x v="96"/>
    <x v="0"/>
    <x v="26"/>
    <x v="1"/>
    <x v="255"/>
    <x v="88"/>
    <x v="5"/>
    <x v="5"/>
  </r>
  <r>
    <x v="1107"/>
    <x v="2"/>
    <x v="86"/>
    <x v="0"/>
    <x v="54"/>
    <x v="1"/>
    <x v="464"/>
    <x v="79"/>
    <x v="3"/>
    <x v="3"/>
  </r>
  <r>
    <x v="1108"/>
    <x v="0"/>
    <x v="31"/>
    <x v="1"/>
    <x v="22"/>
    <x v="3"/>
    <x v="331"/>
    <x v="27"/>
    <x v="0"/>
    <x v="0"/>
  </r>
  <r>
    <x v="1109"/>
    <x v="0"/>
    <x v="28"/>
    <x v="0"/>
    <x v="21"/>
    <x v="3"/>
    <x v="282"/>
    <x v="24"/>
    <x v="6"/>
    <x v="6"/>
  </r>
  <r>
    <x v="1110"/>
    <x v="0"/>
    <x v="43"/>
    <x v="0"/>
    <x v="15"/>
    <x v="2"/>
    <x v="115"/>
    <x v="31"/>
    <x v="5"/>
    <x v="5"/>
  </r>
  <r>
    <x v="1110"/>
    <x v="1"/>
    <x v="82"/>
    <x v="1"/>
    <x v="34"/>
    <x v="3"/>
    <x v="333"/>
    <x v="75"/>
    <x v="0"/>
    <x v="0"/>
  </r>
  <r>
    <x v="1110"/>
    <x v="2"/>
    <x v="15"/>
    <x v="0"/>
    <x v="11"/>
    <x v="0"/>
    <x v="51"/>
    <x v="12"/>
    <x v="0"/>
    <x v="0"/>
  </r>
  <r>
    <x v="1110"/>
    <x v="3"/>
    <x v="24"/>
    <x v="0"/>
    <x v="8"/>
    <x v="1"/>
    <x v="77"/>
    <x v="9"/>
    <x v="3"/>
    <x v="3"/>
  </r>
  <r>
    <x v="1111"/>
    <x v="0"/>
    <x v="68"/>
    <x v="1"/>
    <x v="24"/>
    <x v="2"/>
    <x v="293"/>
    <x v="61"/>
    <x v="0"/>
    <x v="0"/>
  </r>
  <r>
    <x v="1111"/>
    <x v="1"/>
    <x v="41"/>
    <x v="0"/>
    <x v="27"/>
    <x v="1"/>
    <x v="466"/>
    <x v="36"/>
    <x v="1"/>
    <x v="1"/>
  </r>
  <r>
    <x v="1111"/>
    <x v="2"/>
    <x v="21"/>
    <x v="1"/>
    <x v="16"/>
    <x v="3"/>
    <x v="87"/>
    <x v="18"/>
    <x v="1"/>
    <x v="1"/>
  </r>
  <r>
    <x v="1111"/>
    <x v="3"/>
    <x v="108"/>
    <x v="1"/>
    <x v="37"/>
    <x v="1"/>
    <x v="170"/>
    <x v="100"/>
    <x v="5"/>
    <x v="5"/>
  </r>
  <r>
    <x v="1111"/>
    <x v="4"/>
    <x v="11"/>
    <x v="1"/>
    <x v="9"/>
    <x v="3"/>
    <x v="42"/>
    <x v="10"/>
    <x v="4"/>
    <x v="4"/>
  </r>
  <r>
    <x v="1112"/>
    <x v="0"/>
    <x v="26"/>
    <x v="0"/>
    <x v="19"/>
    <x v="1"/>
    <x v="274"/>
    <x v="22"/>
    <x v="3"/>
    <x v="3"/>
  </r>
  <r>
    <x v="1113"/>
    <x v="0"/>
    <x v="58"/>
    <x v="0"/>
    <x v="40"/>
    <x v="0"/>
    <x v="434"/>
    <x v="51"/>
    <x v="6"/>
    <x v="6"/>
  </r>
  <r>
    <x v="1114"/>
    <x v="0"/>
    <x v="44"/>
    <x v="1"/>
    <x v="29"/>
    <x v="0"/>
    <x v="209"/>
    <x v="38"/>
    <x v="5"/>
    <x v="5"/>
  </r>
  <r>
    <x v="1114"/>
    <x v="1"/>
    <x v="69"/>
    <x v="1"/>
    <x v="47"/>
    <x v="1"/>
    <x v="390"/>
    <x v="62"/>
    <x v="6"/>
    <x v="6"/>
  </r>
  <r>
    <x v="1114"/>
    <x v="2"/>
    <x v="87"/>
    <x v="1"/>
    <x v="29"/>
    <x v="1"/>
    <x v="172"/>
    <x v="80"/>
    <x v="5"/>
    <x v="5"/>
  </r>
  <r>
    <x v="1114"/>
    <x v="3"/>
    <x v="60"/>
    <x v="1"/>
    <x v="25"/>
    <x v="3"/>
    <x v="279"/>
    <x v="53"/>
    <x v="6"/>
    <x v="6"/>
  </r>
  <r>
    <x v="1115"/>
    <x v="0"/>
    <x v="16"/>
    <x v="1"/>
    <x v="13"/>
    <x v="1"/>
    <x v="136"/>
    <x v="14"/>
    <x v="2"/>
    <x v="2"/>
  </r>
  <r>
    <x v="1116"/>
    <x v="0"/>
    <x v="88"/>
    <x v="1"/>
    <x v="55"/>
    <x v="3"/>
    <x v="438"/>
    <x v="81"/>
    <x v="1"/>
    <x v="1"/>
  </r>
  <r>
    <x v="1116"/>
    <x v="1"/>
    <x v="87"/>
    <x v="0"/>
    <x v="29"/>
    <x v="0"/>
    <x v="344"/>
    <x v="80"/>
    <x v="5"/>
    <x v="5"/>
  </r>
  <r>
    <x v="1116"/>
    <x v="2"/>
    <x v="80"/>
    <x v="1"/>
    <x v="53"/>
    <x v="3"/>
    <x v="408"/>
    <x v="73"/>
    <x v="6"/>
    <x v="6"/>
  </r>
  <r>
    <x v="1117"/>
    <x v="0"/>
    <x v="66"/>
    <x v="1"/>
    <x v="45"/>
    <x v="0"/>
    <x v="234"/>
    <x v="59"/>
    <x v="6"/>
    <x v="6"/>
  </r>
  <r>
    <x v="1117"/>
    <x v="1"/>
    <x v="69"/>
    <x v="0"/>
    <x v="47"/>
    <x v="1"/>
    <x v="221"/>
    <x v="62"/>
    <x v="6"/>
    <x v="6"/>
  </r>
  <r>
    <x v="1117"/>
    <x v="2"/>
    <x v="61"/>
    <x v="0"/>
    <x v="4"/>
    <x v="2"/>
    <x v="6"/>
    <x v="54"/>
    <x v="1"/>
    <x v="1"/>
  </r>
  <r>
    <x v="1117"/>
    <x v="3"/>
    <x v="42"/>
    <x v="1"/>
    <x v="28"/>
    <x v="0"/>
    <x v="426"/>
    <x v="37"/>
    <x v="1"/>
    <x v="1"/>
  </r>
  <r>
    <x v="1118"/>
    <x v="0"/>
    <x v="101"/>
    <x v="1"/>
    <x v="30"/>
    <x v="3"/>
    <x v="343"/>
    <x v="93"/>
    <x v="5"/>
    <x v="5"/>
  </r>
  <r>
    <x v="1118"/>
    <x v="1"/>
    <x v="66"/>
    <x v="1"/>
    <x v="45"/>
    <x v="2"/>
    <x v="256"/>
    <x v="59"/>
    <x v="6"/>
    <x v="6"/>
  </r>
  <r>
    <x v="1118"/>
    <x v="2"/>
    <x v="77"/>
    <x v="0"/>
    <x v="51"/>
    <x v="0"/>
    <x v="230"/>
    <x v="70"/>
    <x v="3"/>
    <x v="3"/>
  </r>
  <r>
    <x v="1119"/>
    <x v="0"/>
    <x v="102"/>
    <x v="1"/>
    <x v="30"/>
    <x v="1"/>
    <x v="268"/>
    <x v="94"/>
    <x v="5"/>
    <x v="5"/>
  </r>
  <r>
    <x v="1119"/>
    <x v="1"/>
    <x v="93"/>
    <x v="0"/>
    <x v="58"/>
    <x v="1"/>
    <x v="237"/>
    <x v="85"/>
    <x v="1"/>
    <x v="1"/>
  </r>
  <r>
    <x v="1119"/>
    <x v="2"/>
    <x v="34"/>
    <x v="1"/>
    <x v="4"/>
    <x v="2"/>
    <x v="79"/>
    <x v="30"/>
    <x v="1"/>
    <x v="1"/>
  </r>
  <r>
    <x v="1119"/>
    <x v="3"/>
    <x v="101"/>
    <x v="0"/>
    <x v="30"/>
    <x v="1"/>
    <x v="158"/>
    <x v="93"/>
    <x v="5"/>
    <x v="5"/>
  </r>
  <r>
    <x v="1119"/>
    <x v="4"/>
    <x v="49"/>
    <x v="0"/>
    <x v="33"/>
    <x v="0"/>
    <x v="353"/>
    <x v="42"/>
    <x v="5"/>
    <x v="5"/>
  </r>
  <r>
    <x v="1120"/>
    <x v="0"/>
    <x v="16"/>
    <x v="1"/>
    <x v="13"/>
    <x v="3"/>
    <x v="104"/>
    <x v="14"/>
    <x v="2"/>
    <x v="2"/>
  </r>
  <r>
    <x v="1120"/>
    <x v="1"/>
    <x v="55"/>
    <x v="1"/>
    <x v="38"/>
    <x v="2"/>
    <x v="462"/>
    <x v="48"/>
    <x v="3"/>
    <x v="3"/>
  </r>
  <r>
    <x v="1121"/>
    <x v="0"/>
    <x v="11"/>
    <x v="1"/>
    <x v="9"/>
    <x v="1"/>
    <x v="14"/>
    <x v="10"/>
    <x v="4"/>
    <x v="4"/>
  </r>
  <r>
    <x v="1121"/>
    <x v="1"/>
    <x v="29"/>
    <x v="0"/>
    <x v="5"/>
    <x v="3"/>
    <x v="92"/>
    <x v="25"/>
    <x v="6"/>
    <x v="6"/>
  </r>
  <r>
    <x v="1121"/>
    <x v="2"/>
    <x v="60"/>
    <x v="1"/>
    <x v="25"/>
    <x v="0"/>
    <x v="165"/>
    <x v="53"/>
    <x v="6"/>
    <x v="6"/>
  </r>
  <r>
    <x v="1121"/>
    <x v="3"/>
    <x v="67"/>
    <x v="1"/>
    <x v="46"/>
    <x v="2"/>
    <x v="185"/>
    <x v="60"/>
    <x v="1"/>
    <x v="1"/>
  </r>
  <r>
    <x v="1121"/>
    <x v="4"/>
    <x v="31"/>
    <x v="0"/>
    <x v="22"/>
    <x v="3"/>
    <x v="368"/>
    <x v="27"/>
    <x v="0"/>
    <x v="0"/>
  </r>
  <r>
    <x v="1122"/>
    <x v="0"/>
    <x v="105"/>
    <x v="1"/>
    <x v="63"/>
    <x v="1"/>
    <x v="306"/>
    <x v="97"/>
    <x v="0"/>
    <x v="0"/>
  </r>
  <r>
    <x v="1122"/>
    <x v="1"/>
    <x v="32"/>
    <x v="1"/>
    <x v="23"/>
    <x v="3"/>
    <x v="149"/>
    <x v="28"/>
    <x v="4"/>
    <x v="4"/>
  </r>
  <r>
    <x v="1123"/>
    <x v="0"/>
    <x v="14"/>
    <x v="1"/>
    <x v="12"/>
    <x v="3"/>
    <x v="20"/>
    <x v="13"/>
    <x v="1"/>
    <x v="1"/>
  </r>
  <r>
    <x v="1123"/>
    <x v="1"/>
    <x v="18"/>
    <x v="0"/>
    <x v="14"/>
    <x v="3"/>
    <x v="107"/>
    <x v="16"/>
    <x v="1"/>
    <x v="1"/>
  </r>
  <r>
    <x v="1123"/>
    <x v="2"/>
    <x v="36"/>
    <x v="1"/>
    <x v="24"/>
    <x v="1"/>
    <x v="207"/>
    <x v="32"/>
    <x v="3"/>
    <x v="3"/>
  </r>
  <r>
    <x v="1123"/>
    <x v="3"/>
    <x v="78"/>
    <x v="1"/>
    <x v="52"/>
    <x v="2"/>
    <x v="204"/>
    <x v="71"/>
    <x v="1"/>
    <x v="1"/>
  </r>
  <r>
    <x v="1123"/>
    <x v="4"/>
    <x v="6"/>
    <x v="1"/>
    <x v="5"/>
    <x v="2"/>
    <x v="125"/>
    <x v="6"/>
    <x v="1"/>
    <x v="1"/>
  </r>
  <r>
    <x v="1124"/>
    <x v="0"/>
    <x v="3"/>
    <x v="1"/>
    <x v="0"/>
    <x v="2"/>
    <x v="3"/>
    <x v="3"/>
    <x v="0"/>
    <x v="0"/>
  </r>
  <r>
    <x v="1124"/>
    <x v="1"/>
    <x v="20"/>
    <x v="0"/>
    <x v="11"/>
    <x v="3"/>
    <x v="21"/>
    <x v="15"/>
    <x v="5"/>
    <x v="5"/>
  </r>
  <r>
    <x v="1124"/>
    <x v="2"/>
    <x v="89"/>
    <x v="1"/>
    <x v="56"/>
    <x v="1"/>
    <x v="311"/>
    <x v="82"/>
    <x v="0"/>
    <x v="0"/>
  </r>
  <r>
    <x v="1124"/>
    <x v="3"/>
    <x v="24"/>
    <x v="0"/>
    <x v="8"/>
    <x v="1"/>
    <x v="77"/>
    <x v="9"/>
    <x v="3"/>
    <x v="3"/>
  </r>
  <r>
    <x v="1124"/>
    <x v="4"/>
    <x v="33"/>
    <x v="1"/>
    <x v="14"/>
    <x v="1"/>
    <x v="138"/>
    <x v="29"/>
    <x v="1"/>
    <x v="1"/>
  </r>
  <r>
    <x v="1125"/>
    <x v="0"/>
    <x v="57"/>
    <x v="1"/>
    <x v="14"/>
    <x v="3"/>
    <x v="110"/>
    <x v="50"/>
    <x v="1"/>
    <x v="1"/>
  </r>
  <r>
    <x v="1125"/>
    <x v="1"/>
    <x v="71"/>
    <x v="0"/>
    <x v="23"/>
    <x v="0"/>
    <x v="223"/>
    <x v="64"/>
    <x v="6"/>
    <x v="6"/>
  </r>
  <r>
    <x v="1125"/>
    <x v="2"/>
    <x v="84"/>
    <x v="1"/>
    <x v="30"/>
    <x v="2"/>
    <x v="211"/>
    <x v="77"/>
    <x v="5"/>
    <x v="5"/>
  </r>
  <r>
    <x v="1126"/>
    <x v="0"/>
    <x v="19"/>
    <x v="1"/>
    <x v="15"/>
    <x v="3"/>
    <x v="50"/>
    <x v="17"/>
    <x v="5"/>
    <x v="5"/>
  </r>
  <r>
    <x v="1126"/>
    <x v="1"/>
    <x v="81"/>
    <x v="1"/>
    <x v="29"/>
    <x v="1"/>
    <x v="172"/>
    <x v="74"/>
    <x v="5"/>
    <x v="5"/>
  </r>
  <r>
    <x v="1126"/>
    <x v="2"/>
    <x v="88"/>
    <x v="0"/>
    <x v="55"/>
    <x v="0"/>
    <x v="467"/>
    <x v="81"/>
    <x v="1"/>
    <x v="1"/>
  </r>
  <r>
    <x v="1127"/>
    <x v="0"/>
    <x v="99"/>
    <x v="0"/>
    <x v="60"/>
    <x v="2"/>
    <x v="386"/>
    <x v="91"/>
    <x v="1"/>
    <x v="1"/>
  </r>
  <r>
    <x v="1127"/>
    <x v="1"/>
    <x v="2"/>
    <x v="0"/>
    <x v="2"/>
    <x v="0"/>
    <x v="135"/>
    <x v="2"/>
    <x v="2"/>
    <x v="2"/>
  </r>
  <r>
    <x v="1127"/>
    <x v="2"/>
    <x v="105"/>
    <x v="1"/>
    <x v="63"/>
    <x v="2"/>
    <x v="380"/>
    <x v="97"/>
    <x v="0"/>
    <x v="0"/>
  </r>
  <r>
    <x v="1128"/>
    <x v="0"/>
    <x v="68"/>
    <x v="1"/>
    <x v="24"/>
    <x v="0"/>
    <x v="151"/>
    <x v="61"/>
    <x v="0"/>
    <x v="0"/>
  </r>
  <r>
    <x v="1128"/>
    <x v="1"/>
    <x v="28"/>
    <x v="0"/>
    <x v="21"/>
    <x v="0"/>
    <x v="147"/>
    <x v="24"/>
    <x v="6"/>
    <x v="6"/>
  </r>
  <r>
    <x v="1128"/>
    <x v="2"/>
    <x v="32"/>
    <x v="1"/>
    <x v="23"/>
    <x v="2"/>
    <x v="244"/>
    <x v="28"/>
    <x v="4"/>
    <x v="4"/>
  </r>
  <r>
    <x v="1129"/>
    <x v="0"/>
    <x v="59"/>
    <x v="1"/>
    <x v="41"/>
    <x v="0"/>
    <x v="468"/>
    <x v="52"/>
    <x v="6"/>
    <x v="6"/>
  </r>
  <r>
    <x v="1130"/>
    <x v="0"/>
    <x v="91"/>
    <x v="1"/>
    <x v="57"/>
    <x v="1"/>
    <x v="469"/>
    <x v="84"/>
    <x v="4"/>
    <x v="4"/>
  </r>
  <r>
    <x v="1130"/>
    <x v="1"/>
    <x v="27"/>
    <x v="1"/>
    <x v="20"/>
    <x v="2"/>
    <x v="346"/>
    <x v="23"/>
    <x v="3"/>
    <x v="3"/>
  </r>
  <r>
    <x v="1131"/>
    <x v="0"/>
    <x v="52"/>
    <x v="0"/>
    <x v="28"/>
    <x v="2"/>
    <x v="357"/>
    <x v="45"/>
    <x v="1"/>
    <x v="1"/>
  </r>
  <r>
    <x v="1131"/>
    <x v="1"/>
    <x v="2"/>
    <x v="0"/>
    <x v="2"/>
    <x v="3"/>
    <x v="139"/>
    <x v="2"/>
    <x v="2"/>
    <x v="2"/>
  </r>
  <r>
    <x v="1131"/>
    <x v="2"/>
    <x v="107"/>
    <x v="1"/>
    <x v="61"/>
    <x v="3"/>
    <x v="302"/>
    <x v="99"/>
    <x v="1"/>
    <x v="1"/>
  </r>
  <r>
    <x v="1131"/>
    <x v="3"/>
    <x v="3"/>
    <x v="0"/>
    <x v="0"/>
    <x v="2"/>
    <x v="7"/>
    <x v="3"/>
    <x v="0"/>
    <x v="0"/>
  </r>
  <r>
    <x v="1132"/>
    <x v="0"/>
    <x v="4"/>
    <x v="1"/>
    <x v="3"/>
    <x v="2"/>
    <x v="49"/>
    <x v="4"/>
    <x v="1"/>
    <x v="1"/>
  </r>
  <r>
    <x v="1132"/>
    <x v="1"/>
    <x v="7"/>
    <x v="0"/>
    <x v="6"/>
    <x v="1"/>
    <x v="9"/>
    <x v="7"/>
    <x v="0"/>
    <x v="0"/>
  </r>
  <r>
    <x v="1132"/>
    <x v="2"/>
    <x v="45"/>
    <x v="1"/>
    <x v="30"/>
    <x v="0"/>
    <x v="266"/>
    <x v="39"/>
    <x v="5"/>
    <x v="5"/>
  </r>
  <r>
    <x v="1132"/>
    <x v="3"/>
    <x v="37"/>
    <x v="0"/>
    <x v="25"/>
    <x v="0"/>
    <x v="152"/>
    <x v="33"/>
    <x v="2"/>
    <x v="2"/>
  </r>
  <r>
    <x v="1133"/>
    <x v="0"/>
    <x v="44"/>
    <x v="0"/>
    <x v="29"/>
    <x v="3"/>
    <x v="283"/>
    <x v="38"/>
    <x v="5"/>
    <x v="5"/>
  </r>
  <r>
    <x v="1133"/>
    <x v="1"/>
    <x v="107"/>
    <x v="0"/>
    <x v="61"/>
    <x v="3"/>
    <x v="326"/>
    <x v="99"/>
    <x v="1"/>
    <x v="1"/>
  </r>
  <r>
    <x v="1134"/>
    <x v="0"/>
    <x v="70"/>
    <x v="1"/>
    <x v="48"/>
    <x v="2"/>
    <x v="470"/>
    <x v="63"/>
    <x v="5"/>
    <x v="5"/>
  </r>
  <r>
    <x v="1134"/>
    <x v="1"/>
    <x v="80"/>
    <x v="0"/>
    <x v="53"/>
    <x v="3"/>
    <x v="422"/>
    <x v="73"/>
    <x v="6"/>
    <x v="6"/>
  </r>
  <r>
    <x v="1135"/>
    <x v="0"/>
    <x v="86"/>
    <x v="0"/>
    <x v="54"/>
    <x v="3"/>
    <x v="425"/>
    <x v="79"/>
    <x v="3"/>
    <x v="3"/>
  </r>
  <r>
    <x v="1136"/>
    <x v="0"/>
    <x v="76"/>
    <x v="0"/>
    <x v="50"/>
    <x v="0"/>
    <x v="324"/>
    <x v="69"/>
    <x v="1"/>
    <x v="1"/>
  </r>
  <r>
    <x v="1136"/>
    <x v="1"/>
    <x v="71"/>
    <x v="1"/>
    <x v="23"/>
    <x v="0"/>
    <x v="377"/>
    <x v="64"/>
    <x v="6"/>
    <x v="6"/>
  </r>
  <r>
    <x v="1136"/>
    <x v="2"/>
    <x v="73"/>
    <x v="1"/>
    <x v="49"/>
    <x v="0"/>
    <x v="286"/>
    <x v="66"/>
    <x v="5"/>
    <x v="5"/>
  </r>
  <r>
    <x v="1136"/>
    <x v="3"/>
    <x v="79"/>
    <x v="1"/>
    <x v="24"/>
    <x v="1"/>
    <x v="207"/>
    <x v="72"/>
    <x v="0"/>
    <x v="0"/>
  </r>
  <r>
    <x v="1137"/>
    <x v="0"/>
    <x v="17"/>
    <x v="1"/>
    <x v="11"/>
    <x v="2"/>
    <x v="64"/>
    <x v="15"/>
    <x v="0"/>
    <x v="0"/>
  </r>
  <r>
    <x v="1137"/>
    <x v="1"/>
    <x v="86"/>
    <x v="1"/>
    <x v="54"/>
    <x v="2"/>
    <x v="471"/>
    <x v="79"/>
    <x v="3"/>
    <x v="3"/>
  </r>
  <r>
    <x v="1137"/>
    <x v="2"/>
    <x v="101"/>
    <x v="0"/>
    <x v="30"/>
    <x v="3"/>
    <x v="276"/>
    <x v="93"/>
    <x v="5"/>
    <x v="5"/>
  </r>
  <r>
    <x v="1138"/>
    <x v="0"/>
    <x v="26"/>
    <x v="1"/>
    <x v="19"/>
    <x v="2"/>
    <x v="150"/>
    <x v="22"/>
    <x v="3"/>
    <x v="3"/>
  </r>
  <r>
    <x v="1138"/>
    <x v="1"/>
    <x v="99"/>
    <x v="1"/>
    <x v="60"/>
    <x v="3"/>
    <x v="412"/>
    <x v="91"/>
    <x v="1"/>
    <x v="1"/>
  </r>
  <r>
    <x v="1138"/>
    <x v="2"/>
    <x v="79"/>
    <x v="0"/>
    <x v="24"/>
    <x v="2"/>
    <x v="205"/>
    <x v="72"/>
    <x v="0"/>
    <x v="0"/>
  </r>
  <r>
    <x v="1138"/>
    <x v="3"/>
    <x v="22"/>
    <x v="1"/>
    <x v="17"/>
    <x v="3"/>
    <x v="68"/>
    <x v="19"/>
    <x v="3"/>
    <x v="3"/>
  </r>
  <r>
    <x v="1138"/>
    <x v="4"/>
    <x v="14"/>
    <x v="0"/>
    <x v="12"/>
    <x v="3"/>
    <x v="40"/>
    <x v="13"/>
    <x v="1"/>
    <x v="1"/>
  </r>
  <r>
    <x v="1139"/>
    <x v="0"/>
    <x v="62"/>
    <x v="1"/>
    <x v="42"/>
    <x v="3"/>
    <x v="428"/>
    <x v="55"/>
    <x v="1"/>
    <x v="1"/>
  </r>
  <r>
    <x v="1139"/>
    <x v="1"/>
    <x v="68"/>
    <x v="1"/>
    <x v="24"/>
    <x v="1"/>
    <x v="207"/>
    <x v="61"/>
    <x v="0"/>
    <x v="0"/>
  </r>
  <r>
    <x v="1139"/>
    <x v="2"/>
    <x v="83"/>
    <x v="1"/>
    <x v="8"/>
    <x v="3"/>
    <x v="97"/>
    <x v="76"/>
    <x v="1"/>
    <x v="1"/>
  </r>
  <r>
    <x v="1139"/>
    <x v="3"/>
    <x v="95"/>
    <x v="1"/>
    <x v="23"/>
    <x v="1"/>
    <x v="179"/>
    <x v="87"/>
    <x v="1"/>
    <x v="1"/>
  </r>
  <r>
    <x v="1140"/>
    <x v="0"/>
    <x v="1"/>
    <x v="0"/>
    <x v="1"/>
    <x v="3"/>
    <x v="112"/>
    <x v="1"/>
    <x v="1"/>
    <x v="1"/>
  </r>
  <r>
    <x v="1141"/>
    <x v="0"/>
    <x v="0"/>
    <x v="1"/>
    <x v="0"/>
    <x v="1"/>
    <x v="19"/>
    <x v="0"/>
    <x v="0"/>
    <x v="0"/>
  </r>
  <r>
    <x v="1141"/>
    <x v="1"/>
    <x v="34"/>
    <x v="0"/>
    <x v="4"/>
    <x v="3"/>
    <x v="16"/>
    <x v="30"/>
    <x v="1"/>
    <x v="1"/>
  </r>
  <r>
    <x v="1141"/>
    <x v="2"/>
    <x v="36"/>
    <x v="1"/>
    <x v="24"/>
    <x v="2"/>
    <x v="293"/>
    <x v="32"/>
    <x v="3"/>
    <x v="3"/>
  </r>
  <r>
    <x v="1141"/>
    <x v="3"/>
    <x v="75"/>
    <x v="1"/>
    <x v="19"/>
    <x v="0"/>
    <x v="364"/>
    <x v="68"/>
    <x v="3"/>
    <x v="3"/>
  </r>
  <r>
    <x v="1141"/>
    <x v="4"/>
    <x v="96"/>
    <x v="1"/>
    <x v="26"/>
    <x v="2"/>
    <x v="162"/>
    <x v="88"/>
    <x v="5"/>
    <x v="5"/>
  </r>
  <r>
    <x v="1142"/>
    <x v="0"/>
    <x v="40"/>
    <x v="0"/>
    <x v="15"/>
    <x v="0"/>
    <x v="122"/>
    <x v="35"/>
    <x v="5"/>
    <x v="5"/>
  </r>
  <r>
    <x v="1142"/>
    <x v="1"/>
    <x v="74"/>
    <x v="0"/>
    <x v="42"/>
    <x v="0"/>
    <x v="224"/>
    <x v="67"/>
    <x v="6"/>
    <x v="6"/>
  </r>
  <r>
    <x v="1142"/>
    <x v="2"/>
    <x v="79"/>
    <x v="1"/>
    <x v="24"/>
    <x v="3"/>
    <x v="288"/>
    <x v="72"/>
    <x v="0"/>
    <x v="0"/>
  </r>
  <r>
    <x v="1143"/>
    <x v="0"/>
    <x v="54"/>
    <x v="0"/>
    <x v="37"/>
    <x v="1"/>
    <x v="461"/>
    <x v="47"/>
    <x v="5"/>
    <x v="5"/>
  </r>
  <r>
    <x v="1144"/>
    <x v="0"/>
    <x v="86"/>
    <x v="1"/>
    <x v="54"/>
    <x v="1"/>
    <x v="214"/>
    <x v="79"/>
    <x v="3"/>
    <x v="3"/>
  </r>
  <r>
    <x v="1145"/>
    <x v="0"/>
    <x v="107"/>
    <x v="0"/>
    <x v="61"/>
    <x v="1"/>
    <x v="472"/>
    <x v="99"/>
    <x v="1"/>
    <x v="1"/>
  </r>
  <r>
    <x v="1145"/>
    <x v="1"/>
    <x v="38"/>
    <x v="0"/>
    <x v="26"/>
    <x v="0"/>
    <x v="153"/>
    <x v="34"/>
    <x v="0"/>
    <x v="0"/>
  </r>
  <r>
    <x v="1145"/>
    <x v="2"/>
    <x v="16"/>
    <x v="0"/>
    <x v="13"/>
    <x v="0"/>
    <x v="114"/>
    <x v="14"/>
    <x v="2"/>
    <x v="2"/>
  </r>
  <r>
    <x v="1146"/>
    <x v="0"/>
    <x v="90"/>
    <x v="0"/>
    <x v="43"/>
    <x v="0"/>
    <x v="212"/>
    <x v="83"/>
    <x v="0"/>
    <x v="0"/>
  </r>
  <r>
    <x v="1146"/>
    <x v="1"/>
    <x v="62"/>
    <x v="1"/>
    <x v="42"/>
    <x v="2"/>
    <x v="199"/>
    <x v="55"/>
    <x v="1"/>
    <x v="1"/>
  </r>
  <r>
    <x v="1147"/>
    <x v="0"/>
    <x v="90"/>
    <x v="0"/>
    <x v="43"/>
    <x v="1"/>
    <x v="348"/>
    <x v="83"/>
    <x v="0"/>
    <x v="0"/>
  </r>
  <r>
    <x v="1147"/>
    <x v="1"/>
    <x v="13"/>
    <x v="0"/>
    <x v="11"/>
    <x v="1"/>
    <x v="36"/>
    <x v="12"/>
    <x v="5"/>
    <x v="5"/>
  </r>
  <r>
    <x v="1147"/>
    <x v="2"/>
    <x v="104"/>
    <x v="1"/>
    <x v="62"/>
    <x v="2"/>
    <x v="316"/>
    <x v="96"/>
    <x v="0"/>
    <x v="0"/>
  </r>
  <r>
    <x v="1147"/>
    <x v="3"/>
    <x v="49"/>
    <x v="1"/>
    <x v="33"/>
    <x v="3"/>
    <x v="454"/>
    <x v="42"/>
    <x v="5"/>
    <x v="5"/>
  </r>
  <r>
    <x v="1148"/>
    <x v="0"/>
    <x v="72"/>
    <x v="1"/>
    <x v="26"/>
    <x v="1"/>
    <x v="184"/>
    <x v="65"/>
    <x v="5"/>
    <x v="5"/>
  </r>
  <r>
    <x v="1148"/>
    <x v="1"/>
    <x v="74"/>
    <x v="0"/>
    <x v="42"/>
    <x v="2"/>
    <x v="196"/>
    <x v="67"/>
    <x v="6"/>
    <x v="6"/>
  </r>
  <r>
    <x v="1148"/>
    <x v="2"/>
    <x v="71"/>
    <x v="0"/>
    <x v="23"/>
    <x v="2"/>
    <x v="292"/>
    <x v="64"/>
    <x v="6"/>
    <x v="6"/>
  </r>
  <r>
    <x v="1148"/>
    <x v="3"/>
    <x v="25"/>
    <x v="0"/>
    <x v="18"/>
    <x v="0"/>
    <x v="329"/>
    <x v="21"/>
    <x v="5"/>
    <x v="5"/>
  </r>
  <r>
    <x v="1148"/>
    <x v="4"/>
    <x v="49"/>
    <x v="0"/>
    <x v="33"/>
    <x v="3"/>
    <x v="398"/>
    <x v="42"/>
    <x v="5"/>
    <x v="5"/>
  </r>
  <r>
    <x v="1149"/>
    <x v="0"/>
    <x v="61"/>
    <x v="0"/>
    <x v="4"/>
    <x v="2"/>
    <x v="6"/>
    <x v="54"/>
    <x v="1"/>
    <x v="1"/>
  </r>
  <r>
    <x v="1149"/>
    <x v="1"/>
    <x v="87"/>
    <x v="0"/>
    <x v="29"/>
    <x v="2"/>
    <x v="277"/>
    <x v="80"/>
    <x v="5"/>
    <x v="5"/>
  </r>
  <r>
    <x v="1149"/>
    <x v="2"/>
    <x v="77"/>
    <x v="1"/>
    <x v="51"/>
    <x v="1"/>
    <x v="213"/>
    <x v="70"/>
    <x v="3"/>
    <x v="3"/>
  </r>
  <r>
    <x v="1149"/>
    <x v="3"/>
    <x v="20"/>
    <x v="1"/>
    <x v="11"/>
    <x v="3"/>
    <x v="23"/>
    <x v="15"/>
    <x v="5"/>
    <x v="5"/>
  </r>
  <r>
    <x v="1150"/>
    <x v="0"/>
    <x v="34"/>
    <x v="1"/>
    <x v="4"/>
    <x v="2"/>
    <x v="79"/>
    <x v="30"/>
    <x v="1"/>
    <x v="1"/>
  </r>
  <r>
    <x v="1151"/>
    <x v="0"/>
    <x v="71"/>
    <x v="0"/>
    <x v="23"/>
    <x v="1"/>
    <x v="193"/>
    <x v="64"/>
    <x v="6"/>
    <x v="6"/>
  </r>
  <r>
    <x v="1151"/>
    <x v="1"/>
    <x v="87"/>
    <x v="1"/>
    <x v="29"/>
    <x v="0"/>
    <x v="209"/>
    <x v="80"/>
    <x v="5"/>
    <x v="5"/>
  </r>
  <r>
    <x v="1151"/>
    <x v="2"/>
    <x v="24"/>
    <x v="0"/>
    <x v="8"/>
    <x v="2"/>
    <x v="101"/>
    <x v="9"/>
    <x v="3"/>
    <x v="3"/>
  </r>
  <r>
    <x v="1152"/>
    <x v="0"/>
    <x v="27"/>
    <x v="0"/>
    <x v="20"/>
    <x v="3"/>
    <x v="309"/>
    <x v="23"/>
    <x v="3"/>
    <x v="3"/>
  </r>
  <r>
    <x v="1152"/>
    <x v="1"/>
    <x v="18"/>
    <x v="1"/>
    <x v="14"/>
    <x v="2"/>
    <x v="124"/>
    <x v="16"/>
    <x v="1"/>
    <x v="1"/>
  </r>
  <r>
    <x v="1153"/>
    <x v="0"/>
    <x v="7"/>
    <x v="0"/>
    <x v="6"/>
    <x v="0"/>
    <x v="81"/>
    <x v="7"/>
    <x v="0"/>
    <x v="0"/>
  </r>
  <r>
    <x v="1153"/>
    <x v="1"/>
    <x v="91"/>
    <x v="0"/>
    <x v="57"/>
    <x v="1"/>
    <x v="456"/>
    <x v="84"/>
    <x v="4"/>
    <x v="4"/>
  </r>
  <r>
    <x v="1153"/>
    <x v="2"/>
    <x v="50"/>
    <x v="1"/>
    <x v="34"/>
    <x v="0"/>
    <x v="166"/>
    <x v="43"/>
    <x v="0"/>
    <x v="0"/>
  </r>
  <r>
    <x v="1154"/>
    <x v="0"/>
    <x v="39"/>
    <x v="1"/>
    <x v="19"/>
    <x v="2"/>
    <x v="150"/>
    <x v="22"/>
    <x v="0"/>
    <x v="0"/>
  </r>
  <r>
    <x v="1154"/>
    <x v="1"/>
    <x v="18"/>
    <x v="1"/>
    <x v="14"/>
    <x v="3"/>
    <x v="110"/>
    <x v="16"/>
    <x v="1"/>
    <x v="1"/>
  </r>
  <r>
    <x v="1154"/>
    <x v="2"/>
    <x v="100"/>
    <x v="0"/>
    <x v="61"/>
    <x v="1"/>
    <x v="472"/>
    <x v="92"/>
    <x v="1"/>
    <x v="1"/>
  </r>
  <r>
    <x v="1154"/>
    <x v="3"/>
    <x v="104"/>
    <x v="1"/>
    <x v="62"/>
    <x v="2"/>
    <x v="316"/>
    <x v="96"/>
    <x v="0"/>
    <x v="0"/>
  </r>
  <r>
    <x v="1155"/>
    <x v="0"/>
    <x v="103"/>
    <x v="1"/>
    <x v="38"/>
    <x v="2"/>
    <x v="462"/>
    <x v="95"/>
    <x v="3"/>
    <x v="3"/>
  </r>
  <r>
    <x v="1155"/>
    <x v="1"/>
    <x v="106"/>
    <x v="0"/>
    <x v="39"/>
    <x v="2"/>
    <x v="453"/>
    <x v="98"/>
    <x v="5"/>
    <x v="5"/>
  </r>
  <r>
    <x v="1156"/>
    <x v="0"/>
    <x v="0"/>
    <x v="0"/>
    <x v="0"/>
    <x v="3"/>
    <x v="12"/>
    <x v="0"/>
    <x v="0"/>
    <x v="0"/>
  </r>
  <r>
    <x v="1156"/>
    <x v="1"/>
    <x v="93"/>
    <x v="1"/>
    <x v="58"/>
    <x v="3"/>
    <x v="473"/>
    <x v="85"/>
    <x v="1"/>
    <x v="1"/>
  </r>
  <r>
    <x v="1156"/>
    <x v="2"/>
    <x v="88"/>
    <x v="1"/>
    <x v="55"/>
    <x v="0"/>
    <x v="406"/>
    <x v="81"/>
    <x v="1"/>
    <x v="1"/>
  </r>
  <r>
    <x v="1156"/>
    <x v="3"/>
    <x v="67"/>
    <x v="0"/>
    <x v="46"/>
    <x v="1"/>
    <x v="298"/>
    <x v="60"/>
    <x v="1"/>
    <x v="1"/>
  </r>
  <r>
    <x v="1157"/>
    <x v="0"/>
    <x v="43"/>
    <x v="1"/>
    <x v="15"/>
    <x v="3"/>
    <x v="50"/>
    <x v="31"/>
    <x v="5"/>
    <x v="5"/>
  </r>
  <r>
    <x v="1157"/>
    <x v="1"/>
    <x v="51"/>
    <x v="0"/>
    <x v="35"/>
    <x v="1"/>
    <x v="474"/>
    <x v="44"/>
    <x v="0"/>
    <x v="0"/>
  </r>
  <r>
    <x v="1158"/>
    <x v="0"/>
    <x v="10"/>
    <x v="1"/>
    <x v="8"/>
    <x v="3"/>
    <x v="97"/>
    <x v="9"/>
    <x v="0"/>
    <x v="0"/>
  </r>
  <r>
    <x v="1159"/>
    <x v="0"/>
    <x v="67"/>
    <x v="0"/>
    <x v="46"/>
    <x v="3"/>
    <x v="475"/>
    <x v="60"/>
    <x v="1"/>
    <x v="1"/>
  </r>
  <r>
    <x v="1159"/>
    <x v="1"/>
    <x v="11"/>
    <x v="0"/>
    <x v="9"/>
    <x v="0"/>
    <x v="141"/>
    <x v="10"/>
    <x v="4"/>
    <x v="4"/>
  </r>
  <r>
    <x v="1160"/>
    <x v="0"/>
    <x v="68"/>
    <x v="1"/>
    <x v="24"/>
    <x v="3"/>
    <x v="288"/>
    <x v="61"/>
    <x v="0"/>
    <x v="0"/>
  </r>
  <r>
    <x v="1160"/>
    <x v="1"/>
    <x v="83"/>
    <x v="0"/>
    <x v="8"/>
    <x v="1"/>
    <x v="77"/>
    <x v="76"/>
    <x v="1"/>
    <x v="1"/>
  </r>
  <r>
    <x v="1160"/>
    <x v="2"/>
    <x v="13"/>
    <x v="0"/>
    <x v="11"/>
    <x v="0"/>
    <x v="51"/>
    <x v="12"/>
    <x v="5"/>
    <x v="5"/>
  </r>
  <r>
    <x v="1160"/>
    <x v="3"/>
    <x v="61"/>
    <x v="1"/>
    <x v="4"/>
    <x v="3"/>
    <x v="52"/>
    <x v="54"/>
    <x v="1"/>
    <x v="1"/>
  </r>
  <r>
    <x v="1161"/>
    <x v="0"/>
    <x v="54"/>
    <x v="0"/>
    <x v="37"/>
    <x v="0"/>
    <x v="321"/>
    <x v="47"/>
    <x v="5"/>
    <x v="5"/>
  </r>
  <r>
    <x v="1161"/>
    <x v="1"/>
    <x v="95"/>
    <x v="1"/>
    <x v="23"/>
    <x v="0"/>
    <x v="377"/>
    <x v="87"/>
    <x v="1"/>
    <x v="1"/>
  </r>
  <r>
    <x v="1161"/>
    <x v="2"/>
    <x v="106"/>
    <x v="0"/>
    <x v="39"/>
    <x v="3"/>
    <x v="174"/>
    <x v="98"/>
    <x v="5"/>
    <x v="5"/>
  </r>
  <r>
    <x v="1161"/>
    <x v="3"/>
    <x v="67"/>
    <x v="0"/>
    <x v="46"/>
    <x v="2"/>
    <x v="423"/>
    <x v="60"/>
    <x v="1"/>
    <x v="1"/>
  </r>
  <r>
    <x v="1161"/>
    <x v="4"/>
    <x v="10"/>
    <x v="1"/>
    <x v="8"/>
    <x v="2"/>
    <x v="11"/>
    <x v="9"/>
    <x v="0"/>
    <x v="0"/>
  </r>
  <r>
    <x v="1162"/>
    <x v="0"/>
    <x v="65"/>
    <x v="1"/>
    <x v="25"/>
    <x v="2"/>
    <x v="371"/>
    <x v="58"/>
    <x v="2"/>
    <x v="2"/>
  </r>
  <r>
    <x v="1162"/>
    <x v="1"/>
    <x v="29"/>
    <x v="1"/>
    <x v="5"/>
    <x v="3"/>
    <x v="8"/>
    <x v="25"/>
    <x v="6"/>
    <x v="6"/>
  </r>
  <r>
    <x v="1163"/>
    <x v="0"/>
    <x v="1"/>
    <x v="0"/>
    <x v="1"/>
    <x v="0"/>
    <x v="34"/>
    <x v="1"/>
    <x v="1"/>
    <x v="1"/>
  </r>
  <r>
    <x v="1163"/>
    <x v="1"/>
    <x v="46"/>
    <x v="0"/>
    <x v="31"/>
    <x v="2"/>
    <x v="159"/>
    <x v="40"/>
    <x v="0"/>
    <x v="0"/>
  </r>
  <r>
    <x v="1163"/>
    <x v="2"/>
    <x v="27"/>
    <x v="1"/>
    <x v="20"/>
    <x v="2"/>
    <x v="346"/>
    <x v="23"/>
    <x v="3"/>
    <x v="3"/>
  </r>
  <r>
    <x v="1163"/>
    <x v="3"/>
    <x v="99"/>
    <x v="1"/>
    <x v="60"/>
    <x v="2"/>
    <x v="476"/>
    <x v="91"/>
    <x v="1"/>
    <x v="1"/>
  </r>
  <r>
    <x v="1164"/>
    <x v="0"/>
    <x v="105"/>
    <x v="1"/>
    <x v="63"/>
    <x v="1"/>
    <x v="306"/>
    <x v="97"/>
    <x v="0"/>
    <x v="0"/>
  </r>
  <r>
    <x v="1164"/>
    <x v="1"/>
    <x v="39"/>
    <x v="0"/>
    <x v="19"/>
    <x v="1"/>
    <x v="274"/>
    <x v="22"/>
    <x v="0"/>
    <x v="0"/>
  </r>
  <r>
    <x v="1165"/>
    <x v="0"/>
    <x v="27"/>
    <x v="1"/>
    <x v="20"/>
    <x v="1"/>
    <x v="373"/>
    <x v="23"/>
    <x v="3"/>
    <x v="3"/>
  </r>
  <r>
    <x v="1166"/>
    <x v="0"/>
    <x v="61"/>
    <x v="1"/>
    <x v="4"/>
    <x v="2"/>
    <x v="79"/>
    <x v="54"/>
    <x v="1"/>
    <x v="1"/>
  </r>
  <r>
    <x v="1166"/>
    <x v="1"/>
    <x v="89"/>
    <x v="1"/>
    <x v="56"/>
    <x v="3"/>
    <x v="444"/>
    <x v="82"/>
    <x v="0"/>
    <x v="0"/>
  </r>
  <r>
    <x v="1166"/>
    <x v="2"/>
    <x v="39"/>
    <x v="0"/>
    <x v="19"/>
    <x v="1"/>
    <x v="274"/>
    <x v="22"/>
    <x v="0"/>
    <x v="0"/>
  </r>
  <r>
    <x v="1167"/>
    <x v="0"/>
    <x v="19"/>
    <x v="1"/>
    <x v="15"/>
    <x v="3"/>
    <x v="50"/>
    <x v="17"/>
    <x v="5"/>
    <x v="5"/>
  </r>
  <r>
    <x v="1167"/>
    <x v="1"/>
    <x v="90"/>
    <x v="0"/>
    <x v="43"/>
    <x v="0"/>
    <x v="212"/>
    <x v="83"/>
    <x v="0"/>
    <x v="0"/>
  </r>
  <r>
    <x v="1167"/>
    <x v="2"/>
    <x v="80"/>
    <x v="0"/>
    <x v="53"/>
    <x v="1"/>
    <x v="477"/>
    <x v="73"/>
    <x v="6"/>
    <x v="6"/>
  </r>
  <r>
    <x v="1167"/>
    <x v="3"/>
    <x v="92"/>
    <x v="1"/>
    <x v="24"/>
    <x v="0"/>
    <x v="151"/>
    <x v="72"/>
    <x v="3"/>
    <x v="3"/>
  </r>
  <r>
    <x v="1167"/>
    <x v="4"/>
    <x v="12"/>
    <x v="1"/>
    <x v="10"/>
    <x v="2"/>
    <x v="94"/>
    <x v="11"/>
    <x v="0"/>
    <x v="0"/>
  </r>
  <r>
    <x v="1168"/>
    <x v="0"/>
    <x v="87"/>
    <x v="1"/>
    <x v="29"/>
    <x v="0"/>
    <x v="209"/>
    <x v="80"/>
    <x v="5"/>
    <x v="5"/>
  </r>
  <r>
    <x v="1168"/>
    <x v="1"/>
    <x v="80"/>
    <x v="0"/>
    <x v="53"/>
    <x v="2"/>
    <x v="365"/>
    <x v="73"/>
    <x v="6"/>
    <x v="6"/>
  </r>
  <r>
    <x v="1168"/>
    <x v="2"/>
    <x v="71"/>
    <x v="1"/>
    <x v="23"/>
    <x v="3"/>
    <x v="149"/>
    <x v="64"/>
    <x v="6"/>
    <x v="6"/>
  </r>
  <r>
    <x v="1168"/>
    <x v="3"/>
    <x v="89"/>
    <x v="1"/>
    <x v="56"/>
    <x v="0"/>
    <x v="436"/>
    <x v="82"/>
    <x v="0"/>
    <x v="0"/>
  </r>
  <r>
    <x v="1169"/>
    <x v="0"/>
    <x v="12"/>
    <x v="0"/>
    <x v="10"/>
    <x v="3"/>
    <x v="80"/>
    <x v="11"/>
    <x v="0"/>
    <x v="0"/>
  </r>
  <r>
    <x v="1169"/>
    <x v="1"/>
    <x v="42"/>
    <x v="1"/>
    <x v="28"/>
    <x v="2"/>
    <x v="181"/>
    <x v="37"/>
    <x v="1"/>
    <x v="1"/>
  </r>
  <r>
    <x v="1169"/>
    <x v="2"/>
    <x v="37"/>
    <x v="1"/>
    <x v="25"/>
    <x v="3"/>
    <x v="279"/>
    <x v="33"/>
    <x v="2"/>
    <x v="2"/>
  </r>
  <r>
    <x v="1170"/>
    <x v="0"/>
    <x v="49"/>
    <x v="1"/>
    <x v="33"/>
    <x v="0"/>
    <x v="291"/>
    <x v="42"/>
    <x v="5"/>
    <x v="5"/>
  </r>
  <r>
    <x v="1170"/>
    <x v="1"/>
    <x v="102"/>
    <x v="1"/>
    <x v="30"/>
    <x v="1"/>
    <x v="268"/>
    <x v="94"/>
    <x v="5"/>
    <x v="5"/>
  </r>
  <r>
    <x v="1170"/>
    <x v="2"/>
    <x v="2"/>
    <x v="1"/>
    <x v="2"/>
    <x v="1"/>
    <x v="46"/>
    <x v="2"/>
    <x v="2"/>
    <x v="2"/>
  </r>
  <r>
    <x v="1171"/>
    <x v="0"/>
    <x v="46"/>
    <x v="1"/>
    <x v="31"/>
    <x v="1"/>
    <x v="478"/>
    <x v="40"/>
    <x v="0"/>
    <x v="0"/>
  </r>
  <r>
    <x v="1171"/>
    <x v="1"/>
    <x v="77"/>
    <x v="0"/>
    <x v="51"/>
    <x v="0"/>
    <x v="230"/>
    <x v="70"/>
    <x v="3"/>
    <x v="3"/>
  </r>
  <r>
    <x v="1172"/>
    <x v="0"/>
    <x v="43"/>
    <x v="0"/>
    <x v="15"/>
    <x v="0"/>
    <x v="122"/>
    <x v="31"/>
    <x v="5"/>
    <x v="5"/>
  </r>
  <r>
    <x v="1172"/>
    <x v="1"/>
    <x v="7"/>
    <x v="0"/>
    <x v="6"/>
    <x v="1"/>
    <x v="9"/>
    <x v="7"/>
    <x v="0"/>
    <x v="0"/>
  </r>
  <r>
    <x v="1172"/>
    <x v="2"/>
    <x v="39"/>
    <x v="0"/>
    <x v="19"/>
    <x v="2"/>
    <x v="399"/>
    <x v="22"/>
    <x v="0"/>
    <x v="0"/>
  </r>
  <r>
    <x v="1172"/>
    <x v="3"/>
    <x v="27"/>
    <x v="1"/>
    <x v="20"/>
    <x v="0"/>
    <x v="238"/>
    <x v="23"/>
    <x v="3"/>
    <x v="3"/>
  </r>
  <r>
    <x v="1173"/>
    <x v="0"/>
    <x v="55"/>
    <x v="1"/>
    <x v="38"/>
    <x v="0"/>
    <x v="430"/>
    <x v="48"/>
    <x v="3"/>
    <x v="3"/>
  </r>
  <r>
    <x v="1173"/>
    <x v="1"/>
    <x v="18"/>
    <x v="0"/>
    <x v="14"/>
    <x v="1"/>
    <x v="29"/>
    <x v="16"/>
    <x v="1"/>
    <x v="1"/>
  </r>
  <r>
    <x v="1173"/>
    <x v="2"/>
    <x v="26"/>
    <x v="0"/>
    <x v="19"/>
    <x v="3"/>
    <x v="201"/>
    <x v="22"/>
    <x v="3"/>
    <x v="3"/>
  </r>
  <r>
    <x v="1174"/>
    <x v="0"/>
    <x v="71"/>
    <x v="1"/>
    <x v="23"/>
    <x v="1"/>
    <x v="179"/>
    <x v="64"/>
    <x v="6"/>
    <x v="6"/>
  </r>
  <r>
    <x v="1174"/>
    <x v="1"/>
    <x v="105"/>
    <x v="0"/>
    <x v="63"/>
    <x v="0"/>
    <x v="349"/>
    <x v="97"/>
    <x v="0"/>
    <x v="0"/>
  </r>
  <r>
    <x v="1174"/>
    <x v="2"/>
    <x v="0"/>
    <x v="0"/>
    <x v="0"/>
    <x v="2"/>
    <x v="7"/>
    <x v="0"/>
    <x v="0"/>
    <x v="0"/>
  </r>
  <r>
    <x v="1174"/>
    <x v="3"/>
    <x v="5"/>
    <x v="0"/>
    <x v="4"/>
    <x v="2"/>
    <x v="6"/>
    <x v="5"/>
    <x v="1"/>
    <x v="1"/>
  </r>
  <r>
    <x v="1174"/>
    <x v="4"/>
    <x v="11"/>
    <x v="0"/>
    <x v="9"/>
    <x v="2"/>
    <x v="121"/>
    <x v="10"/>
    <x v="4"/>
    <x v="4"/>
  </r>
  <r>
    <x v="1175"/>
    <x v="0"/>
    <x v="108"/>
    <x v="0"/>
    <x v="37"/>
    <x v="3"/>
    <x v="378"/>
    <x v="100"/>
    <x v="5"/>
    <x v="5"/>
  </r>
  <r>
    <x v="1176"/>
    <x v="0"/>
    <x v="37"/>
    <x v="1"/>
    <x v="25"/>
    <x v="1"/>
    <x v="182"/>
    <x v="33"/>
    <x v="2"/>
    <x v="2"/>
  </r>
  <r>
    <x v="1176"/>
    <x v="1"/>
    <x v="51"/>
    <x v="0"/>
    <x v="35"/>
    <x v="3"/>
    <x v="337"/>
    <x v="44"/>
    <x v="0"/>
    <x v="0"/>
  </r>
  <r>
    <x v="1177"/>
    <x v="0"/>
    <x v="109"/>
    <x v="0"/>
    <x v="64"/>
    <x v="1"/>
    <x v="383"/>
    <x v="101"/>
    <x v="1"/>
    <x v="1"/>
  </r>
  <r>
    <x v="1177"/>
    <x v="1"/>
    <x v="104"/>
    <x v="0"/>
    <x v="62"/>
    <x v="0"/>
    <x v="403"/>
    <x v="96"/>
    <x v="0"/>
    <x v="0"/>
  </r>
  <r>
    <x v="1177"/>
    <x v="2"/>
    <x v="75"/>
    <x v="0"/>
    <x v="19"/>
    <x v="2"/>
    <x v="399"/>
    <x v="68"/>
    <x v="3"/>
    <x v="3"/>
  </r>
  <r>
    <x v="1177"/>
    <x v="3"/>
    <x v="17"/>
    <x v="1"/>
    <x v="11"/>
    <x v="2"/>
    <x v="64"/>
    <x v="15"/>
    <x v="0"/>
    <x v="0"/>
  </r>
  <r>
    <x v="1178"/>
    <x v="0"/>
    <x v="101"/>
    <x v="1"/>
    <x v="30"/>
    <x v="2"/>
    <x v="211"/>
    <x v="93"/>
    <x v="5"/>
    <x v="5"/>
  </r>
  <r>
    <x v="1178"/>
    <x v="1"/>
    <x v="54"/>
    <x v="1"/>
    <x v="37"/>
    <x v="2"/>
    <x v="479"/>
    <x v="47"/>
    <x v="5"/>
    <x v="5"/>
  </r>
  <r>
    <x v="1178"/>
    <x v="2"/>
    <x v="57"/>
    <x v="1"/>
    <x v="14"/>
    <x v="0"/>
    <x v="117"/>
    <x v="50"/>
    <x v="1"/>
    <x v="1"/>
  </r>
  <r>
    <x v="1178"/>
    <x v="3"/>
    <x v="69"/>
    <x v="0"/>
    <x v="47"/>
    <x v="1"/>
    <x v="221"/>
    <x v="62"/>
    <x v="6"/>
    <x v="6"/>
  </r>
  <r>
    <x v="1179"/>
    <x v="0"/>
    <x v="82"/>
    <x v="1"/>
    <x v="34"/>
    <x v="1"/>
    <x v="381"/>
    <x v="75"/>
    <x v="0"/>
    <x v="0"/>
  </r>
  <r>
    <x v="1180"/>
    <x v="0"/>
    <x v="72"/>
    <x v="0"/>
    <x v="26"/>
    <x v="3"/>
    <x v="164"/>
    <x v="65"/>
    <x v="5"/>
    <x v="5"/>
  </r>
  <r>
    <x v="1181"/>
    <x v="0"/>
    <x v="100"/>
    <x v="0"/>
    <x v="61"/>
    <x v="3"/>
    <x v="326"/>
    <x v="92"/>
    <x v="1"/>
    <x v="1"/>
  </r>
  <r>
    <x v="1181"/>
    <x v="1"/>
    <x v="60"/>
    <x v="1"/>
    <x v="25"/>
    <x v="3"/>
    <x v="279"/>
    <x v="53"/>
    <x v="6"/>
    <x v="6"/>
  </r>
  <r>
    <x v="1182"/>
    <x v="0"/>
    <x v="65"/>
    <x v="0"/>
    <x v="25"/>
    <x v="0"/>
    <x v="152"/>
    <x v="58"/>
    <x v="2"/>
    <x v="2"/>
  </r>
  <r>
    <x v="1182"/>
    <x v="1"/>
    <x v="53"/>
    <x v="1"/>
    <x v="36"/>
    <x v="0"/>
    <x v="480"/>
    <x v="46"/>
    <x v="0"/>
    <x v="0"/>
  </r>
  <r>
    <x v="1182"/>
    <x v="2"/>
    <x v="18"/>
    <x v="1"/>
    <x v="14"/>
    <x v="2"/>
    <x v="124"/>
    <x v="16"/>
    <x v="1"/>
    <x v="1"/>
  </r>
  <r>
    <x v="1183"/>
    <x v="0"/>
    <x v="3"/>
    <x v="1"/>
    <x v="0"/>
    <x v="2"/>
    <x v="3"/>
    <x v="3"/>
    <x v="0"/>
    <x v="0"/>
  </r>
  <r>
    <x v="1183"/>
    <x v="1"/>
    <x v="68"/>
    <x v="0"/>
    <x v="24"/>
    <x v="2"/>
    <x v="205"/>
    <x v="61"/>
    <x v="0"/>
    <x v="0"/>
  </r>
  <r>
    <x v="1184"/>
    <x v="0"/>
    <x v="23"/>
    <x v="1"/>
    <x v="7"/>
    <x v="1"/>
    <x v="53"/>
    <x v="20"/>
    <x v="0"/>
    <x v="0"/>
  </r>
  <r>
    <x v="1184"/>
    <x v="1"/>
    <x v="20"/>
    <x v="0"/>
    <x v="11"/>
    <x v="1"/>
    <x v="36"/>
    <x v="15"/>
    <x v="5"/>
    <x v="5"/>
  </r>
  <r>
    <x v="1184"/>
    <x v="2"/>
    <x v="65"/>
    <x v="1"/>
    <x v="25"/>
    <x v="3"/>
    <x v="279"/>
    <x v="58"/>
    <x v="2"/>
    <x v="2"/>
  </r>
  <r>
    <x v="1184"/>
    <x v="3"/>
    <x v="53"/>
    <x v="0"/>
    <x v="36"/>
    <x v="0"/>
    <x v="169"/>
    <x v="46"/>
    <x v="0"/>
    <x v="0"/>
  </r>
  <r>
    <x v="1185"/>
    <x v="0"/>
    <x v="74"/>
    <x v="1"/>
    <x v="42"/>
    <x v="3"/>
    <x v="428"/>
    <x v="67"/>
    <x v="6"/>
    <x v="6"/>
  </r>
  <r>
    <x v="1185"/>
    <x v="1"/>
    <x v="60"/>
    <x v="0"/>
    <x v="25"/>
    <x v="1"/>
    <x v="222"/>
    <x v="53"/>
    <x v="6"/>
    <x v="6"/>
  </r>
  <r>
    <x v="1185"/>
    <x v="2"/>
    <x v="26"/>
    <x v="0"/>
    <x v="19"/>
    <x v="3"/>
    <x v="201"/>
    <x v="22"/>
    <x v="3"/>
    <x v="3"/>
  </r>
  <r>
    <x v="1185"/>
    <x v="3"/>
    <x v="97"/>
    <x v="0"/>
    <x v="4"/>
    <x v="0"/>
    <x v="90"/>
    <x v="89"/>
    <x v="1"/>
    <x v="1"/>
  </r>
  <r>
    <x v="1186"/>
    <x v="0"/>
    <x v="107"/>
    <x v="1"/>
    <x v="61"/>
    <x v="3"/>
    <x v="302"/>
    <x v="99"/>
    <x v="1"/>
    <x v="1"/>
  </r>
  <r>
    <x v="1186"/>
    <x v="1"/>
    <x v="47"/>
    <x v="0"/>
    <x v="32"/>
    <x v="1"/>
    <x v="457"/>
    <x v="41"/>
    <x v="0"/>
    <x v="0"/>
  </r>
  <r>
    <x v="1186"/>
    <x v="2"/>
    <x v="4"/>
    <x v="0"/>
    <x v="3"/>
    <x v="3"/>
    <x v="66"/>
    <x v="4"/>
    <x v="1"/>
    <x v="1"/>
  </r>
  <r>
    <x v="1186"/>
    <x v="3"/>
    <x v="29"/>
    <x v="1"/>
    <x v="5"/>
    <x v="3"/>
    <x v="8"/>
    <x v="25"/>
    <x v="6"/>
    <x v="6"/>
  </r>
  <r>
    <x v="1187"/>
    <x v="0"/>
    <x v="82"/>
    <x v="1"/>
    <x v="34"/>
    <x v="3"/>
    <x v="333"/>
    <x v="75"/>
    <x v="0"/>
    <x v="0"/>
  </r>
  <r>
    <x v="1187"/>
    <x v="1"/>
    <x v="87"/>
    <x v="1"/>
    <x v="29"/>
    <x v="0"/>
    <x v="209"/>
    <x v="80"/>
    <x v="5"/>
    <x v="5"/>
  </r>
  <r>
    <x v="1187"/>
    <x v="2"/>
    <x v="108"/>
    <x v="1"/>
    <x v="37"/>
    <x v="3"/>
    <x v="351"/>
    <x v="100"/>
    <x v="5"/>
    <x v="5"/>
  </r>
  <r>
    <x v="1188"/>
    <x v="0"/>
    <x v="66"/>
    <x v="0"/>
    <x v="45"/>
    <x v="1"/>
    <x v="310"/>
    <x v="59"/>
    <x v="6"/>
    <x v="6"/>
  </r>
  <r>
    <x v="1188"/>
    <x v="1"/>
    <x v="48"/>
    <x v="1"/>
    <x v="26"/>
    <x v="3"/>
    <x v="270"/>
    <x v="34"/>
    <x v="3"/>
    <x v="3"/>
  </r>
  <r>
    <x v="1188"/>
    <x v="2"/>
    <x v="95"/>
    <x v="1"/>
    <x v="23"/>
    <x v="3"/>
    <x v="149"/>
    <x v="87"/>
    <x v="1"/>
    <x v="1"/>
  </r>
  <r>
    <x v="1189"/>
    <x v="0"/>
    <x v="68"/>
    <x v="0"/>
    <x v="24"/>
    <x v="1"/>
    <x v="187"/>
    <x v="61"/>
    <x v="0"/>
    <x v="0"/>
  </r>
  <r>
    <x v="1190"/>
    <x v="0"/>
    <x v="95"/>
    <x v="1"/>
    <x v="23"/>
    <x v="3"/>
    <x v="149"/>
    <x v="87"/>
    <x v="1"/>
    <x v="1"/>
  </r>
  <r>
    <x v="1190"/>
    <x v="1"/>
    <x v="84"/>
    <x v="1"/>
    <x v="30"/>
    <x v="3"/>
    <x v="343"/>
    <x v="77"/>
    <x v="5"/>
    <x v="5"/>
  </r>
  <r>
    <x v="1190"/>
    <x v="2"/>
    <x v="96"/>
    <x v="0"/>
    <x v="26"/>
    <x v="1"/>
    <x v="255"/>
    <x v="88"/>
    <x v="5"/>
    <x v="5"/>
  </r>
  <r>
    <x v="1191"/>
    <x v="0"/>
    <x v="24"/>
    <x v="1"/>
    <x v="8"/>
    <x v="3"/>
    <x v="97"/>
    <x v="9"/>
    <x v="3"/>
    <x v="3"/>
  </r>
  <r>
    <x v="1191"/>
    <x v="1"/>
    <x v="54"/>
    <x v="1"/>
    <x v="37"/>
    <x v="1"/>
    <x v="170"/>
    <x v="47"/>
    <x v="5"/>
    <x v="5"/>
  </r>
  <r>
    <x v="1191"/>
    <x v="2"/>
    <x v="88"/>
    <x v="1"/>
    <x v="55"/>
    <x v="0"/>
    <x v="406"/>
    <x v="81"/>
    <x v="1"/>
    <x v="1"/>
  </r>
  <r>
    <x v="1192"/>
    <x v="0"/>
    <x v="56"/>
    <x v="1"/>
    <x v="39"/>
    <x v="2"/>
    <x v="219"/>
    <x v="49"/>
    <x v="5"/>
    <x v="5"/>
  </r>
  <r>
    <x v="1192"/>
    <x v="1"/>
    <x v="97"/>
    <x v="0"/>
    <x v="4"/>
    <x v="2"/>
    <x v="6"/>
    <x v="89"/>
    <x v="1"/>
    <x v="1"/>
  </r>
  <r>
    <x v="1193"/>
    <x v="0"/>
    <x v="68"/>
    <x v="0"/>
    <x v="24"/>
    <x v="2"/>
    <x v="205"/>
    <x v="61"/>
    <x v="0"/>
    <x v="0"/>
  </r>
  <r>
    <x v="1193"/>
    <x v="1"/>
    <x v="14"/>
    <x v="1"/>
    <x v="12"/>
    <x v="1"/>
    <x v="102"/>
    <x v="13"/>
    <x v="1"/>
    <x v="1"/>
  </r>
  <r>
    <x v="1193"/>
    <x v="2"/>
    <x v="86"/>
    <x v="1"/>
    <x v="54"/>
    <x v="3"/>
    <x v="360"/>
    <x v="79"/>
    <x v="3"/>
    <x v="3"/>
  </r>
  <r>
    <x v="1193"/>
    <x v="3"/>
    <x v="73"/>
    <x v="0"/>
    <x v="49"/>
    <x v="2"/>
    <x v="248"/>
    <x v="66"/>
    <x v="5"/>
    <x v="5"/>
  </r>
  <r>
    <x v="1194"/>
    <x v="0"/>
    <x v="58"/>
    <x v="0"/>
    <x v="40"/>
    <x v="1"/>
    <x v="435"/>
    <x v="51"/>
    <x v="6"/>
    <x v="6"/>
  </r>
  <r>
    <x v="1195"/>
    <x v="0"/>
    <x v="29"/>
    <x v="0"/>
    <x v="5"/>
    <x v="1"/>
    <x v="116"/>
    <x v="25"/>
    <x v="6"/>
    <x v="6"/>
  </r>
  <r>
    <x v="1196"/>
    <x v="0"/>
    <x v="17"/>
    <x v="0"/>
    <x v="11"/>
    <x v="1"/>
    <x v="36"/>
    <x v="15"/>
    <x v="0"/>
    <x v="0"/>
  </r>
  <r>
    <x v="1196"/>
    <x v="1"/>
    <x v="75"/>
    <x v="1"/>
    <x v="19"/>
    <x v="2"/>
    <x v="150"/>
    <x v="68"/>
    <x v="3"/>
    <x v="3"/>
  </r>
  <r>
    <x v="1196"/>
    <x v="2"/>
    <x v="11"/>
    <x v="1"/>
    <x v="9"/>
    <x v="2"/>
    <x v="126"/>
    <x v="10"/>
    <x v="4"/>
    <x v="4"/>
  </r>
  <r>
    <x v="1196"/>
    <x v="3"/>
    <x v="26"/>
    <x v="1"/>
    <x v="19"/>
    <x v="0"/>
    <x v="364"/>
    <x v="22"/>
    <x v="3"/>
    <x v="3"/>
  </r>
  <r>
    <x v="1197"/>
    <x v="0"/>
    <x v="86"/>
    <x v="0"/>
    <x v="54"/>
    <x v="2"/>
    <x v="391"/>
    <x v="79"/>
    <x v="3"/>
    <x v="3"/>
  </r>
  <r>
    <x v="1198"/>
    <x v="0"/>
    <x v="33"/>
    <x v="0"/>
    <x v="14"/>
    <x v="2"/>
    <x v="62"/>
    <x v="29"/>
    <x v="1"/>
    <x v="1"/>
  </r>
  <r>
    <x v="1198"/>
    <x v="1"/>
    <x v="49"/>
    <x v="1"/>
    <x v="33"/>
    <x v="1"/>
    <x v="481"/>
    <x v="42"/>
    <x v="5"/>
    <x v="5"/>
  </r>
  <r>
    <x v="1198"/>
    <x v="2"/>
    <x v="36"/>
    <x v="1"/>
    <x v="24"/>
    <x v="3"/>
    <x v="288"/>
    <x v="32"/>
    <x v="3"/>
    <x v="3"/>
  </r>
  <r>
    <x v="1199"/>
    <x v="0"/>
    <x v="41"/>
    <x v="1"/>
    <x v="27"/>
    <x v="0"/>
    <x v="194"/>
    <x v="36"/>
    <x v="1"/>
    <x v="1"/>
  </r>
  <r>
    <x v="1200"/>
    <x v="0"/>
    <x v="43"/>
    <x v="0"/>
    <x v="15"/>
    <x v="1"/>
    <x v="75"/>
    <x v="31"/>
    <x v="5"/>
    <x v="5"/>
  </r>
  <r>
    <x v="1200"/>
    <x v="1"/>
    <x v="17"/>
    <x v="0"/>
    <x v="11"/>
    <x v="2"/>
    <x v="18"/>
    <x v="15"/>
    <x v="0"/>
    <x v="0"/>
  </r>
  <r>
    <x v="1200"/>
    <x v="2"/>
    <x v="8"/>
    <x v="0"/>
    <x v="0"/>
    <x v="0"/>
    <x v="0"/>
    <x v="3"/>
    <x v="3"/>
    <x v="3"/>
  </r>
  <r>
    <x v="1200"/>
    <x v="3"/>
    <x v="7"/>
    <x v="1"/>
    <x v="6"/>
    <x v="2"/>
    <x v="27"/>
    <x v="7"/>
    <x v="0"/>
    <x v="0"/>
  </r>
  <r>
    <x v="1200"/>
    <x v="4"/>
    <x v="23"/>
    <x v="1"/>
    <x v="7"/>
    <x v="0"/>
    <x v="83"/>
    <x v="20"/>
    <x v="0"/>
    <x v="0"/>
  </r>
  <r>
    <x v="1201"/>
    <x v="0"/>
    <x v="73"/>
    <x v="1"/>
    <x v="49"/>
    <x v="2"/>
    <x v="452"/>
    <x v="66"/>
    <x v="5"/>
    <x v="5"/>
  </r>
  <r>
    <x v="1202"/>
    <x v="0"/>
    <x v="18"/>
    <x v="1"/>
    <x v="14"/>
    <x v="1"/>
    <x v="138"/>
    <x v="16"/>
    <x v="1"/>
    <x v="1"/>
  </r>
  <r>
    <x v="1202"/>
    <x v="1"/>
    <x v="66"/>
    <x v="0"/>
    <x v="45"/>
    <x v="2"/>
    <x v="433"/>
    <x v="59"/>
    <x v="6"/>
    <x v="6"/>
  </r>
  <r>
    <x v="1203"/>
    <x v="0"/>
    <x v="88"/>
    <x v="1"/>
    <x v="55"/>
    <x v="1"/>
    <x v="218"/>
    <x v="81"/>
    <x v="1"/>
    <x v="1"/>
  </r>
  <r>
    <x v="1204"/>
    <x v="0"/>
    <x v="86"/>
    <x v="1"/>
    <x v="54"/>
    <x v="0"/>
    <x v="350"/>
    <x v="79"/>
    <x v="3"/>
    <x v="3"/>
  </r>
  <r>
    <x v="1204"/>
    <x v="1"/>
    <x v="109"/>
    <x v="1"/>
    <x v="64"/>
    <x v="0"/>
    <x v="387"/>
    <x v="101"/>
    <x v="1"/>
    <x v="1"/>
  </r>
  <r>
    <x v="1204"/>
    <x v="2"/>
    <x v="68"/>
    <x v="0"/>
    <x v="24"/>
    <x v="2"/>
    <x v="205"/>
    <x v="61"/>
    <x v="0"/>
    <x v="0"/>
  </r>
  <r>
    <x v="1204"/>
    <x v="3"/>
    <x v="47"/>
    <x v="1"/>
    <x v="32"/>
    <x v="1"/>
    <x v="370"/>
    <x v="41"/>
    <x v="0"/>
    <x v="0"/>
  </r>
  <r>
    <x v="1204"/>
    <x v="4"/>
    <x v="102"/>
    <x v="0"/>
    <x v="30"/>
    <x v="3"/>
    <x v="276"/>
    <x v="94"/>
    <x v="5"/>
    <x v="5"/>
  </r>
  <r>
    <x v="1205"/>
    <x v="0"/>
    <x v="30"/>
    <x v="0"/>
    <x v="5"/>
    <x v="1"/>
    <x v="116"/>
    <x v="26"/>
    <x v="0"/>
    <x v="0"/>
  </r>
  <r>
    <x v="1205"/>
    <x v="1"/>
    <x v="61"/>
    <x v="0"/>
    <x v="4"/>
    <x v="0"/>
    <x v="90"/>
    <x v="54"/>
    <x v="1"/>
    <x v="1"/>
  </r>
  <r>
    <x v="1206"/>
    <x v="0"/>
    <x v="77"/>
    <x v="0"/>
    <x v="51"/>
    <x v="2"/>
    <x v="482"/>
    <x v="70"/>
    <x v="3"/>
    <x v="3"/>
  </r>
  <r>
    <x v="1206"/>
    <x v="1"/>
    <x v="27"/>
    <x v="0"/>
    <x v="20"/>
    <x v="3"/>
    <x v="309"/>
    <x v="23"/>
    <x v="3"/>
    <x v="3"/>
  </r>
  <r>
    <x v="1206"/>
    <x v="2"/>
    <x v="19"/>
    <x v="0"/>
    <x v="15"/>
    <x v="1"/>
    <x v="75"/>
    <x v="17"/>
    <x v="5"/>
    <x v="5"/>
  </r>
  <r>
    <x v="1207"/>
    <x v="0"/>
    <x v="10"/>
    <x v="0"/>
    <x v="8"/>
    <x v="0"/>
    <x v="57"/>
    <x v="9"/>
    <x v="0"/>
    <x v="0"/>
  </r>
  <r>
    <x v="1207"/>
    <x v="1"/>
    <x v="105"/>
    <x v="1"/>
    <x v="63"/>
    <x v="1"/>
    <x v="306"/>
    <x v="97"/>
    <x v="0"/>
    <x v="0"/>
  </r>
  <r>
    <x v="1207"/>
    <x v="2"/>
    <x v="106"/>
    <x v="1"/>
    <x v="39"/>
    <x v="0"/>
    <x v="355"/>
    <x v="98"/>
    <x v="5"/>
    <x v="5"/>
  </r>
  <r>
    <x v="1207"/>
    <x v="3"/>
    <x v="17"/>
    <x v="1"/>
    <x v="11"/>
    <x v="3"/>
    <x v="23"/>
    <x v="15"/>
    <x v="0"/>
    <x v="0"/>
  </r>
  <r>
    <x v="1207"/>
    <x v="4"/>
    <x v="108"/>
    <x v="0"/>
    <x v="37"/>
    <x v="1"/>
    <x v="461"/>
    <x v="100"/>
    <x v="5"/>
    <x v="5"/>
  </r>
  <r>
    <x v="1208"/>
    <x v="0"/>
    <x v="84"/>
    <x v="0"/>
    <x v="30"/>
    <x v="1"/>
    <x v="158"/>
    <x v="77"/>
    <x v="5"/>
    <x v="5"/>
  </r>
  <r>
    <x v="1208"/>
    <x v="1"/>
    <x v="44"/>
    <x v="0"/>
    <x v="29"/>
    <x v="2"/>
    <x v="277"/>
    <x v="38"/>
    <x v="5"/>
    <x v="5"/>
  </r>
  <r>
    <x v="1209"/>
    <x v="0"/>
    <x v="8"/>
    <x v="0"/>
    <x v="0"/>
    <x v="3"/>
    <x v="12"/>
    <x v="3"/>
    <x v="3"/>
    <x v="3"/>
  </r>
  <r>
    <x v="1209"/>
    <x v="1"/>
    <x v="18"/>
    <x v="1"/>
    <x v="14"/>
    <x v="1"/>
    <x v="138"/>
    <x v="16"/>
    <x v="1"/>
    <x v="1"/>
  </r>
  <r>
    <x v="1209"/>
    <x v="2"/>
    <x v="46"/>
    <x v="1"/>
    <x v="31"/>
    <x v="2"/>
    <x v="437"/>
    <x v="40"/>
    <x v="0"/>
    <x v="0"/>
  </r>
  <r>
    <x v="1209"/>
    <x v="3"/>
    <x v="73"/>
    <x v="0"/>
    <x v="49"/>
    <x v="3"/>
    <x v="198"/>
    <x v="66"/>
    <x v="5"/>
    <x v="5"/>
  </r>
  <r>
    <x v="1209"/>
    <x v="4"/>
    <x v="100"/>
    <x v="1"/>
    <x v="61"/>
    <x v="2"/>
    <x v="323"/>
    <x v="92"/>
    <x v="1"/>
    <x v="1"/>
  </r>
  <r>
    <x v="1210"/>
    <x v="0"/>
    <x v="12"/>
    <x v="1"/>
    <x v="10"/>
    <x v="0"/>
    <x v="48"/>
    <x v="11"/>
    <x v="0"/>
    <x v="0"/>
  </r>
  <r>
    <x v="1210"/>
    <x v="1"/>
    <x v="64"/>
    <x v="0"/>
    <x v="44"/>
    <x v="2"/>
    <x v="227"/>
    <x v="57"/>
    <x v="6"/>
    <x v="6"/>
  </r>
  <r>
    <x v="1210"/>
    <x v="2"/>
    <x v="102"/>
    <x v="0"/>
    <x v="30"/>
    <x v="0"/>
    <x v="269"/>
    <x v="94"/>
    <x v="5"/>
    <x v="5"/>
  </r>
  <r>
    <x v="1210"/>
    <x v="3"/>
    <x v="101"/>
    <x v="0"/>
    <x v="30"/>
    <x v="3"/>
    <x v="276"/>
    <x v="93"/>
    <x v="5"/>
    <x v="5"/>
  </r>
  <r>
    <x v="1210"/>
    <x v="4"/>
    <x v="75"/>
    <x v="1"/>
    <x v="19"/>
    <x v="0"/>
    <x v="364"/>
    <x v="68"/>
    <x v="3"/>
    <x v="3"/>
  </r>
  <r>
    <x v="1211"/>
    <x v="0"/>
    <x v="51"/>
    <x v="0"/>
    <x v="35"/>
    <x v="3"/>
    <x v="337"/>
    <x v="44"/>
    <x v="0"/>
    <x v="0"/>
  </r>
  <r>
    <x v="1211"/>
    <x v="1"/>
    <x v="88"/>
    <x v="1"/>
    <x v="55"/>
    <x v="1"/>
    <x v="218"/>
    <x v="81"/>
    <x v="1"/>
    <x v="1"/>
  </r>
  <r>
    <x v="1211"/>
    <x v="2"/>
    <x v="62"/>
    <x v="1"/>
    <x v="42"/>
    <x v="2"/>
    <x v="199"/>
    <x v="55"/>
    <x v="1"/>
    <x v="1"/>
  </r>
  <r>
    <x v="1211"/>
    <x v="3"/>
    <x v="39"/>
    <x v="1"/>
    <x v="19"/>
    <x v="1"/>
    <x v="154"/>
    <x v="22"/>
    <x v="0"/>
    <x v="0"/>
  </r>
  <r>
    <x v="1212"/>
    <x v="0"/>
    <x v="38"/>
    <x v="1"/>
    <x v="26"/>
    <x v="1"/>
    <x v="184"/>
    <x v="34"/>
    <x v="0"/>
    <x v="0"/>
  </r>
  <r>
    <x v="1212"/>
    <x v="1"/>
    <x v="46"/>
    <x v="0"/>
    <x v="31"/>
    <x v="1"/>
    <x v="280"/>
    <x v="40"/>
    <x v="0"/>
    <x v="0"/>
  </r>
  <r>
    <x v="1212"/>
    <x v="2"/>
    <x v="48"/>
    <x v="1"/>
    <x v="26"/>
    <x v="3"/>
    <x v="270"/>
    <x v="34"/>
    <x v="3"/>
    <x v="3"/>
  </r>
  <r>
    <x v="1212"/>
    <x v="3"/>
    <x v="12"/>
    <x v="0"/>
    <x v="10"/>
    <x v="2"/>
    <x v="119"/>
    <x v="11"/>
    <x v="0"/>
    <x v="0"/>
  </r>
  <r>
    <x v="1213"/>
    <x v="0"/>
    <x v="11"/>
    <x v="1"/>
    <x v="9"/>
    <x v="2"/>
    <x v="126"/>
    <x v="10"/>
    <x v="4"/>
    <x v="4"/>
  </r>
  <r>
    <x v="1213"/>
    <x v="1"/>
    <x v="14"/>
    <x v="0"/>
    <x v="12"/>
    <x v="0"/>
    <x v="137"/>
    <x v="13"/>
    <x v="1"/>
    <x v="1"/>
  </r>
  <r>
    <x v="1213"/>
    <x v="2"/>
    <x v="13"/>
    <x v="0"/>
    <x v="11"/>
    <x v="2"/>
    <x v="18"/>
    <x v="12"/>
    <x v="5"/>
    <x v="5"/>
  </r>
  <r>
    <x v="1213"/>
    <x v="3"/>
    <x v="104"/>
    <x v="1"/>
    <x v="62"/>
    <x v="3"/>
    <x v="345"/>
    <x v="96"/>
    <x v="0"/>
    <x v="0"/>
  </r>
  <r>
    <x v="1213"/>
    <x v="4"/>
    <x v="50"/>
    <x v="1"/>
    <x v="34"/>
    <x v="0"/>
    <x v="166"/>
    <x v="43"/>
    <x v="0"/>
    <x v="0"/>
  </r>
  <r>
    <x v="1214"/>
    <x v="0"/>
    <x v="30"/>
    <x v="1"/>
    <x v="5"/>
    <x v="3"/>
    <x v="8"/>
    <x v="26"/>
    <x v="0"/>
    <x v="0"/>
  </r>
  <r>
    <x v="1214"/>
    <x v="1"/>
    <x v="2"/>
    <x v="1"/>
    <x v="2"/>
    <x v="1"/>
    <x v="46"/>
    <x v="2"/>
    <x v="2"/>
    <x v="2"/>
  </r>
  <r>
    <x v="1215"/>
    <x v="0"/>
    <x v="38"/>
    <x v="1"/>
    <x v="26"/>
    <x v="3"/>
    <x v="270"/>
    <x v="34"/>
    <x v="0"/>
    <x v="0"/>
  </r>
  <r>
    <x v="1215"/>
    <x v="1"/>
    <x v="59"/>
    <x v="0"/>
    <x v="41"/>
    <x v="2"/>
    <x v="361"/>
    <x v="52"/>
    <x v="6"/>
    <x v="6"/>
  </r>
  <r>
    <x v="1215"/>
    <x v="2"/>
    <x v="23"/>
    <x v="0"/>
    <x v="7"/>
    <x v="0"/>
    <x v="59"/>
    <x v="20"/>
    <x v="0"/>
    <x v="0"/>
  </r>
  <r>
    <x v="1215"/>
    <x v="3"/>
    <x v="55"/>
    <x v="1"/>
    <x v="38"/>
    <x v="1"/>
    <x v="171"/>
    <x v="48"/>
    <x v="3"/>
    <x v="3"/>
  </r>
  <r>
    <x v="1215"/>
    <x v="4"/>
    <x v="52"/>
    <x v="0"/>
    <x v="28"/>
    <x v="3"/>
    <x v="168"/>
    <x v="45"/>
    <x v="1"/>
    <x v="1"/>
  </r>
  <r>
    <x v="1216"/>
    <x v="0"/>
    <x v="30"/>
    <x v="0"/>
    <x v="5"/>
    <x v="2"/>
    <x v="132"/>
    <x v="26"/>
    <x v="0"/>
    <x v="0"/>
  </r>
  <r>
    <x v="1216"/>
    <x v="1"/>
    <x v="26"/>
    <x v="1"/>
    <x v="19"/>
    <x v="2"/>
    <x v="150"/>
    <x v="22"/>
    <x v="3"/>
    <x v="3"/>
  </r>
  <r>
    <x v="1217"/>
    <x v="0"/>
    <x v="33"/>
    <x v="0"/>
    <x v="14"/>
    <x v="1"/>
    <x v="29"/>
    <x v="29"/>
    <x v="1"/>
    <x v="1"/>
  </r>
  <r>
    <x v="1217"/>
    <x v="1"/>
    <x v="48"/>
    <x v="1"/>
    <x v="26"/>
    <x v="2"/>
    <x v="162"/>
    <x v="34"/>
    <x v="3"/>
    <x v="3"/>
  </r>
  <r>
    <x v="1218"/>
    <x v="0"/>
    <x v="7"/>
    <x v="1"/>
    <x v="6"/>
    <x v="1"/>
    <x v="100"/>
    <x v="7"/>
    <x v="0"/>
    <x v="0"/>
  </r>
  <r>
    <x v="1218"/>
    <x v="1"/>
    <x v="37"/>
    <x v="1"/>
    <x v="25"/>
    <x v="3"/>
    <x v="279"/>
    <x v="33"/>
    <x v="2"/>
    <x v="2"/>
  </r>
  <r>
    <x v="1218"/>
    <x v="2"/>
    <x v="95"/>
    <x v="1"/>
    <x v="23"/>
    <x v="0"/>
    <x v="377"/>
    <x v="87"/>
    <x v="1"/>
    <x v="1"/>
  </r>
  <r>
    <x v="1219"/>
    <x v="0"/>
    <x v="42"/>
    <x v="1"/>
    <x v="28"/>
    <x v="3"/>
    <x v="418"/>
    <x v="37"/>
    <x v="1"/>
    <x v="1"/>
  </r>
  <r>
    <x v="1219"/>
    <x v="1"/>
    <x v="60"/>
    <x v="0"/>
    <x v="25"/>
    <x v="0"/>
    <x v="152"/>
    <x v="53"/>
    <x v="6"/>
    <x v="6"/>
  </r>
  <r>
    <x v="1219"/>
    <x v="2"/>
    <x v="25"/>
    <x v="1"/>
    <x v="18"/>
    <x v="0"/>
    <x v="144"/>
    <x v="21"/>
    <x v="5"/>
    <x v="5"/>
  </r>
  <r>
    <x v="1220"/>
    <x v="0"/>
    <x v="96"/>
    <x v="0"/>
    <x v="26"/>
    <x v="2"/>
    <x v="275"/>
    <x v="88"/>
    <x v="5"/>
    <x v="5"/>
  </r>
  <r>
    <x v="1220"/>
    <x v="1"/>
    <x v="89"/>
    <x v="1"/>
    <x v="56"/>
    <x v="2"/>
    <x v="220"/>
    <x v="82"/>
    <x v="0"/>
    <x v="0"/>
  </r>
  <r>
    <x v="1220"/>
    <x v="2"/>
    <x v="41"/>
    <x v="1"/>
    <x v="27"/>
    <x v="3"/>
    <x v="483"/>
    <x v="36"/>
    <x v="1"/>
    <x v="1"/>
  </r>
  <r>
    <x v="1220"/>
    <x v="3"/>
    <x v="83"/>
    <x v="1"/>
    <x v="8"/>
    <x v="3"/>
    <x v="97"/>
    <x v="76"/>
    <x v="1"/>
    <x v="1"/>
  </r>
  <r>
    <x v="1220"/>
    <x v="4"/>
    <x v="44"/>
    <x v="1"/>
    <x v="29"/>
    <x v="1"/>
    <x v="172"/>
    <x v="38"/>
    <x v="5"/>
    <x v="5"/>
  </r>
  <r>
    <x v="1221"/>
    <x v="0"/>
    <x v="44"/>
    <x v="0"/>
    <x v="29"/>
    <x v="0"/>
    <x v="344"/>
    <x v="38"/>
    <x v="5"/>
    <x v="5"/>
  </r>
  <r>
    <x v="1222"/>
    <x v="0"/>
    <x v="27"/>
    <x v="0"/>
    <x v="20"/>
    <x v="2"/>
    <x v="146"/>
    <x v="23"/>
    <x v="3"/>
    <x v="3"/>
  </r>
  <r>
    <x v="1223"/>
    <x v="0"/>
    <x v="37"/>
    <x v="0"/>
    <x v="25"/>
    <x v="1"/>
    <x v="222"/>
    <x v="33"/>
    <x v="2"/>
    <x v="2"/>
  </r>
  <r>
    <x v="1223"/>
    <x v="1"/>
    <x v="80"/>
    <x v="0"/>
    <x v="53"/>
    <x v="3"/>
    <x v="422"/>
    <x v="73"/>
    <x v="6"/>
    <x v="6"/>
  </r>
  <r>
    <x v="1223"/>
    <x v="2"/>
    <x v="75"/>
    <x v="0"/>
    <x v="19"/>
    <x v="2"/>
    <x v="399"/>
    <x v="68"/>
    <x v="3"/>
    <x v="3"/>
  </r>
  <r>
    <x v="1223"/>
    <x v="3"/>
    <x v="33"/>
    <x v="0"/>
    <x v="14"/>
    <x v="0"/>
    <x v="63"/>
    <x v="29"/>
    <x v="1"/>
    <x v="1"/>
  </r>
  <r>
    <x v="1224"/>
    <x v="0"/>
    <x v="89"/>
    <x v="0"/>
    <x v="56"/>
    <x v="3"/>
    <x v="369"/>
    <x v="82"/>
    <x v="0"/>
    <x v="0"/>
  </r>
  <r>
    <x v="1224"/>
    <x v="1"/>
    <x v="64"/>
    <x v="1"/>
    <x v="44"/>
    <x v="3"/>
    <x v="392"/>
    <x v="57"/>
    <x v="6"/>
    <x v="6"/>
  </r>
  <r>
    <x v="1224"/>
    <x v="2"/>
    <x v="18"/>
    <x v="1"/>
    <x v="14"/>
    <x v="3"/>
    <x v="110"/>
    <x v="16"/>
    <x v="1"/>
    <x v="1"/>
  </r>
  <r>
    <x v="1225"/>
    <x v="0"/>
    <x v="104"/>
    <x v="1"/>
    <x v="62"/>
    <x v="2"/>
    <x v="316"/>
    <x v="96"/>
    <x v="0"/>
    <x v="0"/>
  </r>
  <r>
    <x v="1225"/>
    <x v="1"/>
    <x v="70"/>
    <x v="0"/>
    <x v="48"/>
    <x v="0"/>
    <x v="415"/>
    <x v="63"/>
    <x v="5"/>
    <x v="5"/>
  </r>
  <r>
    <x v="1225"/>
    <x v="2"/>
    <x v="16"/>
    <x v="1"/>
    <x v="13"/>
    <x v="1"/>
    <x v="136"/>
    <x v="14"/>
    <x v="2"/>
    <x v="2"/>
  </r>
  <r>
    <x v="1225"/>
    <x v="3"/>
    <x v="80"/>
    <x v="0"/>
    <x v="53"/>
    <x v="1"/>
    <x v="477"/>
    <x v="73"/>
    <x v="6"/>
    <x v="6"/>
  </r>
  <r>
    <x v="1225"/>
    <x v="4"/>
    <x v="41"/>
    <x v="0"/>
    <x v="27"/>
    <x v="3"/>
    <x v="367"/>
    <x v="36"/>
    <x v="1"/>
    <x v="1"/>
  </r>
  <r>
    <x v="1226"/>
    <x v="0"/>
    <x v="45"/>
    <x v="1"/>
    <x v="30"/>
    <x v="0"/>
    <x v="266"/>
    <x v="39"/>
    <x v="5"/>
    <x v="5"/>
  </r>
  <r>
    <x v="1226"/>
    <x v="1"/>
    <x v="99"/>
    <x v="0"/>
    <x v="60"/>
    <x v="1"/>
    <x v="411"/>
    <x v="91"/>
    <x v="1"/>
    <x v="1"/>
  </r>
  <r>
    <x v="1226"/>
    <x v="2"/>
    <x v="8"/>
    <x v="0"/>
    <x v="0"/>
    <x v="2"/>
    <x v="7"/>
    <x v="3"/>
    <x v="3"/>
    <x v="3"/>
  </r>
  <r>
    <x v="1226"/>
    <x v="3"/>
    <x v="1"/>
    <x v="0"/>
    <x v="1"/>
    <x v="1"/>
    <x v="31"/>
    <x v="1"/>
    <x v="1"/>
    <x v="1"/>
  </r>
  <r>
    <x v="1226"/>
    <x v="4"/>
    <x v="41"/>
    <x v="1"/>
    <x v="27"/>
    <x v="0"/>
    <x v="194"/>
    <x v="36"/>
    <x v="1"/>
    <x v="1"/>
  </r>
  <r>
    <x v="1227"/>
    <x v="0"/>
    <x v="102"/>
    <x v="0"/>
    <x v="30"/>
    <x v="0"/>
    <x v="269"/>
    <x v="94"/>
    <x v="5"/>
    <x v="5"/>
  </r>
  <r>
    <x v="1227"/>
    <x v="1"/>
    <x v="66"/>
    <x v="1"/>
    <x v="45"/>
    <x v="0"/>
    <x v="234"/>
    <x v="59"/>
    <x v="6"/>
    <x v="6"/>
  </r>
  <r>
    <x v="1227"/>
    <x v="2"/>
    <x v="0"/>
    <x v="1"/>
    <x v="0"/>
    <x v="2"/>
    <x v="3"/>
    <x v="0"/>
    <x v="0"/>
    <x v="0"/>
  </r>
  <r>
    <x v="1228"/>
    <x v="0"/>
    <x v="107"/>
    <x v="1"/>
    <x v="61"/>
    <x v="1"/>
    <x v="317"/>
    <x v="99"/>
    <x v="1"/>
    <x v="1"/>
  </r>
  <r>
    <x v="1228"/>
    <x v="1"/>
    <x v="32"/>
    <x v="1"/>
    <x v="23"/>
    <x v="3"/>
    <x v="149"/>
    <x v="28"/>
    <x v="4"/>
    <x v="4"/>
  </r>
  <r>
    <x v="1229"/>
    <x v="0"/>
    <x v="33"/>
    <x v="1"/>
    <x v="14"/>
    <x v="3"/>
    <x v="110"/>
    <x v="29"/>
    <x v="1"/>
    <x v="1"/>
  </r>
  <r>
    <x v="1229"/>
    <x v="1"/>
    <x v="83"/>
    <x v="1"/>
    <x v="8"/>
    <x v="1"/>
    <x v="30"/>
    <x v="76"/>
    <x v="1"/>
    <x v="1"/>
  </r>
  <r>
    <x v="1230"/>
    <x v="0"/>
    <x v="85"/>
    <x v="1"/>
    <x v="0"/>
    <x v="2"/>
    <x v="3"/>
    <x v="78"/>
    <x v="0"/>
    <x v="0"/>
  </r>
  <r>
    <x v="1230"/>
    <x v="1"/>
    <x v="63"/>
    <x v="0"/>
    <x v="43"/>
    <x v="1"/>
    <x v="348"/>
    <x v="56"/>
    <x v="0"/>
    <x v="0"/>
  </r>
  <r>
    <x v="1231"/>
    <x v="0"/>
    <x v="4"/>
    <x v="1"/>
    <x v="3"/>
    <x v="1"/>
    <x v="127"/>
    <x v="4"/>
    <x v="1"/>
    <x v="1"/>
  </r>
  <r>
    <x v="1231"/>
    <x v="1"/>
    <x v="55"/>
    <x v="1"/>
    <x v="38"/>
    <x v="2"/>
    <x v="462"/>
    <x v="48"/>
    <x v="3"/>
    <x v="3"/>
  </r>
  <r>
    <x v="1231"/>
    <x v="2"/>
    <x v="18"/>
    <x v="1"/>
    <x v="14"/>
    <x v="0"/>
    <x v="117"/>
    <x v="16"/>
    <x v="1"/>
    <x v="1"/>
  </r>
  <r>
    <x v="1232"/>
    <x v="0"/>
    <x v="108"/>
    <x v="1"/>
    <x v="37"/>
    <x v="0"/>
    <x v="229"/>
    <x v="100"/>
    <x v="5"/>
    <x v="5"/>
  </r>
  <r>
    <x v="1232"/>
    <x v="1"/>
    <x v="32"/>
    <x v="1"/>
    <x v="23"/>
    <x v="3"/>
    <x v="149"/>
    <x v="28"/>
    <x v="4"/>
    <x v="4"/>
  </r>
  <r>
    <x v="1232"/>
    <x v="2"/>
    <x v="66"/>
    <x v="0"/>
    <x v="45"/>
    <x v="0"/>
    <x v="206"/>
    <x v="59"/>
    <x v="6"/>
    <x v="6"/>
  </r>
  <r>
    <x v="1233"/>
    <x v="0"/>
    <x v="28"/>
    <x v="1"/>
    <x v="21"/>
    <x v="1"/>
    <x v="354"/>
    <x v="24"/>
    <x v="6"/>
    <x v="6"/>
  </r>
  <r>
    <x v="1233"/>
    <x v="1"/>
    <x v="68"/>
    <x v="1"/>
    <x v="24"/>
    <x v="1"/>
    <x v="207"/>
    <x v="61"/>
    <x v="0"/>
    <x v="0"/>
  </r>
  <r>
    <x v="1234"/>
    <x v="0"/>
    <x v="14"/>
    <x v="0"/>
    <x v="12"/>
    <x v="3"/>
    <x v="40"/>
    <x v="13"/>
    <x v="1"/>
    <x v="1"/>
  </r>
  <r>
    <x v="1235"/>
    <x v="0"/>
    <x v="91"/>
    <x v="0"/>
    <x v="57"/>
    <x v="1"/>
    <x v="456"/>
    <x v="84"/>
    <x v="4"/>
    <x v="4"/>
  </r>
  <r>
    <x v="1235"/>
    <x v="1"/>
    <x v="33"/>
    <x v="1"/>
    <x v="14"/>
    <x v="2"/>
    <x v="124"/>
    <x v="29"/>
    <x v="1"/>
    <x v="1"/>
  </r>
  <r>
    <x v="1235"/>
    <x v="2"/>
    <x v="87"/>
    <x v="0"/>
    <x v="29"/>
    <x v="3"/>
    <x v="283"/>
    <x v="80"/>
    <x v="5"/>
    <x v="5"/>
  </r>
  <r>
    <x v="1236"/>
    <x v="0"/>
    <x v="19"/>
    <x v="0"/>
    <x v="15"/>
    <x v="3"/>
    <x v="37"/>
    <x v="17"/>
    <x v="5"/>
    <x v="5"/>
  </r>
  <r>
    <x v="1236"/>
    <x v="1"/>
    <x v="108"/>
    <x v="1"/>
    <x v="37"/>
    <x v="3"/>
    <x v="351"/>
    <x v="100"/>
    <x v="5"/>
    <x v="5"/>
  </r>
  <r>
    <x v="1236"/>
    <x v="2"/>
    <x v="43"/>
    <x v="1"/>
    <x v="15"/>
    <x v="0"/>
    <x v="33"/>
    <x v="31"/>
    <x v="5"/>
    <x v="5"/>
  </r>
  <r>
    <x v="1236"/>
    <x v="3"/>
    <x v="66"/>
    <x v="1"/>
    <x v="45"/>
    <x v="1"/>
    <x v="359"/>
    <x v="59"/>
    <x v="6"/>
    <x v="6"/>
  </r>
  <r>
    <x v="1236"/>
    <x v="4"/>
    <x v="22"/>
    <x v="0"/>
    <x v="17"/>
    <x v="1"/>
    <x v="88"/>
    <x v="19"/>
    <x v="3"/>
    <x v="3"/>
  </r>
  <r>
    <x v="1237"/>
    <x v="0"/>
    <x v="95"/>
    <x v="0"/>
    <x v="23"/>
    <x v="3"/>
    <x v="253"/>
    <x v="87"/>
    <x v="1"/>
    <x v="1"/>
  </r>
  <r>
    <x v="1237"/>
    <x v="1"/>
    <x v="15"/>
    <x v="0"/>
    <x v="11"/>
    <x v="3"/>
    <x v="21"/>
    <x v="12"/>
    <x v="0"/>
    <x v="0"/>
  </r>
  <r>
    <x v="1237"/>
    <x v="2"/>
    <x v="40"/>
    <x v="1"/>
    <x v="15"/>
    <x v="0"/>
    <x v="33"/>
    <x v="35"/>
    <x v="5"/>
    <x v="5"/>
  </r>
  <r>
    <x v="1237"/>
    <x v="3"/>
    <x v="70"/>
    <x v="0"/>
    <x v="48"/>
    <x v="3"/>
    <x v="439"/>
    <x v="63"/>
    <x v="5"/>
    <x v="5"/>
  </r>
  <r>
    <x v="1238"/>
    <x v="0"/>
    <x v="12"/>
    <x v="1"/>
    <x v="10"/>
    <x v="0"/>
    <x v="48"/>
    <x v="11"/>
    <x v="0"/>
    <x v="0"/>
  </r>
  <r>
    <x v="1238"/>
    <x v="1"/>
    <x v="87"/>
    <x v="0"/>
    <x v="29"/>
    <x v="3"/>
    <x v="283"/>
    <x v="80"/>
    <x v="5"/>
    <x v="5"/>
  </r>
  <r>
    <x v="1238"/>
    <x v="2"/>
    <x v="98"/>
    <x v="1"/>
    <x v="14"/>
    <x v="3"/>
    <x v="110"/>
    <x v="90"/>
    <x v="1"/>
    <x v="1"/>
  </r>
  <r>
    <x v="1238"/>
    <x v="3"/>
    <x v="107"/>
    <x v="0"/>
    <x v="61"/>
    <x v="2"/>
    <x v="459"/>
    <x v="99"/>
    <x v="1"/>
    <x v="1"/>
  </r>
  <r>
    <x v="1239"/>
    <x v="0"/>
    <x v="92"/>
    <x v="1"/>
    <x v="24"/>
    <x v="3"/>
    <x v="288"/>
    <x v="72"/>
    <x v="3"/>
    <x v="3"/>
  </r>
  <r>
    <x v="1239"/>
    <x v="1"/>
    <x v="19"/>
    <x v="1"/>
    <x v="15"/>
    <x v="2"/>
    <x v="89"/>
    <x v="17"/>
    <x v="5"/>
    <x v="5"/>
  </r>
  <r>
    <x v="1239"/>
    <x v="2"/>
    <x v="12"/>
    <x v="1"/>
    <x v="10"/>
    <x v="0"/>
    <x v="48"/>
    <x v="11"/>
    <x v="0"/>
    <x v="0"/>
  </r>
  <r>
    <x v="1239"/>
    <x v="3"/>
    <x v="104"/>
    <x v="1"/>
    <x v="62"/>
    <x v="2"/>
    <x v="316"/>
    <x v="96"/>
    <x v="0"/>
    <x v="0"/>
  </r>
  <r>
    <x v="1239"/>
    <x v="4"/>
    <x v="94"/>
    <x v="0"/>
    <x v="59"/>
    <x v="2"/>
    <x v="419"/>
    <x v="86"/>
    <x v="6"/>
    <x v="6"/>
  </r>
  <r>
    <x v="1240"/>
    <x v="0"/>
    <x v="51"/>
    <x v="0"/>
    <x v="35"/>
    <x v="2"/>
    <x v="167"/>
    <x v="44"/>
    <x v="0"/>
    <x v="0"/>
  </r>
  <r>
    <x v="1240"/>
    <x v="1"/>
    <x v="68"/>
    <x v="1"/>
    <x v="24"/>
    <x v="2"/>
    <x v="293"/>
    <x v="61"/>
    <x v="0"/>
    <x v="0"/>
  </r>
  <r>
    <x v="1241"/>
    <x v="0"/>
    <x v="49"/>
    <x v="0"/>
    <x v="33"/>
    <x v="2"/>
    <x v="186"/>
    <x v="42"/>
    <x v="5"/>
    <x v="5"/>
  </r>
  <r>
    <x v="1241"/>
    <x v="1"/>
    <x v="97"/>
    <x v="0"/>
    <x v="4"/>
    <x v="1"/>
    <x v="133"/>
    <x v="89"/>
    <x v="1"/>
    <x v="1"/>
  </r>
  <r>
    <x v="1241"/>
    <x v="2"/>
    <x v="2"/>
    <x v="0"/>
    <x v="2"/>
    <x v="1"/>
    <x v="43"/>
    <x v="2"/>
    <x v="2"/>
    <x v="2"/>
  </r>
  <r>
    <x v="1241"/>
    <x v="3"/>
    <x v="63"/>
    <x v="0"/>
    <x v="43"/>
    <x v="0"/>
    <x v="212"/>
    <x v="56"/>
    <x v="0"/>
    <x v="0"/>
  </r>
  <r>
    <x v="1242"/>
    <x v="0"/>
    <x v="99"/>
    <x v="0"/>
    <x v="60"/>
    <x v="1"/>
    <x v="411"/>
    <x v="91"/>
    <x v="1"/>
    <x v="1"/>
  </r>
  <r>
    <x v="1243"/>
    <x v="0"/>
    <x v="78"/>
    <x v="0"/>
    <x v="52"/>
    <x v="0"/>
    <x v="362"/>
    <x v="71"/>
    <x v="1"/>
    <x v="1"/>
  </r>
  <r>
    <x v="1243"/>
    <x v="1"/>
    <x v="83"/>
    <x v="1"/>
    <x v="8"/>
    <x v="1"/>
    <x v="30"/>
    <x v="76"/>
    <x v="1"/>
    <x v="1"/>
  </r>
  <r>
    <x v="1243"/>
    <x v="2"/>
    <x v="57"/>
    <x v="0"/>
    <x v="14"/>
    <x v="1"/>
    <x v="29"/>
    <x v="50"/>
    <x v="1"/>
    <x v="1"/>
  </r>
  <r>
    <x v="1243"/>
    <x v="3"/>
    <x v="88"/>
    <x v="1"/>
    <x v="55"/>
    <x v="3"/>
    <x v="438"/>
    <x v="81"/>
    <x v="1"/>
    <x v="1"/>
  </r>
  <r>
    <x v="1244"/>
    <x v="0"/>
    <x v="17"/>
    <x v="0"/>
    <x v="11"/>
    <x v="3"/>
    <x v="21"/>
    <x v="15"/>
    <x v="0"/>
    <x v="0"/>
  </r>
  <r>
    <x v="1245"/>
    <x v="0"/>
    <x v="46"/>
    <x v="1"/>
    <x v="31"/>
    <x v="0"/>
    <x v="484"/>
    <x v="40"/>
    <x v="0"/>
    <x v="0"/>
  </r>
  <r>
    <x v="1245"/>
    <x v="1"/>
    <x v="109"/>
    <x v="0"/>
    <x v="64"/>
    <x v="2"/>
    <x v="395"/>
    <x v="101"/>
    <x v="1"/>
    <x v="1"/>
  </r>
  <r>
    <x v="1245"/>
    <x v="2"/>
    <x v="78"/>
    <x v="1"/>
    <x v="52"/>
    <x v="1"/>
    <x v="272"/>
    <x v="71"/>
    <x v="1"/>
    <x v="1"/>
  </r>
  <r>
    <x v="1246"/>
    <x v="0"/>
    <x v="12"/>
    <x v="1"/>
    <x v="10"/>
    <x v="3"/>
    <x v="120"/>
    <x v="11"/>
    <x v="0"/>
    <x v="0"/>
  </r>
  <r>
    <x v="1246"/>
    <x v="1"/>
    <x v="76"/>
    <x v="1"/>
    <x v="50"/>
    <x v="3"/>
    <x v="429"/>
    <x v="69"/>
    <x v="1"/>
    <x v="1"/>
  </r>
  <r>
    <x v="1246"/>
    <x v="2"/>
    <x v="8"/>
    <x v="0"/>
    <x v="0"/>
    <x v="2"/>
    <x v="7"/>
    <x v="3"/>
    <x v="3"/>
    <x v="3"/>
  </r>
  <r>
    <x v="1247"/>
    <x v="0"/>
    <x v="49"/>
    <x v="1"/>
    <x v="33"/>
    <x v="2"/>
    <x v="163"/>
    <x v="42"/>
    <x v="5"/>
    <x v="5"/>
  </r>
  <r>
    <x v="1247"/>
    <x v="1"/>
    <x v="57"/>
    <x v="1"/>
    <x v="14"/>
    <x v="3"/>
    <x v="110"/>
    <x v="50"/>
    <x v="1"/>
    <x v="1"/>
  </r>
  <r>
    <x v="1247"/>
    <x v="2"/>
    <x v="102"/>
    <x v="0"/>
    <x v="30"/>
    <x v="3"/>
    <x v="276"/>
    <x v="94"/>
    <x v="5"/>
    <x v="5"/>
  </r>
  <r>
    <x v="1247"/>
    <x v="3"/>
    <x v="10"/>
    <x v="0"/>
    <x v="8"/>
    <x v="2"/>
    <x v="101"/>
    <x v="9"/>
    <x v="0"/>
    <x v="0"/>
  </r>
  <r>
    <x v="1248"/>
    <x v="0"/>
    <x v="37"/>
    <x v="0"/>
    <x v="25"/>
    <x v="2"/>
    <x v="413"/>
    <x v="33"/>
    <x v="2"/>
    <x v="2"/>
  </r>
  <r>
    <x v="1248"/>
    <x v="1"/>
    <x v="77"/>
    <x v="0"/>
    <x v="51"/>
    <x v="2"/>
    <x v="482"/>
    <x v="70"/>
    <x v="3"/>
    <x v="3"/>
  </r>
  <r>
    <x v="1248"/>
    <x v="2"/>
    <x v="32"/>
    <x v="0"/>
    <x v="23"/>
    <x v="0"/>
    <x v="223"/>
    <x v="28"/>
    <x v="4"/>
    <x v="4"/>
  </r>
  <r>
    <x v="1249"/>
    <x v="0"/>
    <x v="46"/>
    <x v="1"/>
    <x v="31"/>
    <x v="2"/>
    <x v="437"/>
    <x v="40"/>
    <x v="0"/>
    <x v="0"/>
  </r>
  <r>
    <x v="1249"/>
    <x v="1"/>
    <x v="82"/>
    <x v="1"/>
    <x v="34"/>
    <x v="3"/>
    <x v="333"/>
    <x v="75"/>
    <x v="0"/>
    <x v="0"/>
  </r>
  <r>
    <x v="1249"/>
    <x v="2"/>
    <x v="0"/>
    <x v="1"/>
    <x v="0"/>
    <x v="2"/>
    <x v="3"/>
    <x v="0"/>
    <x v="0"/>
    <x v="0"/>
  </r>
  <r>
    <x v="1249"/>
    <x v="3"/>
    <x v="18"/>
    <x v="1"/>
    <x v="14"/>
    <x v="3"/>
    <x v="110"/>
    <x v="16"/>
    <x v="1"/>
    <x v="1"/>
  </r>
  <r>
    <x v="1250"/>
    <x v="0"/>
    <x v="95"/>
    <x v="1"/>
    <x v="23"/>
    <x v="3"/>
    <x v="149"/>
    <x v="87"/>
    <x v="1"/>
    <x v="1"/>
  </r>
  <r>
    <x v="1250"/>
    <x v="1"/>
    <x v="28"/>
    <x v="0"/>
    <x v="21"/>
    <x v="1"/>
    <x v="226"/>
    <x v="24"/>
    <x v="6"/>
    <x v="6"/>
  </r>
  <r>
    <x v="1250"/>
    <x v="2"/>
    <x v="14"/>
    <x v="0"/>
    <x v="12"/>
    <x v="1"/>
    <x v="140"/>
    <x v="13"/>
    <x v="1"/>
    <x v="1"/>
  </r>
  <r>
    <x v="1251"/>
    <x v="0"/>
    <x v="47"/>
    <x v="0"/>
    <x v="32"/>
    <x v="0"/>
    <x v="197"/>
    <x v="41"/>
    <x v="0"/>
    <x v="0"/>
  </r>
  <r>
    <x v="1251"/>
    <x v="1"/>
    <x v="73"/>
    <x v="0"/>
    <x v="49"/>
    <x v="0"/>
    <x v="233"/>
    <x v="66"/>
    <x v="5"/>
    <x v="5"/>
  </r>
  <r>
    <x v="1251"/>
    <x v="2"/>
    <x v="94"/>
    <x v="1"/>
    <x v="59"/>
    <x v="2"/>
    <x v="485"/>
    <x v="86"/>
    <x v="6"/>
    <x v="6"/>
  </r>
  <r>
    <x v="1252"/>
    <x v="0"/>
    <x v="22"/>
    <x v="1"/>
    <x v="17"/>
    <x v="3"/>
    <x v="68"/>
    <x v="19"/>
    <x v="3"/>
    <x v="3"/>
  </r>
  <r>
    <x v="1252"/>
    <x v="1"/>
    <x v="20"/>
    <x v="0"/>
    <x v="11"/>
    <x v="1"/>
    <x v="36"/>
    <x v="15"/>
    <x v="5"/>
    <x v="5"/>
  </r>
  <r>
    <x v="1252"/>
    <x v="2"/>
    <x v="54"/>
    <x v="0"/>
    <x v="37"/>
    <x v="0"/>
    <x v="321"/>
    <x v="47"/>
    <x v="5"/>
    <x v="5"/>
  </r>
  <r>
    <x v="1253"/>
    <x v="0"/>
    <x v="53"/>
    <x v="0"/>
    <x v="36"/>
    <x v="0"/>
    <x v="169"/>
    <x v="46"/>
    <x v="0"/>
    <x v="0"/>
  </r>
  <r>
    <x v="1253"/>
    <x v="1"/>
    <x v="87"/>
    <x v="0"/>
    <x v="29"/>
    <x v="0"/>
    <x v="344"/>
    <x v="80"/>
    <x v="5"/>
    <x v="5"/>
  </r>
  <r>
    <x v="1254"/>
    <x v="0"/>
    <x v="52"/>
    <x v="1"/>
    <x v="28"/>
    <x v="0"/>
    <x v="426"/>
    <x v="45"/>
    <x v="1"/>
    <x v="1"/>
  </r>
  <r>
    <x v="1254"/>
    <x v="1"/>
    <x v="29"/>
    <x v="0"/>
    <x v="5"/>
    <x v="2"/>
    <x v="132"/>
    <x v="25"/>
    <x v="6"/>
    <x v="6"/>
  </r>
  <r>
    <x v="1254"/>
    <x v="2"/>
    <x v="15"/>
    <x v="1"/>
    <x v="11"/>
    <x v="0"/>
    <x v="78"/>
    <x v="12"/>
    <x v="0"/>
    <x v="0"/>
  </r>
  <r>
    <x v="1254"/>
    <x v="3"/>
    <x v="8"/>
    <x v="1"/>
    <x v="0"/>
    <x v="2"/>
    <x v="3"/>
    <x v="3"/>
    <x v="3"/>
    <x v="3"/>
  </r>
  <r>
    <x v="1254"/>
    <x v="4"/>
    <x v="90"/>
    <x v="0"/>
    <x v="43"/>
    <x v="2"/>
    <x v="178"/>
    <x v="83"/>
    <x v="0"/>
    <x v="0"/>
  </r>
  <r>
    <x v="1255"/>
    <x v="0"/>
    <x v="99"/>
    <x v="1"/>
    <x v="60"/>
    <x v="0"/>
    <x v="263"/>
    <x v="91"/>
    <x v="1"/>
    <x v="1"/>
  </r>
  <r>
    <x v="1255"/>
    <x v="1"/>
    <x v="96"/>
    <x v="0"/>
    <x v="26"/>
    <x v="3"/>
    <x v="164"/>
    <x v="88"/>
    <x v="5"/>
    <x v="5"/>
  </r>
  <r>
    <x v="1256"/>
    <x v="0"/>
    <x v="34"/>
    <x v="1"/>
    <x v="4"/>
    <x v="2"/>
    <x v="79"/>
    <x v="30"/>
    <x v="1"/>
    <x v="1"/>
  </r>
  <r>
    <x v="1256"/>
    <x v="1"/>
    <x v="32"/>
    <x v="0"/>
    <x v="23"/>
    <x v="2"/>
    <x v="292"/>
    <x v="28"/>
    <x v="4"/>
    <x v="4"/>
  </r>
  <r>
    <x v="1256"/>
    <x v="2"/>
    <x v="7"/>
    <x v="1"/>
    <x v="6"/>
    <x v="3"/>
    <x v="17"/>
    <x v="7"/>
    <x v="0"/>
    <x v="0"/>
  </r>
  <r>
    <x v="1256"/>
    <x v="3"/>
    <x v="67"/>
    <x v="0"/>
    <x v="46"/>
    <x v="2"/>
    <x v="423"/>
    <x v="60"/>
    <x v="1"/>
    <x v="1"/>
  </r>
  <r>
    <x v="1256"/>
    <x v="4"/>
    <x v="4"/>
    <x v="0"/>
    <x v="3"/>
    <x v="3"/>
    <x v="66"/>
    <x v="4"/>
    <x v="1"/>
    <x v="1"/>
  </r>
  <r>
    <x v="1257"/>
    <x v="0"/>
    <x v="49"/>
    <x v="1"/>
    <x v="33"/>
    <x v="3"/>
    <x v="454"/>
    <x v="42"/>
    <x v="5"/>
    <x v="5"/>
  </r>
  <r>
    <x v="1257"/>
    <x v="1"/>
    <x v="40"/>
    <x v="1"/>
    <x v="15"/>
    <x v="2"/>
    <x v="89"/>
    <x v="35"/>
    <x v="5"/>
    <x v="5"/>
  </r>
  <r>
    <x v="1258"/>
    <x v="0"/>
    <x v="91"/>
    <x v="0"/>
    <x v="57"/>
    <x v="3"/>
    <x v="407"/>
    <x v="84"/>
    <x v="4"/>
    <x v="4"/>
  </r>
  <r>
    <x v="1258"/>
    <x v="1"/>
    <x v="23"/>
    <x v="0"/>
    <x v="7"/>
    <x v="0"/>
    <x v="59"/>
    <x v="20"/>
    <x v="0"/>
    <x v="0"/>
  </r>
  <r>
    <x v="1259"/>
    <x v="0"/>
    <x v="1"/>
    <x v="0"/>
    <x v="1"/>
    <x v="3"/>
    <x v="112"/>
    <x v="1"/>
    <x v="1"/>
    <x v="1"/>
  </r>
  <r>
    <x v="1259"/>
    <x v="1"/>
    <x v="82"/>
    <x v="0"/>
    <x v="34"/>
    <x v="3"/>
    <x v="173"/>
    <x v="75"/>
    <x v="0"/>
    <x v="0"/>
  </r>
  <r>
    <x v="1260"/>
    <x v="0"/>
    <x v="30"/>
    <x v="0"/>
    <x v="5"/>
    <x v="0"/>
    <x v="56"/>
    <x v="26"/>
    <x v="0"/>
    <x v="0"/>
  </r>
  <r>
    <x v="1260"/>
    <x v="1"/>
    <x v="54"/>
    <x v="1"/>
    <x v="37"/>
    <x v="0"/>
    <x v="229"/>
    <x v="47"/>
    <x v="5"/>
    <x v="5"/>
  </r>
  <r>
    <x v="1260"/>
    <x v="2"/>
    <x v="96"/>
    <x v="0"/>
    <x v="26"/>
    <x v="2"/>
    <x v="275"/>
    <x v="88"/>
    <x v="5"/>
    <x v="5"/>
  </r>
  <r>
    <x v="1260"/>
    <x v="3"/>
    <x v="41"/>
    <x v="0"/>
    <x v="27"/>
    <x v="3"/>
    <x v="367"/>
    <x v="36"/>
    <x v="1"/>
    <x v="1"/>
  </r>
  <r>
    <x v="1261"/>
    <x v="0"/>
    <x v="88"/>
    <x v="0"/>
    <x v="55"/>
    <x v="1"/>
    <x v="375"/>
    <x v="81"/>
    <x v="1"/>
    <x v="1"/>
  </r>
  <r>
    <x v="1261"/>
    <x v="1"/>
    <x v="58"/>
    <x v="0"/>
    <x v="40"/>
    <x v="2"/>
    <x v="175"/>
    <x v="51"/>
    <x v="6"/>
    <x v="6"/>
  </r>
  <r>
    <x v="1261"/>
    <x v="2"/>
    <x v="52"/>
    <x v="1"/>
    <x v="28"/>
    <x v="1"/>
    <x v="156"/>
    <x v="45"/>
    <x v="1"/>
    <x v="1"/>
  </r>
  <r>
    <x v="1261"/>
    <x v="3"/>
    <x v="104"/>
    <x v="0"/>
    <x v="62"/>
    <x v="1"/>
    <x v="409"/>
    <x v="96"/>
    <x v="0"/>
    <x v="0"/>
  </r>
  <r>
    <x v="1262"/>
    <x v="0"/>
    <x v="78"/>
    <x v="0"/>
    <x v="52"/>
    <x v="0"/>
    <x v="362"/>
    <x v="71"/>
    <x v="1"/>
    <x v="1"/>
  </r>
  <r>
    <x v="1262"/>
    <x v="1"/>
    <x v="37"/>
    <x v="0"/>
    <x v="25"/>
    <x v="2"/>
    <x v="413"/>
    <x v="33"/>
    <x v="2"/>
    <x v="2"/>
  </r>
  <r>
    <x v="1262"/>
    <x v="2"/>
    <x v="23"/>
    <x v="1"/>
    <x v="7"/>
    <x v="3"/>
    <x v="106"/>
    <x v="20"/>
    <x v="0"/>
    <x v="0"/>
  </r>
  <r>
    <x v="1263"/>
    <x v="0"/>
    <x v="70"/>
    <x v="0"/>
    <x v="48"/>
    <x v="1"/>
    <x v="341"/>
    <x v="63"/>
    <x v="5"/>
    <x v="5"/>
  </r>
  <r>
    <x v="1263"/>
    <x v="1"/>
    <x v="104"/>
    <x v="1"/>
    <x v="62"/>
    <x v="1"/>
    <x v="278"/>
    <x v="96"/>
    <x v="0"/>
    <x v="0"/>
  </r>
  <r>
    <x v="1263"/>
    <x v="2"/>
    <x v="61"/>
    <x v="1"/>
    <x v="4"/>
    <x v="0"/>
    <x v="73"/>
    <x v="54"/>
    <x v="1"/>
    <x v="1"/>
  </r>
  <r>
    <x v="1263"/>
    <x v="3"/>
    <x v="58"/>
    <x v="0"/>
    <x v="40"/>
    <x v="2"/>
    <x v="175"/>
    <x v="51"/>
    <x v="6"/>
    <x v="6"/>
  </r>
  <r>
    <x v="1264"/>
    <x v="0"/>
    <x v="67"/>
    <x v="1"/>
    <x v="46"/>
    <x v="3"/>
    <x v="458"/>
    <x v="60"/>
    <x v="1"/>
    <x v="1"/>
  </r>
  <r>
    <x v="1264"/>
    <x v="1"/>
    <x v="31"/>
    <x v="1"/>
    <x v="22"/>
    <x v="1"/>
    <x v="486"/>
    <x v="27"/>
    <x v="0"/>
    <x v="0"/>
  </r>
  <r>
    <x v="1265"/>
    <x v="0"/>
    <x v="45"/>
    <x v="0"/>
    <x v="30"/>
    <x v="0"/>
    <x v="269"/>
    <x v="39"/>
    <x v="5"/>
    <x v="5"/>
  </r>
  <r>
    <x v="1265"/>
    <x v="1"/>
    <x v="74"/>
    <x v="0"/>
    <x v="42"/>
    <x v="0"/>
    <x v="224"/>
    <x v="67"/>
    <x v="6"/>
    <x v="6"/>
  </r>
  <r>
    <x v="1266"/>
    <x v="0"/>
    <x v="78"/>
    <x v="0"/>
    <x v="52"/>
    <x v="3"/>
    <x v="487"/>
    <x v="71"/>
    <x v="1"/>
    <x v="1"/>
  </r>
  <r>
    <x v="1266"/>
    <x v="1"/>
    <x v="97"/>
    <x v="0"/>
    <x v="4"/>
    <x v="1"/>
    <x v="133"/>
    <x v="89"/>
    <x v="1"/>
    <x v="1"/>
  </r>
  <r>
    <x v="1266"/>
    <x v="2"/>
    <x v="75"/>
    <x v="0"/>
    <x v="19"/>
    <x v="0"/>
    <x v="188"/>
    <x v="68"/>
    <x v="3"/>
    <x v="3"/>
  </r>
  <r>
    <x v="1266"/>
    <x v="3"/>
    <x v="43"/>
    <x v="0"/>
    <x v="15"/>
    <x v="2"/>
    <x v="115"/>
    <x v="31"/>
    <x v="5"/>
    <x v="5"/>
  </r>
  <r>
    <x v="1267"/>
    <x v="0"/>
    <x v="39"/>
    <x v="1"/>
    <x v="19"/>
    <x v="1"/>
    <x v="154"/>
    <x v="22"/>
    <x v="0"/>
    <x v="0"/>
  </r>
  <r>
    <x v="1267"/>
    <x v="1"/>
    <x v="108"/>
    <x v="1"/>
    <x v="37"/>
    <x v="1"/>
    <x v="170"/>
    <x v="100"/>
    <x v="5"/>
    <x v="5"/>
  </r>
  <r>
    <x v="1267"/>
    <x v="2"/>
    <x v="64"/>
    <x v="1"/>
    <x v="44"/>
    <x v="0"/>
    <x v="332"/>
    <x v="57"/>
    <x v="6"/>
    <x v="6"/>
  </r>
  <r>
    <x v="1267"/>
    <x v="3"/>
    <x v="96"/>
    <x v="0"/>
    <x v="26"/>
    <x v="1"/>
    <x v="255"/>
    <x v="88"/>
    <x v="5"/>
    <x v="5"/>
  </r>
  <r>
    <x v="1268"/>
    <x v="0"/>
    <x v="4"/>
    <x v="1"/>
    <x v="3"/>
    <x v="0"/>
    <x v="84"/>
    <x v="4"/>
    <x v="1"/>
    <x v="1"/>
  </r>
  <r>
    <x v="1268"/>
    <x v="1"/>
    <x v="14"/>
    <x v="0"/>
    <x v="12"/>
    <x v="0"/>
    <x v="137"/>
    <x v="13"/>
    <x v="1"/>
    <x v="1"/>
  </r>
  <r>
    <x v="1268"/>
    <x v="2"/>
    <x v="103"/>
    <x v="0"/>
    <x v="38"/>
    <x v="3"/>
    <x v="442"/>
    <x v="95"/>
    <x v="3"/>
    <x v="3"/>
  </r>
  <r>
    <x v="1269"/>
    <x v="0"/>
    <x v="59"/>
    <x v="0"/>
    <x v="41"/>
    <x v="0"/>
    <x v="334"/>
    <x v="52"/>
    <x v="6"/>
    <x v="6"/>
  </r>
  <r>
    <x v="1270"/>
    <x v="0"/>
    <x v="22"/>
    <x v="1"/>
    <x v="17"/>
    <x v="3"/>
    <x v="68"/>
    <x v="19"/>
    <x v="3"/>
    <x v="3"/>
  </r>
  <r>
    <x v="1270"/>
    <x v="1"/>
    <x v="69"/>
    <x v="1"/>
    <x v="47"/>
    <x v="1"/>
    <x v="390"/>
    <x v="62"/>
    <x v="6"/>
    <x v="6"/>
  </r>
  <r>
    <x v="1270"/>
    <x v="2"/>
    <x v="108"/>
    <x v="1"/>
    <x v="37"/>
    <x v="1"/>
    <x v="170"/>
    <x v="100"/>
    <x v="5"/>
    <x v="5"/>
  </r>
  <r>
    <x v="1270"/>
    <x v="3"/>
    <x v="33"/>
    <x v="1"/>
    <x v="14"/>
    <x v="1"/>
    <x v="138"/>
    <x v="29"/>
    <x v="1"/>
    <x v="1"/>
  </r>
  <r>
    <x v="1271"/>
    <x v="0"/>
    <x v="3"/>
    <x v="1"/>
    <x v="0"/>
    <x v="0"/>
    <x v="24"/>
    <x v="3"/>
    <x v="0"/>
    <x v="0"/>
  </r>
  <r>
    <x v="1271"/>
    <x v="1"/>
    <x v="68"/>
    <x v="1"/>
    <x v="24"/>
    <x v="3"/>
    <x v="288"/>
    <x v="61"/>
    <x v="0"/>
    <x v="0"/>
  </r>
  <r>
    <x v="1271"/>
    <x v="2"/>
    <x v="106"/>
    <x v="0"/>
    <x v="39"/>
    <x v="1"/>
    <x v="231"/>
    <x v="98"/>
    <x v="5"/>
    <x v="5"/>
  </r>
  <r>
    <x v="1272"/>
    <x v="0"/>
    <x v="43"/>
    <x v="1"/>
    <x v="15"/>
    <x v="1"/>
    <x v="69"/>
    <x v="31"/>
    <x v="5"/>
    <x v="5"/>
  </r>
  <r>
    <x v="1272"/>
    <x v="1"/>
    <x v="0"/>
    <x v="0"/>
    <x v="0"/>
    <x v="1"/>
    <x v="5"/>
    <x v="0"/>
    <x v="0"/>
    <x v="0"/>
  </r>
  <r>
    <x v="1272"/>
    <x v="2"/>
    <x v="71"/>
    <x v="0"/>
    <x v="23"/>
    <x v="0"/>
    <x v="223"/>
    <x v="64"/>
    <x v="6"/>
    <x v="6"/>
  </r>
  <r>
    <x v="1273"/>
    <x v="0"/>
    <x v="89"/>
    <x v="0"/>
    <x v="56"/>
    <x v="3"/>
    <x v="369"/>
    <x v="82"/>
    <x v="0"/>
    <x v="0"/>
  </r>
  <r>
    <x v="1274"/>
    <x v="0"/>
    <x v="71"/>
    <x v="0"/>
    <x v="23"/>
    <x v="1"/>
    <x v="193"/>
    <x v="64"/>
    <x v="6"/>
    <x v="6"/>
  </r>
  <r>
    <x v="1274"/>
    <x v="1"/>
    <x v="34"/>
    <x v="0"/>
    <x v="4"/>
    <x v="3"/>
    <x v="16"/>
    <x v="30"/>
    <x v="1"/>
    <x v="1"/>
  </r>
  <r>
    <x v="1275"/>
    <x v="0"/>
    <x v="9"/>
    <x v="1"/>
    <x v="7"/>
    <x v="0"/>
    <x v="83"/>
    <x v="8"/>
    <x v="0"/>
    <x v="0"/>
  </r>
  <r>
    <x v="1275"/>
    <x v="1"/>
    <x v="71"/>
    <x v="0"/>
    <x v="23"/>
    <x v="0"/>
    <x v="223"/>
    <x v="64"/>
    <x v="6"/>
    <x v="6"/>
  </r>
  <r>
    <x v="1275"/>
    <x v="2"/>
    <x v="41"/>
    <x v="0"/>
    <x v="27"/>
    <x v="2"/>
    <x v="258"/>
    <x v="36"/>
    <x v="1"/>
    <x v="1"/>
  </r>
  <r>
    <x v="1275"/>
    <x v="3"/>
    <x v="24"/>
    <x v="1"/>
    <x v="8"/>
    <x v="0"/>
    <x v="118"/>
    <x v="9"/>
    <x v="3"/>
    <x v="3"/>
  </r>
  <r>
    <x v="1275"/>
    <x v="4"/>
    <x v="46"/>
    <x v="1"/>
    <x v="31"/>
    <x v="0"/>
    <x v="484"/>
    <x v="40"/>
    <x v="0"/>
    <x v="0"/>
  </r>
  <r>
    <x v="1276"/>
    <x v="0"/>
    <x v="28"/>
    <x v="1"/>
    <x v="21"/>
    <x v="0"/>
    <x v="410"/>
    <x v="24"/>
    <x v="6"/>
    <x v="6"/>
  </r>
  <r>
    <x v="1276"/>
    <x v="1"/>
    <x v="101"/>
    <x v="1"/>
    <x v="30"/>
    <x v="2"/>
    <x v="211"/>
    <x v="93"/>
    <x v="5"/>
    <x v="5"/>
  </r>
  <r>
    <x v="1276"/>
    <x v="2"/>
    <x v="11"/>
    <x v="1"/>
    <x v="9"/>
    <x v="3"/>
    <x v="42"/>
    <x v="10"/>
    <x v="4"/>
    <x v="4"/>
  </r>
  <r>
    <x v="1276"/>
    <x v="3"/>
    <x v="4"/>
    <x v="0"/>
    <x v="3"/>
    <x v="3"/>
    <x v="66"/>
    <x v="4"/>
    <x v="1"/>
    <x v="1"/>
  </r>
  <r>
    <x v="1276"/>
    <x v="4"/>
    <x v="16"/>
    <x v="0"/>
    <x v="13"/>
    <x v="0"/>
    <x v="114"/>
    <x v="14"/>
    <x v="2"/>
    <x v="2"/>
  </r>
  <r>
    <x v="1277"/>
    <x v="0"/>
    <x v="27"/>
    <x v="1"/>
    <x v="20"/>
    <x v="3"/>
    <x v="488"/>
    <x v="23"/>
    <x v="3"/>
    <x v="3"/>
  </r>
  <r>
    <x v="1277"/>
    <x v="1"/>
    <x v="33"/>
    <x v="0"/>
    <x v="14"/>
    <x v="3"/>
    <x v="107"/>
    <x v="29"/>
    <x v="1"/>
    <x v="1"/>
  </r>
  <r>
    <x v="1278"/>
    <x v="0"/>
    <x v="11"/>
    <x v="1"/>
    <x v="9"/>
    <x v="2"/>
    <x v="126"/>
    <x v="10"/>
    <x v="4"/>
    <x v="4"/>
  </r>
  <r>
    <x v="1279"/>
    <x v="0"/>
    <x v="31"/>
    <x v="1"/>
    <x v="22"/>
    <x v="1"/>
    <x v="486"/>
    <x v="27"/>
    <x v="0"/>
    <x v="0"/>
  </r>
  <r>
    <x v="1279"/>
    <x v="1"/>
    <x v="51"/>
    <x v="0"/>
    <x v="35"/>
    <x v="2"/>
    <x v="167"/>
    <x v="44"/>
    <x v="0"/>
    <x v="0"/>
  </r>
  <r>
    <x v="1279"/>
    <x v="2"/>
    <x v="58"/>
    <x v="0"/>
    <x v="40"/>
    <x v="1"/>
    <x v="435"/>
    <x v="51"/>
    <x v="6"/>
    <x v="6"/>
  </r>
  <r>
    <x v="1279"/>
    <x v="3"/>
    <x v="65"/>
    <x v="0"/>
    <x v="25"/>
    <x v="0"/>
    <x v="152"/>
    <x v="58"/>
    <x v="2"/>
    <x v="2"/>
  </r>
  <r>
    <x v="1280"/>
    <x v="0"/>
    <x v="107"/>
    <x v="0"/>
    <x v="61"/>
    <x v="2"/>
    <x v="459"/>
    <x v="99"/>
    <x v="1"/>
    <x v="1"/>
  </r>
  <r>
    <x v="1280"/>
    <x v="1"/>
    <x v="60"/>
    <x v="1"/>
    <x v="25"/>
    <x v="2"/>
    <x v="371"/>
    <x v="53"/>
    <x v="6"/>
    <x v="6"/>
  </r>
  <r>
    <x v="1280"/>
    <x v="2"/>
    <x v="85"/>
    <x v="0"/>
    <x v="0"/>
    <x v="2"/>
    <x v="7"/>
    <x v="78"/>
    <x v="0"/>
    <x v="0"/>
  </r>
  <r>
    <x v="1281"/>
    <x v="0"/>
    <x v="103"/>
    <x v="0"/>
    <x v="38"/>
    <x v="2"/>
    <x v="318"/>
    <x v="95"/>
    <x v="3"/>
    <x v="3"/>
  </r>
  <r>
    <x v="1281"/>
    <x v="1"/>
    <x v="69"/>
    <x v="1"/>
    <x v="47"/>
    <x v="0"/>
    <x v="489"/>
    <x v="62"/>
    <x v="6"/>
    <x v="6"/>
  </r>
  <r>
    <x v="1282"/>
    <x v="0"/>
    <x v="32"/>
    <x v="1"/>
    <x v="23"/>
    <x v="2"/>
    <x v="244"/>
    <x v="28"/>
    <x v="4"/>
    <x v="4"/>
  </r>
  <r>
    <x v="1282"/>
    <x v="1"/>
    <x v="89"/>
    <x v="0"/>
    <x v="56"/>
    <x v="0"/>
    <x v="356"/>
    <x v="82"/>
    <x v="0"/>
    <x v="0"/>
  </r>
  <r>
    <x v="1282"/>
    <x v="2"/>
    <x v="14"/>
    <x v="0"/>
    <x v="12"/>
    <x v="3"/>
    <x v="40"/>
    <x v="13"/>
    <x v="1"/>
    <x v="1"/>
  </r>
  <r>
    <x v="1282"/>
    <x v="3"/>
    <x v="33"/>
    <x v="0"/>
    <x v="14"/>
    <x v="3"/>
    <x v="107"/>
    <x v="29"/>
    <x v="1"/>
    <x v="1"/>
  </r>
  <r>
    <x v="1282"/>
    <x v="4"/>
    <x v="16"/>
    <x v="0"/>
    <x v="13"/>
    <x v="0"/>
    <x v="114"/>
    <x v="14"/>
    <x v="2"/>
    <x v="2"/>
  </r>
  <r>
    <x v="1283"/>
    <x v="0"/>
    <x v="70"/>
    <x v="0"/>
    <x v="48"/>
    <x v="1"/>
    <x v="341"/>
    <x v="63"/>
    <x v="5"/>
    <x v="5"/>
  </r>
  <r>
    <x v="1283"/>
    <x v="1"/>
    <x v="1"/>
    <x v="0"/>
    <x v="1"/>
    <x v="2"/>
    <x v="22"/>
    <x v="1"/>
    <x v="1"/>
    <x v="1"/>
  </r>
  <r>
    <x v="1283"/>
    <x v="2"/>
    <x v="4"/>
    <x v="1"/>
    <x v="3"/>
    <x v="2"/>
    <x v="49"/>
    <x v="4"/>
    <x v="1"/>
    <x v="1"/>
  </r>
  <r>
    <x v="1284"/>
    <x v="0"/>
    <x v="46"/>
    <x v="1"/>
    <x v="31"/>
    <x v="1"/>
    <x v="478"/>
    <x v="40"/>
    <x v="0"/>
    <x v="0"/>
  </r>
  <r>
    <x v="1284"/>
    <x v="1"/>
    <x v="101"/>
    <x v="0"/>
    <x v="30"/>
    <x v="3"/>
    <x v="276"/>
    <x v="93"/>
    <x v="5"/>
    <x v="5"/>
  </r>
  <r>
    <x v="1284"/>
    <x v="2"/>
    <x v="79"/>
    <x v="1"/>
    <x v="24"/>
    <x v="0"/>
    <x v="151"/>
    <x v="72"/>
    <x v="0"/>
    <x v="0"/>
  </r>
  <r>
    <x v="1284"/>
    <x v="3"/>
    <x v="18"/>
    <x v="0"/>
    <x v="14"/>
    <x v="3"/>
    <x v="107"/>
    <x v="16"/>
    <x v="1"/>
    <x v="1"/>
  </r>
  <r>
    <x v="1285"/>
    <x v="0"/>
    <x v="36"/>
    <x v="1"/>
    <x v="24"/>
    <x v="0"/>
    <x v="151"/>
    <x v="32"/>
    <x v="3"/>
    <x v="3"/>
  </r>
  <r>
    <x v="1285"/>
    <x v="1"/>
    <x v="89"/>
    <x v="1"/>
    <x v="56"/>
    <x v="1"/>
    <x v="311"/>
    <x v="82"/>
    <x v="0"/>
    <x v="0"/>
  </r>
  <r>
    <x v="1285"/>
    <x v="2"/>
    <x v="108"/>
    <x v="0"/>
    <x v="37"/>
    <x v="1"/>
    <x v="461"/>
    <x v="100"/>
    <x v="5"/>
    <x v="5"/>
  </r>
  <r>
    <x v="1286"/>
    <x v="0"/>
    <x v="97"/>
    <x v="1"/>
    <x v="4"/>
    <x v="0"/>
    <x v="73"/>
    <x v="89"/>
    <x v="1"/>
    <x v="1"/>
  </r>
  <r>
    <x v="1286"/>
    <x v="1"/>
    <x v="37"/>
    <x v="1"/>
    <x v="25"/>
    <x v="3"/>
    <x v="279"/>
    <x v="33"/>
    <x v="2"/>
    <x v="2"/>
  </r>
  <r>
    <x v="1286"/>
    <x v="2"/>
    <x v="27"/>
    <x v="0"/>
    <x v="20"/>
    <x v="3"/>
    <x v="309"/>
    <x v="23"/>
    <x v="3"/>
    <x v="3"/>
  </r>
  <r>
    <x v="1286"/>
    <x v="3"/>
    <x v="96"/>
    <x v="1"/>
    <x v="26"/>
    <x v="2"/>
    <x v="162"/>
    <x v="88"/>
    <x v="5"/>
    <x v="5"/>
  </r>
  <r>
    <x v="1287"/>
    <x v="0"/>
    <x v="30"/>
    <x v="0"/>
    <x v="5"/>
    <x v="0"/>
    <x v="56"/>
    <x v="26"/>
    <x v="0"/>
    <x v="0"/>
  </r>
  <r>
    <x v="1287"/>
    <x v="1"/>
    <x v="38"/>
    <x v="1"/>
    <x v="26"/>
    <x v="0"/>
    <x v="195"/>
    <x v="34"/>
    <x v="0"/>
    <x v="0"/>
  </r>
  <r>
    <x v="1287"/>
    <x v="2"/>
    <x v="37"/>
    <x v="1"/>
    <x v="25"/>
    <x v="3"/>
    <x v="279"/>
    <x v="33"/>
    <x v="2"/>
    <x v="2"/>
  </r>
  <r>
    <x v="1287"/>
    <x v="3"/>
    <x v="7"/>
    <x v="1"/>
    <x v="6"/>
    <x v="1"/>
    <x v="100"/>
    <x v="7"/>
    <x v="0"/>
    <x v="0"/>
  </r>
  <r>
    <x v="1288"/>
    <x v="0"/>
    <x v="84"/>
    <x v="0"/>
    <x v="30"/>
    <x v="2"/>
    <x v="338"/>
    <x v="77"/>
    <x v="5"/>
    <x v="5"/>
  </r>
  <r>
    <x v="1288"/>
    <x v="1"/>
    <x v="5"/>
    <x v="0"/>
    <x v="4"/>
    <x v="3"/>
    <x v="16"/>
    <x v="5"/>
    <x v="1"/>
    <x v="1"/>
  </r>
  <r>
    <x v="1289"/>
    <x v="0"/>
    <x v="85"/>
    <x v="1"/>
    <x v="0"/>
    <x v="2"/>
    <x v="3"/>
    <x v="78"/>
    <x v="0"/>
    <x v="0"/>
  </r>
  <r>
    <x v="1289"/>
    <x v="1"/>
    <x v="107"/>
    <x v="0"/>
    <x v="61"/>
    <x v="2"/>
    <x v="459"/>
    <x v="99"/>
    <x v="1"/>
    <x v="1"/>
  </r>
  <r>
    <x v="1289"/>
    <x v="2"/>
    <x v="102"/>
    <x v="1"/>
    <x v="30"/>
    <x v="3"/>
    <x v="343"/>
    <x v="94"/>
    <x v="5"/>
    <x v="5"/>
  </r>
  <r>
    <x v="1290"/>
    <x v="0"/>
    <x v="94"/>
    <x v="0"/>
    <x v="59"/>
    <x v="3"/>
    <x v="490"/>
    <x v="86"/>
    <x v="6"/>
    <x v="6"/>
  </r>
  <r>
    <x v="1290"/>
    <x v="1"/>
    <x v="71"/>
    <x v="1"/>
    <x v="23"/>
    <x v="2"/>
    <x v="244"/>
    <x v="64"/>
    <x v="6"/>
    <x v="6"/>
  </r>
  <r>
    <x v="1291"/>
    <x v="0"/>
    <x v="63"/>
    <x v="0"/>
    <x v="43"/>
    <x v="1"/>
    <x v="348"/>
    <x v="56"/>
    <x v="0"/>
    <x v="0"/>
  </r>
  <r>
    <x v="1292"/>
    <x v="0"/>
    <x v="54"/>
    <x v="1"/>
    <x v="37"/>
    <x v="3"/>
    <x v="351"/>
    <x v="47"/>
    <x v="5"/>
    <x v="5"/>
  </r>
  <r>
    <x v="1292"/>
    <x v="1"/>
    <x v="51"/>
    <x v="1"/>
    <x v="35"/>
    <x v="2"/>
    <x v="405"/>
    <x v="44"/>
    <x v="0"/>
    <x v="0"/>
  </r>
  <r>
    <x v="1292"/>
    <x v="2"/>
    <x v="83"/>
    <x v="1"/>
    <x v="8"/>
    <x v="1"/>
    <x v="30"/>
    <x v="76"/>
    <x v="1"/>
    <x v="1"/>
  </r>
  <r>
    <x v="1293"/>
    <x v="0"/>
    <x v="43"/>
    <x v="1"/>
    <x v="15"/>
    <x v="2"/>
    <x v="89"/>
    <x v="31"/>
    <x v="5"/>
    <x v="5"/>
  </r>
  <r>
    <x v="1293"/>
    <x v="1"/>
    <x v="99"/>
    <x v="0"/>
    <x v="60"/>
    <x v="2"/>
    <x v="386"/>
    <x v="91"/>
    <x v="1"/>
    <x v="1"/>
  </r>
  <r>
    <x v="1294"/>
    <x v="0"/>
    <x v="21"/>
    <x v="1"/>
    <x v="16"/>
    <x v="0"/>
    <x v="95"/>
    <x v="18"/>
    <x v="1"/>
    <x v="1"/>
  </r>
  <r>
    <x v="1294"/>
    <x v="1"/>
    <x v="32"/>
    <x v="0"/>
    <x v="23"/>
    <x v="0"/>
    <x v="223"/>
    <x v="28"/>
    <x v="4"/>
    <x v="4"/>
  </r>
  <r>
    <x v="1294"/>
    <x v="2"/>
    <x v="58"/>
    <x v="0"/>
    <x v="40"/>
    <x v="2"/>
    <x v="175"/>
    <x v="51"/>
    <x v="6"/>
    <x v="6"/>
  </r>
  <r>
    <x v="1295"/>
    <x v="0"/>
    <x v="22"/>
    <x v="1"/>
    <x v="17"/>
    <x v="2"/>
    <x v="41"/>
    <x v="19"/>
    <x v="3"/>
    <x v="3"/>
  </r>
  <r>
    <x v="1295"/>
    <x v="1"/>
    <x v="45"/>
    <x v="0"/>
    <x v="30"/>
    <x v="3"/>
    <x v="276"/>
    <x v="39"/>
    <x v="5"/>
    <x v="5"/>
  </r>
  <r>
    <x v="1295"/>
    <x v="2"/>
    <x v="3"/>
    <x v="0"/>
    <x v="0"/>
    <x v="2"/>
    <x v="7"/>
    <x v="3"/>
    <x v="0"/>
    <x v="0"/>
  </r>
  <r>
    <x v="1295"/>
    <x v="3"/>
    <x v="6"/>
    <x v="1"/>
    <x v="5"/>
    <x v="3"/>
    <x v="8"/>
    <x v="6"/>
    <x v="1"/>
    <x v="1"/>
  </r>
  <r>
    <x v="1296"/>
    <x v="0"/>
    <x v="77"/>
    <x v="1"/>
    <x v="51"/>
    <x v="1"/>
    <x v="213"/>
    <x v="70"/>
    <x v="3"/>
    <x v="3"/>
  </r>
  <r>
    <x v="1296"/>
    <x v="1"/>
    <x v="52"/>
    <x v="0"/>
    <x v="28"/>
    <x v="2"/>
    <x v="357"/>
    <x v="45"/>
    <x v="1"/>
    <x v="1"/>
  </r>
  <r>
    <x v="1296"/>
    <x v="2"/>
    <x v="80"/>
    <x v="1"/>
    <x v="53"/>
    <x v="2"/>
    <x v="443"/>
    <x v="73"/>
    <x v="6"/>
    <x v="6"/>
  </r>
  <r>
    <x v="1297"/>
    <x v="0"/>
    <x v="64"/>
    <x v="0"/>
    <x v="44"/>
    <x v="2"/>
    <x v="227"/>
    <x v="57"/>
    <x v="6"/>
    <x v="6"/>
  </r>
  <r>
    <x v="1297"/>
    <x v="1"/>
    <x v="55"/>
    <x v="1"/>
    <x v="38"/>
    <x v="1"/>
    <x v="171"/>
    <x v="48"/>
    <x v="3"/>
    <x v="3"/>
  </r>
  <r>
    <x v="1298"/>
    <x v="0"/>
    <x v="15"/>
    <x v="1"/>
    <x v="11"/>
    <x v="3"/>
    <x v="23"/>
    <x v="12"/>
    <x v="0"/>
    <x v="0"/>
  </r>
  <r>
    <x v="1298"/>
    <x v="1"/>
    <x v="70"/>
    <x v="0"/>
    <x v="48"/>
    <x v="2"/>
    <x v="327"/>
    <x v="63"/>
    <x v="5"/>
    <x v="5"/>
  </r>
  <r>
    <x v="1298"/>
    <x v="2"/>
    <x v="85"/>
    <x v="0"/>
    <x v="0"/>
    <x v="2"/>
    <x v="7"/>
    <x v="78"/>
    <x v="0"/>
    <x v="0"/>
  </r>
  <r>
    <x v="1298"/>
    <x v="3"/>
    <x v="58"/>
    <x v="1"/>
    <x v="40"/>
    <x v="0"/>
    <x v="308"/>
    <x v="51"/>
    <x v="6"/>
    <x v="6"/>
  </r>
  <r>
    <x v="1299"/>
    <x v="0"/>
    <x v="70"/>
    <x v="1"/>
    <x v="48"/>
    <x v="1"/>
    <x v="257"/>
    <x v="63"/>
    <x v="5"/>
    <x v="5"/>
  </r>
  <r>
    <x v="1299"/>
    <x v="1"/>
    <x v="71"/>
    <x v="1"/>
    <x v="23"/>
    <x v="2"/>
    <x v="244"/>
    <x v="64"/>
    <x v="6"/>
    <x v="6"/>
  </r>
  <r>
    <x v="1300"/>
    <x v="0"/>
    <x v="78"/>
    <x v="1"/>
    <x v="52"/>
    <x v="0"/>
    <x v="250"/>
    <x v="71"/>
    <x v="1"/>
    <x v="1"/>
  </r>
  <r>
    <x v="1300"/>
    <x v="1"/>
    <x v="86"/>
    <x v="1"/>
    <x v="54"/>
    <x v="3"/>
    <x v="360"/>
    <x v="79"/>
    <x v="3"/>
    <x v="3"/>
  </r>
  <r>
    <x v="1300"/>
    <x v="2"/>
    <x v="1"/>
    <x v="0"/>
    <x v="1"/>
    <x v="0"/>
    <x v="34"/>
    <x v="1"/>
    <x v="1"/>
    <x v="1"/>
  </r>
  <r>
    <x v="1301"/>
    <x v="0"/>
    <x v="83"/>
    <x v="0"/>
    <x v="8"/>
    <x v="2"/>
    <x v="101"/>
    <x v="76"/>
    <x v="1"/>
    <x v="1"/>
  </r>
  <r>
    <x v="1301"/>
    <x v="1"/>
    <x v="0"/>
    <x v="1"/>
    <x v="0"/>
    <x v="3"/>
    <x v="28"/>
    <x v="0"/>
    <x v="0"/>
    <x v="0"/>
  </r>
  <r>
    <x v="1301"/>
    <x v="2"/>
    <x v="28"/>
    <x v="1"/>
    <x v="21"/>
    <x v="1"/>
    <x v="354"/>
    <x v="24"/>
    <x v="6"/>
    <x v="6"/>
  </r>
  <r>
    <x v="1302"/>
    <x v="0"/>
    <x v="81"/>
    <x v="0"/>
    <x v="29"/>
    <x v="3"/>
    <x v="283"/>
    <x v="74"/>
    <x v="5"/>
    <x v="5"/>
  </r>
  <r>
    <x v="1302"/>
    <x v="1"/>
    <x v="65"/>
    <x v="1"/>
    <x v="25"/>
    <x v="0"/>
    <x v="165"/>
    <x v="58"/>
    <x v="2"/>
    <x v="2"/>
  </r>
  <r>
    <x v="1302"/>
    <x v="2"/>
    <x v="75"/>
    <x v="0"/>
    <x v="19"/>
    <x v="3"/>
    <x v="201"/>
    <x v="68"/>
    <x v="3"/>
    <x v="3"/>
  </r>
  <r>
    <x v="1302"/>
    <x v="3"/>
    <x v="30"/>
    <x v="0"/>
    <x v="5"/>
    <x v="3"/>
    <x v="92"/>
    <x v="26"/>
    <x v="0"/>
    <x v="0"/>
  </r>
  <r>
    <x v="1302"/>
    <x v="4"/>
    <x v="24"/>
    <x v="1"/>
    <x v="8"/>
    <x v="3"/>
    <x v="97"/>
    <x v="9"/>
    <x v="3"/>
    <x v="3"/>
  </r>
  <r>
    <x v="1303"/>
    <x v="0"/>
    <x v="53"/>
    <x v="0"/>
    <x v="36"/>
    <x v="2"/>
    <x v="294"/>
    <x v="46"/>
    <x v="0"/>
    <x v="0"/>
  </r>
  <r>
    <x v="1303"/>
    <x v="1"/>
    <x v="40"/>
    <x v="1"/>
    <x v="15"/>
    <x v="2"/>
    <x v="89"/>
    <x v="35"/>
    <x v="5"/>
    <x v="5"/>
  </r>
  <r>
    <x v="1303"/>
    <x v="2"/>
    <x v="48"/>
    <x v="0"/>
    <x v="26"/>
    <x v="0"/>
    <x v="153"/>
    <x v="34"/>
    <x v="3"/>
    <x v="3"/>
  </r>
  <r>
    <x v="1303"/>
    <x v="3"/>
    <x v="7"/>
    <x v="0"/>
    <x v="6"/>
    <x v="2"/>
    <x v="113"/>
    <x v="7"/>
    <x v="0"/>
    <x v="0"/>
  </r>
  <r>
    <x v="1304"/>
    <x v="0"/>
    <x v="25"/>
    <x v="0"/>
    <x v="18"/>
    <x v="0"/>
    <x v="329"/>
    <x v="21"/>
    <x v="5"/>
    <x v="5"/>
  </r>
  <r>
    <x v="1304"/>
    <x v="1"/>
    <x v="11"/>
    <x v="0"/>
    <x v="9"/>
    <x v="1"/>
    <x v="45"/>
    <x v="10"/>
    <x v="4"/>
    <x v="4"/>
  </r>
  <r>
    <x v="1304"/>
    <x v="2"/>
    <x v="16"/>
    <x v="0"/>
    <x v="13"/>
    <x v="2"/>
    <x v="26"/>
    <x v="14"/>
    <x v="2"/>
    <x v="2"/>
  </r>
  <r>
    <x v="1304"/>
    <x v="3"/>
    <x v="87"/>
    <x v="1"/>
    <x v="29"/>
    <x v="2"/>
    <x v="215"/>
    <x v="80"/>
    <x v="5"/>
    <x v="5"/>
  </r>
  <r>
    <x v="1305"/>
    <x v="0"/>
    <x v="27"/>
    <x v="1"/>
    <x v="20"/>
    <x v="2"/>
    <x v="346"/>
    <x v="23"/>
    <x v="3"/>
    <x v="3"/>
  </r>
  <r>
    <x v="1305"/>
    <x v="1"/>
    <x v="89"/>
    <x v="1"/>
    <x v="56"/>
    <x v="1"/>
    <x v="311"/>
    <x v="82"/>
    <x v="0"/>
    <x v="0"/>
  </r>
  <r>
    <x v="1305"/>
    <x v="2"/>
    <x v="78"/>
    <x v="0"/>
    <x v="52"/>
    <x v="0"/>
    <x v="362"/>
    <x v="71"/>
    <x v="1"/>
    <x v="1"/>
  </r>
  <r>
    <x v="1305"/>
    <x v="3"/>
    <x v="41"/>
    <x v="0"/>
    <x v="27"/>
    <x v="0"/>
    <x v="319"/>
    <x v="36"/>
    <x v="1"/>
    <x v="1"/>
  </r>
  <r>
    <x v="1305"/>
    <x v="4"/>
    <x v="11"/>
    <x v="1"/>
    <x v="9"/>
    <x v="1"/>
    <x v="14"/>
    <x v="10"/>
    <x v="4"/>
    <x v="4"/>
  </r>
  <r>
    <x v="1306"/>
    <x v="0"/>
    <x v="81"/>
    <x v="1"/>
    <x v="29"/>
    <x v="1"/>
    <x v="172"/>
    <x v="74"/>
    <x v="5"/>
    <x v="5"/>
  </r>
  <r>
    <x v="1306"/>
    <x v="1"/>
    <x v="29"/>
    <x v="1"/>
    <x v="5"/>
    <x v="0"/>
    <x v="39"/>
    <x v="25"/>
    <x v="6"/>
    <x v="6"/>
  </r>
  <r>
    <x v="1306"/>
    <x v="2"/>
    <x v="79"/>
    <x v="1"/>
    <x v="24"/>
    <x v="0"/>
    <x v="151"/>
    <x v="72"/>
    <x v="0"/>
    <x v="0"/>
  </r>
  <r>
    <x v="1307"/>
    <x v="0"/>
    <x v="59"/>
    <x v="0"/>
    <x v="41"/>
    <x v="2"/>
    <x v="361"/>
    <x v="52"/>
    <x v="6"/>
    <x v="6"/>
  </r>
  <r>
    <x v="1307"/>
    <x v="1"/>
    <x v="79"/>
    <x v="0"/>
    <x v="24"/>
    <x v="0"/>
    <x v="307"/>
    <x v="72"/>
    <x v="0"/>
    <x v="0"/>
  </r>
  <r>
    <x v="1307"/>
    <x v="2"/>
    <x v="15"/>
    <x v="1"/>
    <x v="11"/>
    <x v="1"/>
    <x v="35"/>
    <x v="12"/>
    <x v="0"/>
    <x v="0"/>
  </r>
  <r>
    <x v="1307"/>
    <x v="3"/>
    <x v="28"/>
    <x v="0"/>
    <x v="21"/>
    <x v="0"/>
    <x v="147"/>
    <x v="24"/>
    <x v="6"/>
    <x v="6"/>
  </r>
  <r>
    <x v="1307"/>
    <x v="4"/>
    <x v="33"/>
    <x v="0"/>
    <x v="14"/>
    <x v="1"/>
    <x v="29"/>
    <x v="29"/>
    <x v="1"/>
    <x v="1"/>
  </r>
  <r>
    <x v="1308"/>
    <x v="0"/>
    <x v="105"/>
    <x v="0"/>
    <x v="63"/>
    <x v="2"/>
    <x v="313"/>
    <x v="97"/>
    <x v="0"/>
    <x v="0"/>
  </r>
  <r>
    <x v="1308"/>
    <x v="1"/>
    <x v="108"/>
    <x v="1"/>
    <x v="37"/>
    <x v="0"/>
    <x v="229"/>
    <x v="100"/>
    <x v="5"/>
    <x v="5"/>
  </r>
  <r>
    <x v="1309"/>
    <x v="0"/>
    <x v="64"/>
    <x v="0"/>
    <x v="44"/>
    <x v="0"/>
    <x v="235"/>
    <x v="57"/>
    <x v="6"/>
    <x v="6"/>
  </r>
  <r>
    <x v="1309"/>
    <x v="1"/>
    <x v="104"/>
    <x v="1"/>
    <x v="62"/>
    <x v="0"/>
    <x v="491"/>
    <x v="96"/>
    <x v="0"/>
    <x v="0"/>
  </r>
  <r>
    <x v="1309"/>
    <x v="2"/>
    <x v="16"/>
    <x v="1"/>
    <x v="13"/>
    <x v="3"/>
    <x v="104"/>
    <x v="14"/>
    <x v="2"/>
    <x v="2"/>
  </r>
  <r>
    <x v="1309"/>
    <x v="3"/>
    <x v="59"/>
    <x v="0"/>
    <x v="41"/>
    <x v="0"/>
    <x v="334"/>
    <x v="52"/>
    <x v="6"/>
    <x v="6"/>
  </r>
  <r>
    <x v="1310"/>
    <x v="0"/>
    <x v="79"/>
    <x v="0"/>
    <x v="24"/>
    <x v="3"/>
    <x v="325"/>
    <x v="72"/>
    <x v="0"/>
    <x v="0"/>
  </r>
  <r>
    <x v="1310"/>
    <x v="1"/>
    <x v="78"/>
    <x v="1"/>
    <x v="52"/>
    <x v="1"/>
    <x v="272"/>
    <x v="71"/>
    <x v="1"/>
    <x v="1"/>
  </r>
  <r>
    <x v="1310"/>
    <x v="2"/>
    <x v="97"/>
    <x v="1"/>
    <x v="4"/>
    <x v="3"/>
    <x v="52"/>
    <x v="89"/>
    <x v="1"/>
    <x v="1"/>
  </r>
  <r>
    <x v="1310"/>
    <x v="3"/>
    <x v="41"/>
    <x v="0"/>
    <x v="27"/>
    <x v="3"/>
    <x v="367"/>
    <x v="36"/>
    <x v="1"/>
    <x v="1"/>
  </r>
  <r>
    <x v="1311"/>
    <x v="0"/>
    <x v="50"/>
    <x v="1"/>
    <x v="34"/>
    <x v="2"/>
    <x v="251"/>
    <x v="43"/>
    <x v="0"/>
    <x v="0"/>
  </r>
  <r>
    <x v="1311"/>
    <x v="1"/>
    <x v="15"/>
    <x v="0"/>
    <x v="11"/>
    <x v="0"/>
    <x v="51"/>
    <x v="12"/>
    <x v="0"/>
    <x v="0"/>
  </r>
  <r>
    <x v="1311"/>
    <x v="2"/>
    <x v="0"/>
    <x v="0"/>
    <x v="0"/>
    <x v="1"/>
    <x v="5"/>
    <x v="0"/>
    <x v="0"/>
    <x v="0"/>
  </r>
  <r>
    <x v="1312"/>
    <x v="0"/>
    <x v="85"/>
    <x v="0"/>
    <x v="0"/>
    <x v="0"/>
    <x v="0"/>
    <x v="78"/>
    <x v="0"/>
    <x v="0"/>
  </r>
  <r>
    <x v="1312"/>
    <x v="1"/>
    <x v="57"/>
    <x v="0"/>
    <x v="14"/>
    <x v="0"/>
    <x v="63"/>
    <x v="50"/>
    <x v="1"/>
    <x v="1"/>
  </r>
  <r>
    <x v="1312"/>
    <x v="2"/>
    <x v="79"/>
    <x v="0"/>
    <x v="24"/>
    <x v="1"/>
    <x v="187"/>
    <x v="72"/>
    <x v="0"/>
    <x v="0"/>
  </r>
  <r>
    <x v="1313"/>
    <x v="0"/>
    <x v="58"/>
    <x v="0"/>
    <x v="40"/>
    <x v="1"/>
    <x v="435"/>
    <x v="51"/>
    <x v="6"/>
    <x v="6"/>
  </r>
  <r>
    <x v="1313"/>
    <x v="1"/>
    <x v="31"/>
    <x v="1"/>
    <x v="22"/>
    <x v="2"/>
    <x v="262"/>
    <x v="27"/>
    <x v="0"/>
    <x v="0"/>
  </r>
  <r>
    <x v="1313"/>
    <x v="2"/>
    <x v="49"/>
    <x v="0"/>
    <x v="33"/>
    <x v="3"/>
    <x v="398"/>
    <x v="42"/>
    <x v="5"/>
    <x v="5"/>
  </r>
  <r>
    <x v="1314"/>
    <x v="0"/>
    <x v="77"/>
    <x v="1"/>
    <x v="51"/>
    <x v="1"/>
    <x v="213"/>
    <x v="70"/>
    <x v="3"/>
    <x v="3"/>
  </r>
  <r>
    <x v="1314"/>
    <x v="1"/>
    <x v="67"/>
    <x v="0"/>
    <x v="46"/>
    <x v="2"/>
    <x v="423"/>
    <x v="60"/>
    <x v="1"/>
    <x v="1"/>
  </r>
  <r>
    <x v="1314"/>
    <x v="2"/>
    <x v="24"/>
    <x v="0"/>
    <x v="8"/>
    <x v="3"/>
    <x v="98"/>
    <x v="9"/>
    <x v="3"/>
    <x v="3"/>
  </r>
  <r>
    <x v="1314"/>
    <x v="3"/>
    <x v="8"/>
    <x v="0"/>
    <x v="0"/>
    <x v="1"/>
    <x v="5"/>
    <x v="3"/>
    <x v="3"/>
    <x v="3"/>
  </r>
  <r>
    <x v="1314"/>
    <x v="4"/>
    <x v="3"/>
    <x v="1"/>
    <x v="0"/>
    <x v="0"/>
    <x v="24"/>
    <x v="3"/>
    <x v="0"/>
    <x v="0"/>
  </r>
  <r>
    <x v="1315"/>
    <x v="0"/>
    <x v="35"/>
    <x v="1"/>
    <x v="15"/>
    <x v="3"/>
    <x v="50"/>
    <x v="31"/>
    <x v="0"/>
    <x v="0"/>
  </r>
  <r>
    <x v="1315"/>
    <x v="1"/>
    <x v="45"/>
    <x v="0"/>
    <x v="30"/>
    <x v="3"/>
    <x v="276"/>
    <x v="39"/>
    <x v="5"/>
    <x v="5"/>
  </r>
  <r>
    <x v="1316"/>
    <x v="0"/>
    <x v="90"/>
    <x v="0"/>
    <x v="43"/>
    <x v="3"/>
    <x v="388"/>
    <x v="83"/>
    <x v="0"/>
    <x v="0"/>
  </r>
  <r>
    <x v="1317"/>
    <x v="0"/>
    <x v="90"/>
    <x v="1"/>
    <x v="43"/>
    <x v="0"/>
    <x v="247"/>
    <x v="83"/>
    <x v="0"/>
    <x v="0"/>
  </r>
  <r>
    <x v="1317"/>
    <x v="1"/>
    <x v="37"/>
    <x v="1"/>
    <x v="25"/>
    <x v="0"/>
    <x v="165"/>
    <x v="33"/>
    <x v="2"/>
    <x v="2"/>
  </r>
  <r>
    <x v="1317"/>
    <x v="2"/>
    <x v="103"/>
    <x v="0"/>
    <x v="38"/>
    <x v="0"/>
    <x v="314"/>
    <x v="95"/>
    <x v="3"/>
    <x v="3"/>
  </r>
  <r>
    <x v="1317"/>
    <x v="3"/>
    <x v="102"/>
    <x v="0"/>
    <x v="30"/>
    <x v="1"/>
    <x v="158"/>
    <x v="94"/>
    <x v="5"/>
    <x v="5"/>
  </r>
  <r>
    <x v="1318"/>
    <x v="0"/>
    <x v="85"/>
    <x v="0"/>
    <x v="0"/>
    <x v="1"/>
    <x v="5"/>
    <x v="78"/>
    <x v="0"/>
    <x v="0"/>
  </r>
  <r>
    <x v="1318"/>
    <x v="1"/>
    <x v="87"/>
    <x v="0"/>
    <x v="29"/>
    <x v="0"/>
    <x v="344"/>
    <x v="80"/>
    <x v="5"/>
    <x v="5"/>
  </r>
  <r>
    <x v="1319"/>
    <x v="0"/>
    <x v="77"/>
    <x v="0"/>
    <x v="51"/>
    <x v="3"/>
    <x v="249"/>
    <x v="70"/>
    <x v="3"/>
    <x v="3"/>
  </r>
  <r>
    <x v="1319"/>
    <x v="1"/>
    <x v="101"/>
    <x v="0"/>
    <x v="30"/>
    <x v="2"/>
    <x v="338"/>
    <x v="93"/>
    <x v="5"/>
    <x v="5"/>
  </r>
  <r>
    <x v="1319"/>
    <x v="2"/>
    <x v="40"/>
    <x v="1"/>
    <x v="15"/>
    <x v="0"/>
    <x v="33"/>
    <x v="35"/>
    <x v="5"/>
    <x v="5"/>
  </r>
  <r>
    <x v="1320"/>
    <x v="0"/>
    <x v="98"/>
    <x v="0"/>
    <x v="14"/>
    <x v="3"/>
    <x v="107"/>
    <x v="90"/>
    <x v="1"/>
    <x v="1"/>
  </r>
  <r>
    <x v="1320"/>
    <x v="1"/>
    <x v="92"/>
    <x v="0"/>
    <x v="24"/>
    <x v="3"/>
    <x v="325"/>
    <x v="72"/>
    <x v="3"/>
    <x v="3"/>
  </r>
  <r>
    <x v="1320"/>
    <x v="2"/>
    <x v="16"/>
    <x v="1"/>
    <x v="13"/>
    <x v="3"/>
    <x v="104"/>
    <x v="14"/>
    <x v="2"/>
    <x v="2"/>
  </r>
  <r>
    <x v="1321"/>
    <x v="0"/>
    <x v="76"/>
    <x v="1"/>
    <x v="50"/>
    <x v="2"/>
    <x v="449"/>
    <x v="69"/>
    <x v="1"/>
    <x v="1"/>
  </r>
  <r>
    <x v="1321"/>
    <x v="1"/>
    <x v="77"/>
    <x v="1"/>
    <x v="51"/>
    <x v="2"/>
    <x v="455"/>
    <x v="70"/>
    <x v="3"/>
    <x v="3"/>
  </r>
  <r>
    <x v="1322"/>
    <x v="0"/>
    <x v="97"/>
    <x v="1"/>
    <x v="4"/>
    <x v="1"/>
    <x v="13"/>
    <x v="89"/>
    <x v="1"/>
    <x v="1"/>
  </r>
  <r>
    <x v="1322"/>
    <x v="1"/>
    <x v="0"/>
    <x v="0"/>
    <x v="0"/>
    <x v="2"/>
    <x v="7"/>
    <x v="0"/>
    <x v="0"/>
    <x v="0"/>
  </r>
  <r>
    <x v="1322"/>
    <x v="2"/>
    <x v="63"/>
    <x v="0"/>
    <x v="43"/>
    <x v="2"/>
    <x v="178"/>
    <x v="56"/>
    <x v="0"/>
    <x v="0"/>
  </r>
  <r>
    <x v="1323"/>
    <x v="0"/>
    <x v="82"/>
    <x v="0"/>
    <x v="34"/>
    <x v="3"/>
    <x v="173"/>
    <x v="75"/>
    <x v="0"/>
    <x v="0"/>
  </r>
  <r>
    <x v="1323"/>
    <x v="1"/>
    <x v="110"/>
    <x v="1"/>
    <x v="50"/>
    <x v="0"/>
    <x v="312"/>
    <x v="102"/>
    <x v="1"/>
    <x v="1"/>
  </r>
  <r>
    <x v="1323"/>
    <x v="2"/>
    <x v="111"/>
    <x v="0"/>
    <x v="65"/>
    <x v="3"/>
    <x v="492"/>
    <x v="103"/>
    <x v="0"/>
    <x v="0"/>
  </r>
  <r>
    <x v="1323"/>
    <x v="3"/>
    <x v="5"/>
    <x v="0"/>
    <x v="4"/>
    <x v="0"/>
    <x v="90"/>
    <x v="5"/>
    <x v="1"/>
    <x v="1"/>
  </r>
  <r>
    <x v="1324"/>
    <x v="0"/>
    <x v="112"/>
    <x v="0"/>
    <x v="9"/>
    <x v="2"/>
    <x v="121"/>
    <x v="104"/>
    <x v="1"/>
    <x v="1"/>
  </r>
  <r>
    <x v="1324"/>
    <x v="1"/>
    <x v="113"/>
    <x v="0"/>
    <x v="65"/>
    <x v="2"/>
    <x v="493"/>
    <x v="105"/>
    <x v="0"/>
    <x v="0"/>
  </r>
  <r>
    <x v="1324"/>
    <x v="2"/>
    <x v="114"/>
    <x v="0"/>
    <x v="9"/>
    <x v="3"/>
    <x v="128"/>
    <x v="106"/>
    <x v="2"/>
    <x v="2"/>
  </r>
  <r>
    <x v="1324"/>
    <x v="3"/>
    <x v="76"/>
    <x v="0"/>
    <x v="50"/>
    <x v="1"/>
    <x v="202"/>
    <x v="69"/>
    <x v="1"/>
    <x v="1"/>
  </r>
  <r>
    <x v="1325"/>
    <x v="0"/>
    <x v="115"/>
    <x v="1"/>
    <x v="66"/>
    <x v="1"/>
    <x v="494"/>
    <x v="107"/>
    <x v="4"/>
    <x v="4"/>
  </r>
  <r>
    <x v="1325"/>
    <x v="1"/>
    <x v="116"/>
    <x v="1"/>
    <x v="67"/>
    <x v="1"/>
    <x v="495"/>
    <x v="108"/>
    <x v="5"/>
    <x v="5"/>
  </r>
  <r>
    <x v="1326"/>
    <x v="0"/>
    <x v="117"/>
    <x v="1"/>
    <x v="68"/>
    <x v="1"/>
    <x v="496"/>
    <x v="109"/>
    <x v="6"/>
    <x v="6"/>
  </r>
  <r>
    <x v="1326"/>
    <x v="1"/>
    <x v="111"/>
    <x v="1"/>
    <x v="65"/>
    <x v="3"/>
    <x v="497"/>
    <x v="103"/>
    <x v="0"/>
    <x v="0"/>
  </r>
  <r>
    <x v="1326"/>
    <x v="2"/>
    <x v="74"/>
    <x v="1"/>
    <x v="42"/>
    <x v="3"/>
    <x v="428"/>
    <x v="67"/>
    <x v="6"/>
    <x v="6"/>
  </r>
  <r>
    <x v="1326"/>
    <x v="3"/>
    <x v="118"/>
    <x v="0"/>
    <x v="69"/>
    <x v="0"/>
    <x v="498"/>
    <x v="110"/>
    <x v="6"/>
    <x v="6"/>
  </r>
  <r>
    <x v="1327"/>
    <x v="0"/>
    <x v="119"/>
    <x v="0"/>
    <x v="5"/>
    <x v="1"/>
    <x v="116"/>
    <x v="111"/>
    <x v="0"/>
    <x v="0"/>
  </r>
  <r>
    <x v="1327"/>
    <x v="1"/>
    <x v="120"/>
    <x v="1"/>
    <x v="69"/>
    <x v="3"/>
    <x v="499"/>
    <x v="112"/>
    <x v="1"/>
    <x v="1"/>
  </r>
  <r>
    <x v="1327"/>
    <x v="2"/>
    <x v="121"/>
    <x v="0"/>
    <x v="70"/>
    <x v="1"/>
    <x v="500"/>
    <x v="113"/>
    <x v="0"/>
    <x v="0"/>
  </r>
  <r>
    <x v="1327"/>
    <x v="3"/>
    <x v="122"/>
    <x v="0"/>
    <x v="5"/>
    <x v="3"/>
    <x v="92"/>
    <x v="111"/>
    <x v="3"/>
    <x v="3"/>
  </r>
  <r>
    <x v="1327"/>
    <x v="4"/>
    <x v="123"/>
    <x v="0"/>
    <x v="0"/>
    <x v="3"/>
    <x v="12"/>
    <x v="114"/>
    <x v="0"/>
    <x v="0"/>
  </r>
  <r>
    <x v="1328"/>
    <x v="0"/>
    <x v="124"/>
    <x v="0"/>
    <x v="56"/>
    <x v="1"/>
    <x v="297"/>
    <x v="115"/>
    <x v="6"/>
    <x v="6"/>
  </r>
  <r>
    <x v="1328"/>
    <x v="1"/>
    <x v="92"/>
    <x v="0"/>
    <x v="24"/>
    <x v="2"/>
    <x v="205"/>
    <x v="72"/>
    <x v="3"/>
    <x v="3"/>
  </r>
  <r>
    <x v="1328"/>
    <x v="2"/>
    <x v="66"/>
    <x v="0"/>
    <x v="45"/>
    <x v="1"/>
    <x v="310"/>
    <x v="59"/>
    <x v="6"/>
    <x v="6"/>
  </r>
  <r>
    <x v="1328"/>
    <x v="3"/>
    <x v="125"/>
    <x v="1"/>
    <x v="70"/>
    <x v="0"/>
    <x v="501"/>
    <x v="116"/>
    <x v="5"/>
    <x v="5"/>
  </r>
  <r>
    <x v="1328"/>
    <x v="4"/>
    <x v="17"/>
    <x v="0"/>
    <x v="11"/>
    <x v="3"/>
    <x v="21"/>
    <x v="15"/>
    <x v="0"/>
    <x v="0"/>
  </r>
  <r>
    <x v="1329"/>
    <x v="0"/>
    <x v="126"/>
    <x v="0"/>
    <x v="71"/>
    <x v="0"/>
    <x v="502"/>
    <x v="117"/>
    <x v="0"/>
    <x v="0"/>
  </r>
  <r>
    <x v="1329"/>
    <x v="1"/>
    <x v="127"/>
    <x v="1"/>
    <x v="72"/>
    <x v="2"/>
    <x v="503"/>
    <x v="118"/>
    <x v="0"/>
    <x v="0"/>
  </r>
  <r>
    <x v="1329"/>
    <x v="2"/>
    <x v="128"/>
    <x v="1"/>
    <x v="73"/>
    <x v="0"/>
    <x v="504"/>
    <x v="119"/>
    <x v="0"/>
    <x v="0"/>
  </r>
  <r>
    <x v="1329"/>
    <x v="3"/>
    <x v="48"/>
    <x v="1"/>
    <x v="26"/>
    <x v="2"/>
    <x v="162"/>
    <x v="34"/>
    <x v="3"/>
    <x v="3"/>
  </r>
  <r>
    <x v="1329"/>
    <x v="4"/>
    <x v="129"/>
    <x v="0"/>
    <x v="74"/>
    <x v="3"/>
    <x v="505"/>
    <x v="120"/>
    <x v="5"/>
    <x v="5"/>
  </r>
  <r>
    <x v="1330"/>
    <x v="0"/>
    <x v="130"/>
    <x v="0"/>
    <x v="44"/>
    <x v="2"/>
    <x v="227"/>
    <x v="121"/>
    <x v="0"/>
    <x v="0"/>
  </r>
  <r>
    <x v="1330"/>
    <x v="1"/>
    <x v="131"/>
    <x v="0"/>
    <x v="75"/>
    <x v="2"/>
    <x v="506"/>
    <x v="122"/>
    <x v="5"/>
    <x v="5"/>
  </r>
  <r>
    <x v="1330"/>
    <x v="2"/>
    <x v="132"/>
    <x v="1"/>
    <x v="1"/>
    <x v="3"/>
    <x v="96"/>
    <x v="123"/>
    <x v="6"/>
    <x v="6"/>
  </r>
  <r>
    <x v="1330"/>
    <x v="3"/>
    <x v="133"/>
    <x v="0"/>
    <x v="62"/>
    <x v="0"/>
    <x v="403"/>
    <x v="124"/>
    <x v="3"/>
    <x v="3"/>
  </r>
  <r>
    <x v="1331"/>
    <x v="0"/>
    <x v="134"/>
    <x v="0"/>
    <x v="75"/>
    <x v="0"/>
    <x v="507"/>
    <x v="125"/>
    <x v="5"/>
    <x v="5"/>
  </r>
  <r>
    <x v="1331"/>
    <x v="1"/>
    <x v="101"/>
    <x v="1"/>
    <x v="30"/>
    <x v="2"/>
    <x v="211"/>
    <x v="93"/>
    <x v="5"/>
    <x v="5"/>
  </r>
  <r>
    <x v="1331"/>
    <x v="2"/>
    <x v="135"/>
    <x v="1"/>
    <x v="69"/>
    <x v="1"/>
    <x v="508"/>
    <x v="126"/>
    <x v="6"/>
    <x v="6"/>
  </r>
  <r>
    <x v="1331"/>
    <x v="3"/>
    <x v="136"/>
    <x v="0"/>
    <x v="74"/>
    <x v="3"/>
    <x v="505"/>
    <x v="127"/>
    <x v="5"/>
    <x v="5"/>
  </r>
  <r>
    <x v="1332"/>
    <x v="0"/>
    <x v="137"/>
    <x v="1"/>
    <x v="23"/>
    <x v="2"/>
    <x v="244"/>
    <x v="128"/>
    <x v="4"/>
    <x v="4"/>
  </r>
  <r>
    <x v="1332"/>
    <x v="1"/>
    <x v="138"/>
    <x v="1"/>
    <x v="72"/>
    <x v="3"/>
    <x v="509"/>
    <x v="129"/>
    <x v="3"/>
    <x v="3"/>
  </r>
  <r>
    <x v="1332"/>
    <x v="2"/>
    <x v="40"/>
    <x v="1"/>
    <x v="15"/>
    <x v="3"/>
    <x v="50"/>
    <x v="35"/>
    <x v="5"/>
    <x v="5"/>
  </r>
  <r>
    <x v="1332"/>
    <x v="3"/>
    <x v="10"/>
    <x v="0"/>
    <x v="8"/>
    <x v="2"/>
    <x v="101"/>
    <x v="9"/>
    <x v="0"/>
    <x v="0"/>
  </r>
  <r>
    <x v="1332"/>
    <x v="4"/>
    <x v="46"/>
    <x v="0"/>
    <x v="31"/>
    <x v="3"/>
    <x v="295"/>
    <x v="40"/>
    <x v="0"/>
    <x v="0"/>
  </r>
  <r>
    <x v="1333"/>
    <x v="0"/>
    <x v="139"/>
    <x v="1"/>
    <x v="23"/>
    <x v="2"/>
    <x v="244"/>
    <x v="130"/>
    <x v="4"/>
    <x v="4"/>
  </r>
  <r>
    <x v="1333"/>
    <x v="1"/>
    <x v="140"/>
    <x v="1"/>
    <x v="76"/>
    <x v="1"/>
    <x v="510"/>
    <x v="131"/>
    <x v="6"/>
    <x v="6"/>
  </r>
  <r>
    <x v="1333"/>
    <x v="2"/>
    <x v="73"/>
    <x v="1"/>
    <x v="49"/>
    <x v="3"/>
    <x v="511"/>
    <x v="66"/>
    <x v="5"/>
    <x v="5"/>
  </r>
  <r>
    <x v="1333"/>
    <x v="3"/>
    <x v="17"/>
    <x v="0"/>
    <x v="11"/>
    <x v="2"/>
    <x v="18"/>
    <x v="15"/>
    <x v="0"/>
    <x v="0"/>
  </r>
  <r>
    <x v="1333"/>
    <x v="4"/>
    <x v="41"/>
    <x v="0"/>
    <x v="27"/>
    <x v="2"/>
    <x v="258"/>
    <x v="36"/>
    <x v="1"/>
    <x v="1"/>
  </r>
  <r>
    <x v="1334"/>
    <x v="0"/>
    <x v="141"/>
    <x v="1"/>
    <x v="77"/>
    <x v="2"/>
    <x v="512"/>
    <x v="132"/>
    <x v="1"/>
    <x v="1"/>
  </r>
  <r>
    <x v="1335"/>
    <x v="0"/>
    <x v="61"/>
    <x v="1"/>
    <x v="4"/>
    <x v="0"/>
    <x v="73"/>
    <x v="54"/>
    <x v="1"/>
    <x v="1"/>
  </r>
  <r>
    <x v="1335"/>
    <x v="1"/>
    <x v="142"/>
    <x v="0"/>
    <x v="53"/>
    <x v="2"/>
    <x v="365"/>
    <x v="133"/>
    <x v="6"/>
    <x v="6"/>
  </r>
  <r>
    <x v="1335"/>
    <x v="2"/>
    <x v="20"/>
    <x v="1"/>
    <x v="11"/>
    <x v="1"/>
    <x v="35"/>
    <x v="15"/>
    <x v="5"/>
    <x v="5"/>
  </r>
  <r>
    <x v="1335"/>
    <x v="3"/>
    <x v="143"/>
    <x v="0"/>
    <x v="12"/>
    <x v="3"/>
    <x v="40"/>
    <x v="134"/>
    <x v="2"/>
    <x v="2"/>
  </r>
  <r>
    <x v="1335"/>
    <x v="4"/>
    <x v="144"/>
    <x v="0"/>
    <x v="66"/>
    <x v="3"/>
    <x v="513"/>
    <x v="135"/>
    <x v="4"/>
    <x v="4"/>
  </r>
  <r>
    <x v="1336"/>
    <x v="0"/>
    <x v="145"/>
    <x v="0"/>
    <x v="23"/>
    <x v="3"/>
    <x v="253"/>
    <x v="136"/>
    <x v="6"/>
    <x v="6"/>
  </r>
  <r>
    <x v="1337"/>
    <x v="0"/>
    <x v="146"/>
    <x v="1"/>
    <x v="53"/>
    <x v="1"/>
    <x v="208"/>
    <x v="137"/>
    <x v="6"/>
    <x v="6"/>
  </r>
  <r>
    <x v="1338"/>
    <x v="0"/>
    <x v="147"/>
    <x v="0"/>
    <x v="41"/>
    <x v="1"/>
    <x v="339"/>
    <x v="138"/>
    <x v="6"/>
    <x v="6"/>
  </r>
  <r>
    <x v="1339"/>
    <x v="0"/>
    <x v="130"/>
    <x v="0"/>
    <x v="44"/>
    <x v="0"/>
    <x v="235"/>
    <x v="121"/>
    <x v="0"/>
    <x v="0"/>
  </r>
  <r>
    <x v="1339"/>
    <x v="1"/>
    <x v="102"/>
    <x v="1"/>
    <x v="30"/>
    <x v="0"/>
    <x v="266"/>
    <x v="94"/>
    <x v="5"/>
    <x v="5"/>
  </r>
  <r>
    <x v="1339"/>
    <x v="2"/>
    <x v="148"/>
    <x v="1"/>
    <x v="78"/>
    <x v="2"/>
    <x v="514"/>
    <x v="139"/>
    <x v="0"/>
    <x v="0"/>
  </r>
  <r>
    <x v="1340"/>
    <x v="0"/>
    <x v="149"/>
    <x v="1"/>
    <x v="5"/>
    <x v="1"/>
    <x v="130"/>
    <x v="140"/>
    <x v="0"/>
    <x v="0"/>
  </r>
  <r>
    <x v="1340"/>
    <x v="1"/>
    <x v="28"/>
    <x v="1"/>
    <x v="21"/>
    <x v="0"/>
    <x v="410"/>
    <x v="24"/>
    <x v="6"/>
    <x v="6"/>
  </r>
  <r>
    <x v="1340"/>
    <x v="2"/>
    <x v="150"/>
    <x v="1"/>
    <x v="65"/>
    <x v="2"/>
    <x v="515"/>
    <x v="141"/>
    <x v="0"/>
    <x v="0"/>
  </r>
  <r>
    <x v="1340"/>
    <x v="3"/>
    <x v="82"/>
    <x v="1"/>
    <x v="34"/>
    <x v="2"/>
    <x v="251"/>
    <x v="75"/>
    <x v="0"/>
    <x v="0"/>
  </r>
  <r>
    <x v="1341"/>
    <x v="0"/>
    <x v="91"/>
    <x v="0"/>
    <x v="57"/>
    <x v="2"/>
    <x v="335"/>
    <x v="84"/>
    <x v="4"/>
    <x v="4"/>
  </r>
  <r>
    <x v="1341"/>
    <x v="1"/>
    <x v="151"/>
    <x v="0"/>
    <x v="30"/>
    <x v="2"/>
    <x v="338"/>
    <x v="142"/>
    <x v="5"/>
    <x v="5"/>
  </r>
  <r>
    <x v="1342"/>
    <x v="0"/>
    <x v="152"/>
    <x v="0"/>
    <x v="79"/>
    <x v="2"/>
    <x v="516"/>
    <x v="143"/>
    <x v="0"/>
    <x v="0"/>
  </r>
  <r>
    <x v="1342"/>
    <x v="1"/>
    <x v="40"/>
    <x v="0"/>
    <x v="15"/>
    <x v="2"/>
    <x v="115"/>
    <x v="35"/>
    <x v="5"/>
    <x v="5"/>
  </r>
  <r>
    <x v="1342"/>
    <x v="2"/>
    <x v="153"/>
    <x v="1"/>
    <x v="25"/>
    <x v="0"/>
    <x v="165"/>
    <x v="144"/>
    <x v="6"/>
    <x v="6"/>
  </r>
  <r>
    <x v="1342"/>
    <x v="3"/>
    <x v="105"/>
    <x v="1"/>
    <x v="63"/>
    <x v="0"/>
    <x v="384"/>
    <x v="97"/>
    <x v="0"/>
    <x v="0"/>
  </r>
  <r>
    <x v="1342"/>
    <x v="4"/>
    <x v="154"/>
    <x v="0"/>
    <x v="80"/>
    <x v="3"/>
    <x v="517"/>
    <x v="145"/>
    <x v="2"/>
    <x v="2"/>
  </r>
  <r>
    <x v="1343"/>
    <x v="0"/>
    <x v="104"/>
    <x v="1"/>
    <x v="62"/>
    <x v="1"/>
    <x v="278"/>
    <x v="96"/>
    <x v="0"/>
    <x v="0"/>
  </r>
  <r>
    <x v="1343"/>
    <x v="1"/>
    <x v="27"/>
    <x v="1"/>
    <x v="20"/>
    <x v="0"/>
    <x v="238"/>
    <x v="23"/>
    <x v="3"/>
    <x v="3"/>
  </r>
  <r>
    <x v="1343"/>
    <x v="2"/>
    <x v="5"/>
    <x v="0"/>
    <x v="4"/>
    <x v="1"/>
    <x v="133"/>
    <x v="5"/>
    <x v="1"/>
    <x v="1"/>
  </r>
  <r>
    <x v="1343"/>
    <x v="3"/>
    <x v="32"/>
    <x v="0"/>
    <x v="23"/>
    <x v="1"/>
    <x v="193"/>
    <x v="28"/>
    <x v="4"/>
    <x v="4"/>
  </r>
  <r>
    <x v="1344"/>
    <x v="0"/>
    <x v="95"/>
    <x v="1"/>
    <x v="23"/>
    <x v="0"/>
    <x v="377"/>
    <x v="87"/>
    <x v="1"/>
    <x v="1"/>
  </r>
  <r>
    <x v="1344"/>
    <x v="1"/>
    <x v="155"/>
    <x v="1"/>
    <x v="41"/>
    <x v="2"/>
    <x v="176"/>
    <x v="146"/>
    <x v="6"/>
    <x v="6"/>
  </r>
  <r>
    <x v="1344"/>
    <x v="2"/>
    <x v="156"/>
    <x v="1"/>
    <x v="2"/>
    <x v="0"/>
    <x v="54"/>
    <x v="147"/>
    <x v="6"/>
    <x v="6"/>
  </r>
  <r>
    <x v="1344"/>
    <x v="3"/>
    <x v="6"/>
    <x v="1"/>
    <x v="5"/>
    <x v="0"/>
    <x v="39"/>
    <x v="6"/>
    <x v="1"/>
    <x v="1"/>
  </r>
  <r>
    <x v="1345"/>
    <x v="0"/>
    <x v="157"/>
    <x v="1"/>
    <x v="42"/>
    <x v="2"/>
    <x v="199"/>
    <x v="148"/>
    <x v="1"/>
    <x v="1"/>
  </r>
  <r>
    <x v="1345"/>
    <x v="1"/>
    <x v="158"/>
    <x v="0"/>
    <x v="76"/>
    <x v="2"/>
    <x v="518"/>
    <x v="149"/>
    <x v="6"/>
    <x v="6"/>
  </r>
  <r>
    <x v="1345"/>
    <x v="2"/>
    <x v="9"/>
    <x v="1"/>
    <x v="7"/>
    <x v="2"/>
    <x v="32"/>
    <x v="8"/>
    <x v="0"/>
    <x v="0"/>
  </r>
  <r>
    <x v="1345"/>
    <x v="3"/>
    <x v="159"/>
    <x v="0"/>
    <x v="5"/>
    <x v="3"/>
    <x v="92"/>
    <x v="150"/>
    <x v="0"/>
    <x v="0"/>
  </r>
  <r>
    <x v="1345"/>
    <x v="4"/>
    <x v="160"/>
    <x v="1"/>
    <x v="81"/>
    <x v="0"/>
    <x v="519"/>
    <x v="151"/>
    <x v="5"/>
    <x v="5"/>
  </r>
  <r>
    <x v="1346"/>
    <x v="0"/>
    <x v="52"/>
    <x v="1"/>
    <x v="28"/>
    <x v="1"/>
    <x v="156"/>
    <x v="45"/>
    <x v="1"/>
    <x v="1"/>
  </r>
  <r>
    <x v="1346"/>
    <x v="1"/>
    <x v="29"/>
    <x v="0"/>
    <x v="5"/>
    <x v="2"/>
    <x v="132"/>
    <x v="25"/>
    <x v="6"/>
    <x v="6"/>
  </r>
  <r>
    <x v="1347"/>
    <x v="0"/>
    <x v="139"/>
    <x v="0"/>
    <x v="23"/>
    <x v="2"/>
    <x v="292"/>
    <x v="130"/>
    <x v="4"/>
    <x v="4"/>
  </r>
  <r>
    <x v="1347"/>
    <x v="1"/>
    <x v="161"/>
    <x v="0"/>
    <x v="21"/>
    <x v="2"/>
    <x v="347"/>
    <x v="152"/>
    <x v="6"/>
    <x v="6"/>
  </r>
  <r>
    <x v="1347"/>
    <x v="2"/>
    <x v="71"/>
    <x v="1"/>
    <x v="23"/>
    <x v="3"/>
    <x v="149"/>
    <x v="64"/>
    <x v="6"/>
    <x v="6"/>
  </r>
  <r>
    <x v="1347"/>
    <x v="3"/>
    <x v="162"/>
    <x v="0"/>
    <x v="1"/>
    <x v="1"/>
    <x v="31"/>
    <x v="153"/>
    <x v="6"/>
    <x v="6"/>
  </r>
  <r>
    <x v="1348"/>
    <x v="0"/>
    <x v="141"/>
    <x v="1"/>
    <x v="77"/>
    <x v="2"/>
    <x v="512"/>
    <x v="132"/>
    <x v="1"/>
    <x v="1"/>
  </r>
  <r>
    <x v="1348"/>
    <x v="1"/>
    <x v="137"/>
    <x v="1"/>
    <x v="23"/>
    <x v="1"/>
    <x v="179"/>
    <x v="128"/>
    <x v="4"/>
    <x v="4"/>
  </r>
  <r>
    <x v="1348"/>
    <x v="2"/>
    <x v="163"/>
    <x v="1"/>
    <x v="2"/>
    <x v="0"/>
    <x v="54"/>
    <x v="154"/>
    <x v="6"/>
    <x v="6"/>
  </r>
  <r>
    <x v="1348"/>
    <x v="3"/>
    <x v="153"/>
    <x v="0"/>
    <x v="25"/>
    <x v="0"/>
    <x v="152"/>
    <x v="144"/>
    <x v="6"/>
    <x v="6"/>
  </r>
  <r>
    <x v="1349"/>
    <x v="0"/>
    <x v="164"/>
    <x v="0"/>
    <x v="5"/>
    <x v="3"/>
    <x v="92"/>
    <x v="155"/>
    <x v="3"/>
    <x v="3"/>
  </r>
  <r>
    <x v="1349"/>
    <x v="1"/>
    <x v="165"/>
    <x v="0"/>
    <x v="44"/>
    <x v="1"/>
    <x v="520"/>
    <x v="156"/>
    <x v="0"/>
    <x v="0"/>
  </r>
  <r>
    <x v="1349"/>
    <x v="2"/>
    <x v="130"/>
    <x v="0"/>
    <x v="44"/>
    <x v="1"/>
    <x v="520"/>
    <x v="121"/>
    <x v="0"/>
    <x v="0"/>
  </r>
  <r>
    <x v="1349"/>
    <x v="3"/>
    <x v="166"/>
    <x v="0"/>
    <x v="27"/>
    <x v="2"/>
    <x v="258"/>
    <x v="157"/>
    <x v="6"/>
    <x v="6"/>
  </r>
  <r>
    <x v="1349"/>
    <x v="4"/>
    <x v="17"/>
    <x v="1"/>
    <x v="11"/>
    <x v="0"/>
    <x v="78"/>
    <x v="15"/>
    <x v="0"/>
    <x v="0"/>
  </r>
  <r>
    <x v="1350"/>
    <x v="0"/>
    <x v="167"/>
    <x v="1"/>
    <x v="74"/>
    <x v="0"/>
    <x v="521"/>
    <x v="158"/>
    <x v="5"/>
    <x v="5"/>
  </r>
  <r>
    <x v="1350"/>
    <x v="1"/>
    <x v="168"/>
    <x v="0"/>
    <x v="42"/>
    <x v="3"/>
    <x v="404"/>
    <x v="159"/>
    <x v="1"/>
    <x v="1"/>
  </r>
  <r>
    <x v="1351"/>
    <x v="0"/>
    <x v="169"/>
    <x v="0"/>
    <x v="1"/>
    <x v="0"/>
    <x v="34"/>
    <x v="160"/>
    <x v="1"/>
    <x v="1"/>
  </r>
  <r>
    <x v="1351"/>
    <x v="1"/>
    <x v="58"/>
    <x v="1"/>
    <x v="40"/>
    <x v="3"/>
    <x v="431"/>
    <x v="51"/>
    <x v="6"/>
    <x v="6"/>
  </r>
  <r>
    <x v="1351"/>
    <x v="2"/>
    <x v="129"/>
    <x v="1"/>
    <x v="74"/>
    <x v="3"/>
    <x v="522"/>
    <x v="120"/>
    <x v="5"/>
    <x v="5"/>
  </r>
  <r>
    <x v="1351"/>
    <x v="3"/>
    <x v="106"/>
    <x v="1"/>
    <x v="39"/>
    <x v="0"/>
    <x v="355"/>
    <x v="98"/>
    <x v="5"/>
    <x v="5"/>
  </r>
  <r>
    <x v="1351"/>
    <x v="4"/>
    <x v="96"/>
    <x v="0"/>
    <x v="26"/>
    <x v="2"/>
    <x v="275"/>
    <x v="88"/>
    <x v="5"/>
    <x v="5"/>
  </r>
  <r>
    <x v="1352"/>
    <x v="0"/>
    <x v="92"/>
    <x v="1"/>
    <x v="24"/>
    <x v="2"/>
    <x v="293"/>
    <x v="72"/>
    <x v="3"/>
    <x v="3"/>
  </r>
  <r>
    <x v="1352"/>
    <x v="1"/>
    <x v="170"/>
    <x v="0"/>
    <x v="82"/>
    <x v="1"/>
    <x v="523"/>
    <x v="161"/>
    <x v="0"/>
    <x v="0"/>
  </r>
  <r>
    <x v="1352"/>
    <x v="2"/>
    <x v="133"/>
    <x v="0"/>
    <x v="62"/>
    <x v="0"/>
    <x v="403"/>
    <x v="124"/>
    <x v="3"/>
    <x v="3"/>
  </r>
  <r>
    <x v="1352"/>
    <x v="3"/>
    <x v="106"/>
    <x v="1"/>
    <x v="39"/>
    <x v="2"/>
    <x v="219"/>
    <x v="98"/>
    <x v="5"/>
    <x v="5"/>
  </r>
  <r>
    <x v="1353"/>
    <x v="0"/>
    <x v="171"/>
    <x v="1"/>
    <x v="5"/>
    <x v="1"/>
    <x v="130"/>
    <x v="162"/>
    <x v="6"/>
    <x v="6"/>
  </r>
  <r>
    <x v="1354"/>
    <x v="0"/>
    <x v="167"/>
    <x v="0"/>
    <x v="74"/>
    <x v="3"/>
    <x v="505"/>
    <x v="158"/>
    <x v="5"/>
    <x v="5"/>
  </r>
  <r>
    <x v="1354"/>
    <x v="1"/>
    <x v="130"/>
    <x v="0"/>
    <x v="44"/>
    <x v="1"/>
    <x v="520"/>
    <x v="121"/>
    <x v="0"/>
    <x v="0"/>
  </r>
  <r>
    <x v="1354"/>
    <x v="2"/>
    <x v="172"/>
    <x v="0"/>
    <x v="83"/>
    <x v="0"/>
    <x v="524"/>
    <x v="163"/>
    <x v="6"/>
    <x v="6"/>
  </r>
  <r>
    <x v="1354"/>
    <x v="3"/>
    <x v="173"/>
    <x v="1"/>
    <x v="19"/>
    <x v="3"/>
    <x v="145"/>
    <x v="164"/>
    <x v="3"/>
    <x v="3"/>
  </r>
  <r>
    <x v="1355"/>
    <x v="0"/>
    <x v="174"/>
    <x v="0"/>
    <x v="44"/>
    <x v="2"/>
    <x v="227"/>
    <x v="156"/>
    <x v="4"/>
    <x v="4"/>
  </r>
  <r>
    <x v="1355"/>
    <x v="1"/>
    <x v="175"/>
    <x v="1"/>
    <x v="9"/>
    <x v="3"/>
    <x v="42"/>
    <x v="165"/>
    <x v="4"/>
    <x v="4"/>
  </r>
  <r>
    <x v="1355"/>
    <x v="2"/>
    <x v="176"/>
    <x v="1"/>
    <x v="70"/>
    <x v="3"/>
    <x v="525"/>
    <x v="166"/>
    <x v="5"/>
    <x v="5"/>
  </r>
  <r>
    <x v="1356"/>
    <x v="0"/>
    <x v="132"/>
    <x v="1"/>
    <x v="1"/>
    <x v="0"/>
    <x v="82"/>
    <x v="123"/>
    <x v="6"/>
    <x v="6"/>
  </r>
  <r>
    <x v="1356"/>
    <x v="1"/>
    <x v="91"/>
    <x v="0"/>
    <x v="57"/>
    <x v="0"/>
    <x v="254"/>
    <x v="84"/>
    <x v="4"/>
    <x v="4"/>
  </r>
  <r>
    <x v="1356"/>
    <x v="2"/>
    <x v="177"/>
    <x v="0"/>
    <x v="69"/>
    <x v="0"/>
    <x v="498"/>
    <x v="167"/>
    <x v="1"/>
    <x v="1"/>
  </r>
  <r>
    <x v="1357"/>
    <x v="0"/>
    <x v="113"/>
    <x v="1"/>
    <x v="65"/>
    <x v="0"/>
    <x v="526"/>
    <x v="105"/>
    <x v="0"/>
    <x v="0"/>
  </r>
  <r>
    <x v="1358"/>
    <x v="0"/>
    <x v="129"/>
    <x v="0"/>
    <x v="74"/>
    <x v="2"/>
    <x v="527"/>
    <x v="120"/>
    <x v="5"/>
    <x v="5"/>
  </r>
  <r>
    <x v="1358"/>
    <x v="1"/>
    <x v="90"/>
    <x v="0"/>
    <x v="43"/>
    <x v="2"/>
    <x v="178"/>
    <x v="83"/>
    <x v="0"/>
    <x v="0"/>
  </r>
  <r>
    <x v="1359"/>
    <x v="0"/>
    <x v="93"/>
    <x v="0"/>
    <x v="58"/>
    <x v="2"/>
    <x v="528"/>
    <x v="85"/>
    <x v="1"/>
    <x v="1"/>
  </r>
  <r>
    <x v="1360"/>
    <x v="0"/>
    <x v="178"/>
    <x v="1"/>
    <x v="5"/>
    <x v="1"/>
    <x v="130"/>
    <x v="168"/>
    <x v="3"/>
    <x v="3"/>
  </r>
  <r>
    <x v="1360"/>
    <x v="1"/>
    <x v="145"/>
    <x v="0"/>
    <x v="23"/>
    <x v="2"/>
    <x v="292"/>
    <x v="136"/>
    <x v="6"/>
    <x v="6"/>
  </r>
  <r>
    <x v="1360"/>
    <x v="2"/>
    <x v="179"/>
    <x v="1"/>
    <x v="84"/>
    <x v="0"/>
    <x v="529"/>
    <x v="169"/>
    <x v="6"/>
    <x v="6"/>
  </r>
  <r>
    <x v="1361"/>
    <x v="0"/>
    <x v="97"/>
    <x v="1"/>
    <x v="4"/>
    <x v="0"/>
    <x v="73"/>
    <x v="89"/>
    <x v="1"/>
    <x v="1"/>
  </r>
  <r>
    <x v="1361"/>
    <x v="1"/>
    <x v="180"/>
    <x v="1"/>
    <x v="85"/>
    <x v="1"/>
    <x v="530"/>
    <x v="170"/>
    <x v="4"/>
    <x v="4"/>
  </r>
  <r>
    <x v="1361"/>
    <x v="2"/>
    <x v="4"/>
    <x v="1"/>
    <x v="3"/>
    <x v="0"/>
    <x v="84"/>
    <x v="4"/>
    <x v="1"/>
    <x v="1"/>
  </r>
  <r>
    <x v="1362"/>
    <x v="0"/>
    <x v="82"/>
    <x v="1"/>
    <x v="34"/>
    <x v="3"/>
    <x v="333"/>
    <x v="75"/>
    <x v="0"/>
    <x v="0"/>
  </r>
  <r>
    <x v="1363"/>
    <x v="0"/>
    <x v="46"/>
    <x v="0"/>
    <x v="31"/>
    <x v="1"/>
    <x v="280"/>
    <x v="40"/>
    <x v="0"/>
    <x v="0"/>
  </r>
  <r>
    <x v="1363"/>
    <x v="1"/>
    <x v="181"/>
    <x v="1"/>
    <x v="86"/>
    <x v="3"/>
    <x v="531"/>
    <x v="171"/>
    <x v="6"/>
    <x v="6"/>
  </r>
  <r>
    <x v="1363"/>
    <x v="2"/>
    <x v="182"/>
    <x v="0"/>
    <x v="50"/>
    <x v="3"/>
    <x v="336"/>
    <x v="172"/>
    <x v="6"/>
    <x v="6"/>
  </r>
  <r>
    <x v="1363"/>
    <x v="3"/>
    <x v="55"/>
    <x v="0"/>
    <x v="38"/>
    <x v="1"/>
    <x v="271"/>
    <x v="48"/>
    <x v="3"/>
    <x v="3"/>
  </r>
  <r>
    <x v="1364"/>
    <x v="0"/>
    <x v="183"/>
    <x v="0"/>
    <x v="68"/>
    <x v="1"/>
    <x v="532"/>
    <x v="173"/>
    <x v="6"/>
    <x v="6"/>
  </r>
  <r>
    <x v="1364"/>
    <x v="1"/>
    <x v="71"/>
    <x v="0"/>
    <x v="23"/>
    <x v="1"/>
    <x v="193"/>
    <x v="64"/>
    <x v="6"/>
    <x v="6"/>
  </r>
  <r>
    <x v="1364"/>
    <x v="2"/>
    <x v="184"/>
    <x v="0"/>
    <x v="5"/>
    <x v="2"/>
    <x v="132"/>
    <x v="174"/>
    <x v="0"/>
    <x v="0"/>
  </r>
  <r>
    <x v="1365"/>
    <x v="0"/>
    <x v="185"/>
    <x v="0"/>
    <x v="41"/>
    <x v="3"/>
    <x v="533"/>
    <x v="175"/>
    <x v="1"/>
    <x v="1"/>
  </r>
  <r>
    <x v="1365"/>
    <x v="1"/>
    <x v="186"/>
    <x v="1"/>
    <x v="87"/>
    <x v="0"/>
    <x v="534"/>
    <x v="176"/>
    <x v="1"/>
    <x v="1"/>
  </r>
  <r>
    <x v="1365"/>
    <x v="2"/>
    <x v="187"/>
    <x v="0"/>
    <x v="25"/>
    <x v="1"/>
    <x v="222"/>
    <x v="177"/>
    <x v="4"/>
    <x v="4"/>
  </r>
  <r>
    <x v="1366"/>
    <x v="0"/>
    <x v="188"/>
    <x v="0"/>
    <x v="42"/>
    <x v="3"/>
    <x v="404"/>
    <x v="178"/>
    <x v="1"/>
    <x v="1"/>
  </r>
  <r>
    <x v="1366"/>
    <x v="1"/>
    <x v="189"/>
    <x v="1"/>
    <x v="88"/>
    <x v="0"/>
    <x v="535"/>
    <x v="179"/>
    <x v="1"/>
    <x v="1"/>
  </r>
  <r>
    <x v="1366"/>
    <x v="2"/>
    <x v="190"/>
    <x v="0"/>
    <x v="89"/>
    <x v="1"/>
    <x v="536"/>
    <x v="180"/>
    <x v="1"/>
    <x v="1"/>
  </r>
  <r>
    <x v="1366"/>
    <x v="3"/>
    <x v="24"/>
    <x v="1"/>
    <x v="8"/>
    <x v="2"/>
    <x v="11"/>
    <x v="9"/>
    <x v="3"/>
    <x v="3"/>
  </r>
  <r>
    <x v="1367"/>
    <x v="0"/>
    <x v="82"/>
    <x v="0"/>
    <x v="34"/>
    <x v="3"/>
    <x v="173"/>
    <x v="75"/>
    <x v="0"/>
    <x v="0"/>
  </r>
  <r>
    <x v="1367"/>
    <x v="1"/>
    <x v="191"/>
    <x v="1"/>
    <x v="26"/>
    <x v="1"/>
    <x v="184"/>
    <x v="181"/>
    <x v="1"/>
    <x v="1"/>
  </r>
  <r>
    <x v="1367"/>
    <x v="2"/>
    <x v="192"/>
    <x v="0"/>
    <x v="76"/>
    <x v="0"/>
    <x v="537"/>
    <x v="182"/>
    <x v="4"/>
    <x v="4"/>
  </r>
  <r>
    <x v="1368"/>
    <x v="0"/>
    <x v="193"/>
    <x v="1"/>
    <x v="11"/>
    <x v="2"/>
    <x v="64"/>
    <x v="183"/>
    <x v="0"/>
    <x v="0"/>
  </r>
  <r>
    <x v="1369"/>
    <x v="0"/>
    <x v="14"/>
    <x v="0"/>
    <x v="12"/>
    <x v="1"/>
    <x v="140"/>
    <x v="13"/>
    <x v="1"/>
    <x v="1"/>
  </r>
  <r>
    <x v="1369"/>
    <x v="1"/>
    <x v="84"/>
    <x v="1"/>
    <x v="30"/>
    <x v="3"/>
    <x v="343"/>
    <x v="77"/>
    <x v="5"/>
    <x v="5"/>
  </r>
  <r>
    <x v="1369"/>
    <x v="2"/>
    <x v="194"/>
    <x v="1"/>
    <x v="1"/>
    <x v="0"/>
    <x v="82"/>
    <x v="184"/>
    <x v="2"/>
    <x v="2"/>
  </r>
  <r>
    <x v="1369"/>
    <x v="3"/>
    <x v="157"/>
    <x v="0"/>
    <x v="42"/>
    <x v="3"/>
    <x v="404"/>
    <x v="148"/>
    <x v="1"/>
    <x v="1"/>
  </r>
  <r>
    <x v="1370"/>
    <x v="0"/>
    <x v="195"/>
    <x v="1"/>
    <x v="10"/>
    <x v="1"/>
    <x v="109"/>
    <x v="185"/>
    <x v="0"/>
    <x v="0"/>
  </r>
  <r>
    <x v="1370"/>
    <x v="1"/>
    <x v="1"/>
    <x v="1"/>
    <x v="1"/>
    <x v="0"/>
    <x v="82"/>
    <x v="1"/>
    <x v="1"/>
    <x v="1"/>
  </r>
  <r>
    <x v="1371"/>
    <x v="0"/>
    <x v="178"/>
    <x v="0"/>
    <x v="5"/>
    <x v="1"/>
    <x v="116"/>
    <x v="168"/>
    <x v="3"/>
    <x v="3"/>
  </r>
  <r>
    <x v="1371"/>
    <x v="1"/>
    <x v="125"/>
    <x v="1"/>
    <x v="70"/>
    <x v="0"/>
    <x v="501"/>
    <x v="116"/>
    <x v="5"/>
    <x v="5"/>
  </r>
  <r>
    <x v="1372"/>
    <x v="0"/>
    <x v="65"/>
    <x v="0"/>
    <x v="25"/>
    <x v="3"/>
    <x v="315"/>
    <x v="58"/>
    <x v="2"/>
    <x v="2"/>
  </r>
  <r>
    <x v="1373"/>
    <x v="0"/>
    <x v="196"/>
    <x v="1"/>
    <x v="90"/>
    <x v="2"/>
    <x v="538"/>
    <x v="186"/>
    <x v="6"/>
    <x v="6"/>
  </r>
  <r>
    <x v="1373"/>
    <x v="1"/>
    <x v="177"/>
    <x v="1"/>
    <x v="69"/>
    <x v="1"/>
    <x v="508"/>
    <x v="167"/>
    <x v="1"/>
    <x v="1"/>
  </r>
  <r>
    <x v="1374"/>
    <x v="0"/>
    <x v="162"/>
    <x v="1"/>
    <x v="1"/>
    <x v="2"/>
    <x v="134"/>
    <x v="153"/>
    <x v="6"/>
    <x v="6"/>
  </r>
  <r>
    <x v="1374"/>
    <x v="1"/>
    <x v="197"/>
    <x v="0"/>
    <x v="50"/>
    <x v="0"/>
    <x v="324"/>
    <x v="187"/>
    <x v="6"/>
    <x v="6"/>
  </r>
  <r>
    <x v="1375"/>
    <x v="0"/>
    <x v="21"/>
    <x v="0"/>
    <x v="16"/>
    <x v="1"/>
    <x v="105"/>
    <x v="18"/>
    <x v="1"/>
    <x v="1"/>
  </r>
  <r>
    <x v="1376"/>
    <x v="0"/>
    <x v="145"/>
    <x v="1"/>
    <x v="23"/>
    <x v="2"/>
    <x v="244"/>
    <x v="136"/>
    <x v="6"/>
    <x v="6"/>
  </r>
  <r>
    <x v="1376"/>
    <x v="1"/>
    <x v="177"/>
    <x v="0"/>
    <x v="69"/>
    <x v="2"/>
    <x v="539"/>
    <x v="167"/>
    <x v="1"/>
    <x v="1"/>
  </r>
  <r>
    <x v="1376"/>
    <x v="2"/>
    <x v="74"/>
    <x v="0"/>
    <x v="42"/>
    <x v="1"/>
    <x v="245"/>
    <x v="67"/>
    <x v="6"/>
    <x v="6"/>
  </r>
  <r>
    <x v="1376"/>
    <x v="3"/>
    <x v="198"/>
    <x v="1"/>
    <x v="25"/>
    <x v="1"/>
    <x v="182"/>
    <x v="188"/>
    <x v="4"/>
    <x v="4"/>
  </r>
  <r>
    <x v="1377"/>
    <x v="0"/>
    <x v="81"/>
    <x v="1"/>
    <x v="29"/>
    <x v="1"/>
    <x v="172"/>
    <x v="74"/>
    <x v="5"/>
    <x v="5"/>
  </r>
  <r>
    <x v="1377"/>
    <x v="1"/>
    <x v="199"/>
    <x v="1"/>
    <x v="41"/>
    <x v="1"/>
    <x v="540"/>
    <x v="189"/>
    <x v="1"/>
    <x v="1"/>
  </r>
  <r>
    <x v="1377"/>
    <x v="2"/>
    <x v="6"/>
    <x v="1"/>
    <x v="5"/>
    <x v="0"/>
    <x v="39"/>
    <x v="6"/>
    <x v="1"/>
    <x v="1"/>
  </r>
  <r>
    <x v="1377"/>
    <x v="3"/>
    <x v="55"/>
    <x v="0"/>
    <x v="38"/>
    <x v="1"/>
    <x v="271"/>
    <x v="48"/>
    <x v="3"/>
    <x v="3"/>
  </r>
  <r>
    <x v="1377"/>
    <x v="4"/>
    <x v="120"/>
    <x v="1"/>
    <x v="69"/>
    <x v="0"/>
    <x v="541"/>
    <x v="112"/>
    <x v="1"/>
    <x v="1"/>
  </r>
  <r>
    <x v="1378"/>
    <x v="0"/>
    <x v="12"/>
    <x v="0"/>
    <x v="10"/>
    <x v="3"/>
    <x v="80"/>
    <x v="11"/>
    <x v="0"/>
    <x v="0"/>
  </r>
  <r>
    <x v="1378"/>
    <x v="1"/>
    <x v="200"/>
    <x v="0"/>
    <x v="4"/>
    <x v="3"/>
    <x v="16"/>
    <x v="190"/>
    <x v="1"/>
    <x v="1"/>
  </r>
  <r>
    <x v="1378"/>
    <x v="2"/>
    <x v="160"/>
    <x v="1"/>
    <x v="81"/>
    <x v="3"/>
    <x v="542"/>
    <x v="151"/>
    <x v="5"/>
    <x v="5"/>
  </r>
  <r>
    <x v="1379"/>
    <x v="0"/>
    <x v="201"/>
    <x v="1"/>
    <x v="65"/>
    <x v="3"/>
    <x v="497"/>
    <x v="191"/>
    <x v="0"/>
    <x v="0"/>
  </r>
  <r>
    <x v="1379"/>
    <x v="1"/>
    <x v="202"/>
    <x v="1"/>
    <x v="73"/>
    <x v="1"/>
    <x v="543"/>
    <x v="192"/>
    <x v="0"/>
    <x v="0"/>
  </r>
  <r>
    <x v="1380"/>
    <x v="0"/>
    <x v="203"/>
    <x v="1"/>
    <x v="91"/>
    <x v="0"/>
    <x v="544"/>
    <x v="193"/>
    <x v="5"/>
    <x v="5"/>
  </r>
  <r>
    <x v="1380"/>
    <x v="1"/>
    <x v="204"/>
    <x v="1"/>
    <x v="65"/>
    <x v="3"/>
    <x v="497"/>
    <x v="194"/>
    <x v="0"/>
    <x v="0"/>
  </r>
  <r>
    <x v="1381"/>
    <x v="0"/>
    <x v="126"/>
    <x v="0"/>
    <x v="71"/>
    <x v="0"/>
    <x v="502"/>
    <x v="117"/>
    <x v="0"/>
    <x v="0"/>
  </r>
  <r>
    <x v="1381"/>
    <x v="1"/>
    <x v="89"/>
    <x v="1"/>
    <x v="56"/>
    <x v="2"/>
    <x v="220"/>
    <x v="82"/>
    <x v="0"/>
    <x v="0"/>
  </r>
  <r>
    <x v="1381"/>
    <x v="2"/>
    <x v="205"/>
    <x v="0"/>
    <x v="92"/>
    <x v="3"/>
    <x v="545"/>
    <x v="195"/>
    <x v="0"/>
    <x v="0"/>
  </r>
  <r>
    <x v="1381"/>
    <x v="3"/>
    <x v="206"/>
    <x v="0"/>
    <x v="42"/>
    <x v="1"/>
    <x v="245"/>
    <x v="196"/>
    <x v="1"/>
    <x v="1"/>
  </r>
  <r>
    <x v="1381"/>
    <x v="4"/>
    <x v="207"/>
    <x v="0"/>
    <x v="5"/>
    <x v="0"/>
    <x v="56"/>
    <x v="168"/>
    <x v="0"/>
    <x v="0"/>
  </r>
  <r>
    <x v="1382"/>
    <x v="0"/>
    <x v="198"/>
    <x v="1"/>
    <x v="25"/>
    <x v="0"/>
    <x v="165"/>
    <x v="188"/>
    <x v="4"/>
    <x v="4"/>
  </r>
  <r>
    <x v="1382"/>
    <x v="1"/>
    <x v="105"/>
    <x v="1"/>
    <x v="63"/>
    <x v="2"/>
    <x v="380"/>
    <x v="97"/>
    <x v="0"/>
    <x v="0"/>
  </r>
  <r>
    <x v="1383"/>
    <x v="0"/>
    <x v="33"/>
    <x v="0"/>
    <x v="14"/>
    <x v="1"/>
    <x v="29"/>
    <x v="29"/>
    <x v="1"/>
    <x v="1"/>
  </r>
  <r>
    <x v="1383"/>
    <x v="1"/>
    <x v="199"/>
    <x v="1"/>
    <x v="41"/>
    <x v="3"/>
    <x v="216"/>
    <x v="189"/>
    <x v="1"/>
    <x v="1"/>
  </r>
  <r>
    <x v="1383"/>
    <x v="2"/>
    <x v="84"/>
    <x v="0"/>
    <x v="30"/>
    <x v="3"/>
    <x v="276"/>
    <x v="77"/>
    <x v="5"/>
    <x v="5"/>
  </r>
  <r>
    <x v="1383"/>
    <x v="3"/>
    <x v="44"/>
    <x v="0"/>
    <x v="29"/>
    <x v="2"/>
    <x v="277"/>
    <x v="38"/>
    <x v="5"/>
    <x v="5"/>
  </r>
  <r>
    <x v="1384"/>
    <x v="0"/>
    <x v="24"/>
    <x v="1"/>
    <x v="8"/>
    <x v="2"/>
    <x v="11"/>
    <x v="9"/>
    <x v="3"/>
    <x v="3"/>
  </r>
  <r>
    <x v="1384"/>
    <x v="1"/>
    <x v="132"/>
    <x v="0"/>
    <x v="1"/>
    <x v="1"/>
    <x v="31"/>
    <x v="123"/>
    <x v="6"/>
    <x v="6"/>
  </r>
  <r>
    <x v="1384"/>
    <x v="2"/>
    <x v="62"/>
    <x v="1"/>
    <x v="42"/>
    <x v="3"/>
    <x v="428"/>
    <x v="55"/>
    <x v="1"/>
    <x v="1"/>
  </r>
  <r>
    <x v="1384"/>
    <x v="3"/>
    <x v="206"/>
    <x v="0"/>
    <x v="42"/>
    <x v="2"/>
    <x v="196"/>
    <x v="196"/>
    <x v="1"/>
    <x v="1"/>
  </r>
  <r>
    <x v="1385"/>
    <x v="0"/>
    <x v="208"/>
    <x v="0"/>
    <x v="75"/>
    <x v="0"/>
    <x v="507"/>
    <x v="197"/>
    <x v="5"/>
    <x v="5"/>
  </r>
  <r>
    <x v="1385"/>
    <x v="1"/>
    <x v="209"/>
    <x v="0"/>
    <x v="33"/>
    <x v="3"/>
    <x v="398"/>
    <x v="198"/>
    <x v="5"/>
    <x v="5"/>
  </r>
  <r>
    <x v="1385"/>
    <x v="2"/>
    <x v="210"/>
    <x v="0"/>
    <x v="65"/>
    <x v="3"/>
    <x v="492"/>
    <x v="191"/>
    <x v="3"/>
    <x v="3"/>
  </r>
  <r>
    <x v="1385"/>
    <x v="3"/>
    <x v="158"/>
    <x v="0"/>
    <x v="76"/>
    <x v="1"/>
    <x v="546"/>
    <x v="149"/>
    <x v="6"/>
    <x v="6"/>
  </r>
  <r>
    <x v="1386"/>
    <x v="0"/>
    <x v="26"/>
    <x v="0"/>
    <x v="19"/>
    <x v="3"/>
    <x v="201"/>
    <x v="22"/>
    <x v="3"/>
    <x v="3"/>
  </r>
  <r>
    <x v="1387"/>
    <x v="0"/>
    <x v="211"/>
    <x v="0"/>
    <x v="9"/>
    <x v="3"/>
    <x v="128"/>
    <x v="199"/>
    <x v="0"/>
    <x v="0"/>
  </r>
  <r>
    <x v="1388"/>
    <x v="0"/>
    <x v="25"/>
    <x v="1"/>
    <x v="18"/>
    <x v="3"/>
    <x v="446"/>
    <x v="21"/>
    <x v="5"/>
    <x v="5"/>
  </r>
  <r>
    <x v="1388"/>
    <x v="1"/>
    <x v="212"/>
    <x v="1"/>
    <x v="41"/>
    <x v="2"/>
    <x v="176"/>
    <x v="200"/>
    <x v="6"/>
    <x v="6"/>
  </r>
  <r>
    <x v="1388"/>
    <x v="2"/>
    <x v="213"/>
    <x v="0"/>
    <x v="70"/>
    <x v="1"/>
    <x v="500"/>
    <x v="201"/>
    <x v="0"/>
    <x v="0"/>
  </r>
  <r>
    <x v="1389"/>
    <x v="0"/>
    <x v="67"/>
    <x v="1"/>
    <x v="46"/>
    <x v="2"/>
    <x v="185"/>
    <x v="60"/>
    <x v="1"/>
    <x v="1"/>
  </r>
  <r>
    <x v="1389"/>
    <x v="1"/>
    <x v="97"/>
    <x v="1"/>
    <x v="4"/>
    <x v="2"/>
    <x v="79"/>
    <x v="89"/>
    <x v="1"/>
    <x v="1"/>
  </r>
  <r>
    <x v="1389"/>
    <x v="2"/>
    <x v="210"/>
    <x v="0"/>
    <x v="65"/>
    <x v="3"/>
    <x v="492"/>
    <x v="191"/>
    <x v="3"/>
    <x v="3"/>
  </r>
  <r>
    <x v="1389"/>
    <x v="3"/>
    <x v="77"/>
    <x v="0"/>
    <x v="51"/>
    <x v="2"/>
    <x v="482"/>
    <x v="70"/>
    <x v="3"/>
    <x v="3"/>
  </r>
  <r>
    <x v="1389"/>
    <x v="4"/>
    <x v="162"/>
    <x v="1"/>
    <x v="1"/>
    <x v="3"/>
    <x v="96"/>
    <x v="153"/>
    <x v="6"/>
    <x v="6"/>
  </r>
  <r>
    <x v="1390"/>
    <x v="0"/>
    <x v="195"/>
    <x v="1"/>
    <x v="10"/>
    <x v="1"/>
    <x v="109"/>
    <x v="185"/>
    <x v="0"/>
    <x v="0"/>
  </r>
  <r>
    <x v="1390"/>
    <x v="1"/>
    <x v="214"/>
    <x v="1"/>
    <x v="70"/>
    <x v="0"/>
    <x v="501"/>
    <x v="202"/>
    <x v="5"/>
    <x v="5"/>
  </r>
  <r>
    <x v="1390"/>
    <x v="2"/>
    <x v="215"/>
    <x v="0"/>
    <x v="75"/>
    <x v="0"/>
    <x v="507"/>
    <x v="203"/>
    <x v="5"/>
    <x v="5"/>
  </r>
  <r>
    <x v="1391"/>
    <x v="0"/>
    <x v="108"/>
    <x v="1"/>
    <x v="37"/>
    <x v="0"/>
    <x v="229"/>
    <x v="100"/>
    <x v="5"/>
    <x v="5"/>
  </r>
  <r>
    <x v="1391"/>
    <x v="1"/>
    <x v="216"/>
    <x v="1"/>
    <x v="65"/>
    <x v="2"/>
    <x v="515"/>
    <x v="204"/>
    <x v="0"/>
    <x v="0"/>
  </r>
  <r>
    <x v="1392"/>
    <x v="0"/>
    <x v="102"/>
    <x v="0"/>
    <x v="30"/>
    <x v="1"/>
    <x v="158"/>
    <x v="94"/>
    <x v="5"/>
    <x v="5"/>
  </r>
  <r>
    <x v="1392"/>
    <x v="1"/>
    <x v="90"/>
    <x v="0"/>
    <x v="43"/>
    <x v="1"/>
    <x v="348"/>
    <x v="83"/>
    <x v="0"/>
    <x v="0"/>
  </r>
  <r>
    <x v="1392"/>
    <x v="2"/>
    <x v="42"/>
    <x v="1"/>
    <x v="28"/>
    <x v="2"/>
    <x v="181"/>
    <x v="37"/>
    <x v="1"/>
    <x v="1"/>
  </r>
  <r>
    <x v="1392"/>
    <x v="3"/>
    <x v="217"/>
    <x v="1"/>
    <x v="93"/>
    <x v="2"/>
    <x v="547"/>
    <x v="205"/>
    <x v="5"/>
    <x v="5"/>
  </r>
  <r>
    <x v="1393"/>
    <x v="0"/>
    <x v="218"/>
    <x v="1"/>
    <x v="50"/>
    <x v="2"/>
    <x v="449"/>
    <x v="206"/>
    <x v="6"/>
    <x v="6"/>
  </r>
  <r>
    <x v="1394"/>
    <x v="0"/>
    <x v="180"/>
    <x v="0"/>
    <x v="85"/>
    <x v="0"/>
    <x v="548"/>
    <x v="170"/>
    <x v="4"/>
    <x v="4"/>
  </r>
  <r>
    <x v="1394"/>
    <x v="1"/>
    <x v="74"/>
    <x v="1"/>
    <x v="42"/>
    <x v="3"/>
    <x v="428"/>
    <x v="67"/>
    <x v="6"/>
    <x v="6"/>
  </r>
  <r>
    <x v="1394"/>
    <x v="2"/>
    <x v="118"/>
    <x v="1"/>
    <x v="69"/>
    <x v="0"/>
    <x v="541"/>
    <x v="110"/>
    <x v="6"/>
    <x v="6"/>
  </r>
  <r>
    <x v="1394"/>
    <x v="3"/>
    <x v="219"/>
    <x v="0"/>
    <x v="72"/>
    <x v="3"/>
    <x v="549"/>
    <x v="129"/>
    <x v="0"/>
    <x v="0"/>
  </r>
  <r>
    <x v="1395"/>
    <x v="0"/>
    <x v="94"/>
    <x v="0"/>
    <x v="59"/>
    <x v="2"/>
    <x v="419"/>
    <x v="86"/>
    <x v="6"/>
    <x v="6"/>
  </r>
  <r>
    <x v="1395"/>
    <x v="1"/>
    <x v="196"/>
    <x v="0"/>
    <x v="90"/>
    <x v="0"/>
    <x v="550"/>
    <x v="186"/>
    <x v="6"/>
    <x v="6"/>
  </r>
  <r>
    <x v="1396"/>
    <x v="0"/>
    <x v="220"/>
    <x v="1"/>
    <x v="14"/>
    <x v="3"/>
    <x v="110"/>
    <x v="207"/>
    <x v="1"/>
    <x v="1"/>
  </r>
  <r>
    <x v="1396"/>
    <x v="1"/>
    <x v="112"/>
    <x v="0"/>
    <x v="9"/>
    <x v="1"/>
    <x v="45"/>
    <x v="104"/>
    <x v="1"/>
    <x v="1"/>
  </r>
  <r>
    <x v="1396"/>
    <x v="2"/>
    <x v="14"/>
    <x v="0"/>
    <x v="12"/>
    <x v="2"/>
    <x v="55"/>
    <x v="13"/>
    <x v="1"/>
    <x v="1"/>
  </r>
  <r>
    <x v="1396"/>
    <x v="3"/>
    <x v="159"/>
    <x v="0"/>
    <x v="5"/>
    <x v="2"/>
    <x v="132"/>
    <x v="150"/>
    <x v="0"/>
    <x v="0"/>
  </r>
  <r>
    <x v="1396"/>
    <x v="4"/>
    <x v="46"/>
    <x v="1"/>
    <x v="31"/>
    <x v="3"/>
    <x v="300"/>
    <x v="40"/>
    <x v="0"/>
    <x v="0"/>
  </r>
  <r>
    <x v="1397"/>
    <x v="0"/>
    <x v="79"/>
    <x v="1"/>
    <x v="24"/>
    <x v="2"/>
    <x v="293"/>
    <x v="72"/>
    <x v="0"/>
    <x v="0"/>
  </r>
  <r>
    <x v="1397"/>
    <x v="1"/>
    <x v="29"/>
    <x v="0"/>
    <x v="5"/>
    <x v="0"/>
    <x v="56"/>
    <x v="25"/>
    <x v="6"/>
    <x v="6"/>
  </r>
  <r>
    <x v="1398"/>
    <x v="0"/>
    <x v="221"/>
    <x v="1"/>
    <x v="2"/>
    <x v="0"/>
    <x v="54"/>
    <x v="154"/>
    <x v="2"/>
    <x v="2"/>
  </r>
  <r>
    <x v="1398"/>
    <x v="1"/>
    <x v="222"/>
    <x v="0"/>
    <x v="71"/>
    <x v="2"/>
    <x v="551"/>
    <x v="208"/>
    <x v="0"/>
    <x v="0"/>
  </r>
  <r>
    <x v="1398"/>
    <x v="2"/>
    <x v="220"/>
    <x v="1"/>
    <x v="14"/>
    <x v="1"/>
    <x v="138"/>
    <x v="207"/>
    <x v="1"/>
    <x v="1"/>
  </r>
  <r>
    <x v="1398"/>
    <x v="3"/>
    <x v="76"/>
    <x v="0"/>
    <x v="50"/>
    <x v="2"/>
    <x v="261"/>
    <x v="69"/>
    <x v="1"/>
    <x v="1"/>
  </r>
  <r>
    <x v="1399"/>
    <x v="0"/>
    <x v="24"/>
    <x v="1"/>
    <x v="8"/>
    <x v="0"/>
    <x v="118"/>
    <x v="9"/>
    <x v="3"/>
    <x v="3"/>
  </r>
  <r>
    <x v="1399"/>
    <x v="1"/>
    <x v="223"/>
    <x v="1"/>
    <x v="94"/>
    <x v="0"/>
    <x v="552"/>
    <x v="209"/>
    <x v="0"/>
    <x v="0"/>
  </r>
  <r>
    <x v="1399"/>
    <x v="2"/>
    <x v="224"/>
    <x v="0"/>
    <x v="91"/>
    <x v="3"/>
    <x v="553"/>
    <x v="210"/>
    <x v="5"/>
    <x v="5"/>
  </r>
  <r>
    <x v="1399"/>
    <x v="3"/>
    <x v="45"/>
    <x v="0"/>
    <x v="30"/>
    <x v="1"/>
    <x v="158"/>
    <x v="39"/>
    <x v="5"/>
    <x v="5"/>
  </r>
  <r>
    <x v="1400"/>
    <x v="0"/>
    <x v="225"/>
    <x v="0"/>
    <x v="55"/>
    <x v="1"/>
    <x v="375"/>
    <x v="211"/>
    <x v="1"/>
    <x v="1"/>
  </r>
  <r>
    <x v="1400"/>
    <x v="1"/>
    <x v="128"/>
    <x v="0"/>
    <x v="73"/>
    <x v="2"/>
    <x v="554"/>
    <x v="119"/>
    <x v="0"/>
    <x v="0"/>
  </r>
  <r>
    <x v="1400"/>
    <x v="2"/>
    <x v="226"/>
    <x v="1"/>
    <x v="5"/>
    <x v="0"/>
    <x v="39"/>
    <x v="155"/>
    <x v="0"/>
    <x v="0"/>
  </r>
  <r>
    <x v="1401"/>
    <x v="0"/>
    <x v="227"/>
    <x v="1"/>
    <x v="66"/>
    <x v="0"/>
    <x v="555"/>
    <x v="212"/>
    <x v="4"/>
    <x v="4"/>
  </r>
  <r>
    <x v="1401"/>
    <x v="1"/>
    <x v="76"/>
    <x v="1"/>
    <x v="50"/>
    <x v="2"/>
    <x v="449"/>
    <x v="69"/>
    <x v="1"/>
    <x v="1"/>
  </r>
  <r>
    <x v="1401"/>
    <x v="2"/>
    <x v="139"/>
    <x v="0"/>
    <x v="23"/>
    <x v="2"/>
    <x v="292"/>
    <x v="130"/>
    <x v="4"/>
    <x v="4"/>
  </r>
  <r>
    <x v="1401"/>
    <x v="3"/>
    <x v="228"/>
    <x v="0"/>
    <x v="95"/>
    <x v="1"/>
    <x v="556"/>
    <x v="213"/>
    <x v="5"/>
    <x v="5"/>
  </r>
  <r>
    <x v="1402"/>
    <x v="0"/>
    <x v="101"/>
    <x v="1"/>
    <x v="30"/>
    <x v="3"/>
    <x v="343"/>
    <x v="93"/>
    <x v="5"/>
    <x v="5"/>
  </r>
  <r>
    <x v="1403"/>
    <x v="0"/>
    <x v="225"/>
    <x v="1"/>
    <x v="55"/>
    <x v="2"/>
    <x v="557"/>
    <x v="211"/>
    <x v="1"/>
    <x v="1"/>
  </r>
  <r>
    <x v="1403"/>
    <x v="1"/>
    <x v="229"/>
    <x v="0"/>
    <x v="11"/>
    <x v="3"/>
    <x v="21"/>
    <x v="214"/>
    <x v="0"/>
    <x v="0"/>
  </r>
  <r>
    <x v="1403"/>
    <x v="2"/>
    <x v="230"/>
    <x v="1"/>
    <x v="66"/>
    <x v="0"/>
    <x v="555"/>
    <x v="215"/>
    <x v="4"/>
    <x v="4"/>
  </r>
  <r>
    <x v="1404"/>
    <x v="0"/>
    <x v="231"/>
    <x v="1"/>
    <x v="9"/>
    <x v="3"/>
    <x v="42"/>
    <x v="216"/>
    <x v="6"/>
    <x v="6"/>
  </r>
  <r>
    <x v="1405"/>
    <x v="0"/>
    <x v="128"/>
    <x v="1"/>
    <x v="73"/>
    <x v="2"/>
    <x v="558"/>
    <x v="119"/>
    <x v="0"/>
    <x v="0"/>
  </r>
  <r>
    <x v="1405"/>
    <x v="1"/>
    <x v="191"/>
    <x v="0"/>
    <x v="26"/>
    <x v="3"/>
    <x v="164"/>
    <x v="181"/>
    <x v="1"/>
    <x v="1"/>
  </r>
  <r>
    <x v="1406"/>
    <x v="0"/>
    <x v="133"/>
    <x v="0"/>
    <x v="62"/>
    <x v="2"/>
    <x v="559"/>
    <x v="124"/>
    <x v="3"/>
    <x v="3"/>
  </r>
  <r>
    <x v="1406"/>
    <x v="1"/>
    <x v="107"/>
    <x v="1"/>
    <x v="61"/>
    <x v="3"/>
    <x v="302"/>
    <x v="99"/>
    <x v="1"/>
    <x v="1"/>
  </r>
  <r>
    <x v="1406"/>
    <x v="2"/>
    <x v="232"/>
    <x v="0"/>
    <x v="96"/>
    <x v="3"/>
    <x v="560"/>
    <x v="217"/>
    <x v="5"/>
    <x v="5"/>
  </r>
  <r>
    <x v="1406"/>
    <x v="3"/>
    <x v="100"/>
    <x v="0"/>
    <x v="61"/>
    <x v="0"/>
    <x v="265"/>
    <x v="92"/>
    <x v="1"/>
    <x v="1"/>
  </r>
  <r>
    <x v="1407"/>
    <x v="0"/>
    <x v="19"/>
    <x v="1"/>
    <x v="15"/>
    <x v="0"/>
    <x v="33"/>
    <x v="17"/>
    <x v="5"/>
    <x v="5"/>
  </r>
  <r>
    <x v="1407"/>
    <x v="1"/>
    <x v="171"/>
    <x v="0"/>
    <x v="5"/>
    <x v="0"/>
    <x v="56"/>
    <x v="162"/>
    <x v="6"/>
    <x v="6"/>
  </r>
  <r>
    <x v="1407"/>
    <x v="2"/>
    <x v="233"/>
    <x v="0"/>
    <x v="97"/>
    <x v="1"/>
    <x v="561"/>
    <x v="218"/>
    <x v="1"/>
    <x v="1"/>
  </r>
  <r>
    <x v="1407"/>
    <x v="3"/>
    <x v="234"/>
    <x v="1"/>
    <x v="88"/>
    <x v="0"/>
    <x v="535"/>
    <x v="219"/>
    <x v="1"/>
    <x v="1"/>
  </r>
  <r>
    <x v="1408"/>
    <x v="0"/>
    <x v="235"/>
    <x v="1"/>
    <x v="65"/>
    <x v="1"/>
    <x v="562"/>
    <x v="220"/>
    <x v="3"/>
    <x v="3"/>
  </r>
  <r>
    <x v="1408"/>
    <x v="1"/>
    <x v="236"/>
    <x v="0"/>
    <x v="98"/>
    <x v="1"/>
    <x v="563"/>
    <x v="221"/>
    <x v="6"/>
    <x v="6"/>
  </r>
  <r>
    <x v="1408"/>
    <x v="2"/>
    <x v="212"/>
    <x v="1"/>
    <x v="41"/>
    <x v="2"/>
    <x v="176"/>
    <x v="200"/>
    <x v="6"/>
    <x v="6"/>
  </r>
  <r>
    <x v="1408"/>
    <x v="3"/>
    <x v="237"/>
    <x v="0"/>
    <x v="95"/>
    <x v="2"/>
    <x v="564"/>
    <x v="222"/>
    <x v="5"/>
    <x v="5"/>
  </r>
  <r>
    <x v="1408"/>
    <x v="4"/>
    <x v="238"/>
    <x v="0"/>
    <x v="11"/>
    <x v="3"/>
    <x v="21"/>
    <x v="223"/>
    <x v="0"/>
    <x v="0"/>
  </r>
  <r>
    <x v="1409"/>
    <x v="0"/>
    <x v="137"/>
    <x v="1"/>
    <x v="23"/>
    <x v="3"/>
    <x v="149"/>
    <x v="128"/>
    <x v="4"/>
    <x v="4"/>
  </r>
  <r>
    <x v="1409"/>
    <x v="1"/>
    <x v="139"/>
    <x v="1"/>
    <x v="23"/>
    <x v="0"/>
    <x v="377"/>
    <x v="130"/>
    <x v="4"/>
    <x v="4"/>
  </r>
  <r>
    <x v="1409"/>
    <x v="2"/>
    <x v="138"/>
    <x v="0"/>
    <x v="72"/>
    <x v="3"/>
    <x v="549"/>
    <x v="129"/>
    <x v="3"/>
    <x v="3"/>
  </r>
  <r>
    <x v="1410"/>
    <x v="0"/>
    <x v="11"/>
    <x v="0"/>
    <x v="9"/>
    <x v="3"/>
    <x v="128"/>
    <x v="10"/>
    <x v="4"/>
    <x v="4"/>
  </r>
  <r>
    <x v="1410"/>
    <x v="1"/>
    <x v="239"/>
    <x v="1"/>
    <x v="5"/>
    <x v="0"/>
    <x v="39"/>
    <x v="224"/>
    <x v="3"/>
    <x v="3"/>
  </r>
  <r>
    <x v="1411"/>
    <x v="0"/>
    <x v="118"/>
    <x v="1"/>
    <x v="69"/>
    <x v="1"/>
    <x v="508"/>
    <x v="110"/>
    <x v="6"/>
    <x v="6"/>
  </r>
  <r>
    <x v="1411"/>
    <x v="1"/>
    <x v="52"/>
    <x v="0"/>
    <x v="28"/>
    <x v="3"/>
    <x v="168"/>
    <x v="45"/>
    <x v="1"/>
    <x v="1"/>
  </r>
  <r>
    <x v="1411"/>
    <x v="2"/>
    <x v="36"/>
    <x v="1"/>
    <x v="24"/>
    <x v="1"/>
    <x v="207"/>
    <x v="32"/>
    <x v="3"/>
    <x v="3"/>
  </r>
  <r>
    <x v="1412"/>
    <x v="0"/>
    <x v="167"/>
    <x v="1"/>
    <x v="74"/>
    <x v="2"/>
    <x v="565"/>
    <x v="158"/>
    <x v="5"/>
    <x v="5"/>
  </r>
  <r>
    <x v="1413"/>
    <x v="0"/>
    <x v="231"/>
    <x v="1"/>
    <x v="9"/>
    <x v="3"/>
    <x v="42"/>
    <x v="216"/>
    <x v="6"/>
    <x v="6"/>
  </r>
  <r>
    <x v="1413"/>
    <x v="1"/>
    <x v="208"/>
    <x v="1"/>
    <x v="75"/>
    <x v="2"/>
    <x v="566"/>
    <x v="197"/>
    <x v="5"/>
    <x v="5"/>
  </r>
  <r>
    <x v="1414"/>
    <x v="0"/>
    <x v="93"/>
    <x v="1"/>
    <x v="58"/>
    <x v="1"/>
    <x v="394"/>
    <x v="85"/>
    <x v="1"/>
    <x v="1"/>
  </r>
  <r>
    <x v="1414"/>
    <x v="1"/>
    <x v="7"/>
    <x v="0"/>
    <x v="6"/>
    <x v="2"/>
    <x v="113"/>
    <x v="7"/>
    <x v="0"/>
    <x v="0"/>
  </r>
  <r>
    <x v="1414"/>
    <x v="2"/>
    <x v="240"/>
    <x v="1"/>
    <x v="33"/>
    <x v="3"/>
    <x v="454"/>
    <x v="225"/>
    <x v="5"/>
    <x v="5"/>
  </r>
  <r>
    <x v="1414"/>
    <x v="3"/>
    <x v="241"/>
    <x v="0"/>
    <x v="43"/>
    <x v="2"/>
    <x v="178"/>
    <x v="226"/>
    <x v="0"/>
    <x v="0"/>
  </r>
  <r>
    <x v="1415"/>
    <x v="0"/>
    <x v="242"/>
    <x v="0"/>
    <x v="25"/>
    <x v="0"/>
    <x v="152"/>
    <x v="227"/>
    <x v="4"/>
    <x v="4"/>
  </r>
  <r>
    <x v="1415"/>
    <x v="1"/>
    <x v="243"/>
    <x v="1"/>
    <x v="99"/>
    <x v="3"/>
    <x v="567"/>
    <x v="228"/>
    <x v="0"/>
    <x v="0"/>
  </r>
  <r>
    <x v="1415"/>
    <x v="2"/>
    <x v="102"/>
    <x v="1"/>
    <x v="30"/>
    <x v="2"/>
    <x v="211"/>
    <x v="94"/>
    <x v="5"/>
    <x v="5"/>
  </r>
  <r>
    <x v="1416"/>
    <x v="0"/>
    <x v="244"/>
    <x v="1"/>
    <x v="82"/>
    <x v="0"/>
    <x v="568"/>
    <x v="229"/>
    <x v="0"/>
    <x v="0"/>
  </r>
  <r>
    <x v="1417"/>
    <x v="0"/>
    <x v="110"/>
    <x v="1"/>
    <x v="50"/>
    <x v="0"/>
    <x v="312"/>
    <x v="102"/>
    <x v="1"/>
    <x v="1"/>
  </r>
  <r>
    <x v="1417"/>
    <x v="1"/>
    <x v="127"/>
    <x v="1"/>
    <x v="72"/>
    <x v="2"/>
    <x v="503"/>
    <x v="118"/>
    <x v="0"/>
    <x v="0"/>
  </r>
  <r>
    <x v="1418"/>
    <x v="0"/>
    <x v="190"/>
    <x v="0"/>
    <x v="89"/>
    <x v="1"/>
    <x v="536"/>
    <x v="180"/>
    <x v="1"/>
    <x v="1"/>
  </r>
  <r>
    <x v="1418"/>
    <x v="1"/>
    <x v="111"/>
    <x v="1"/>
    <x v="65"/>
    <x v="0"/>
    <x v="526"/>
    <x v="103"/>
    <x v="0"/>
    <x v="0"/>
  </r>
  <r>
    <x v="1418"/>
    <x v="2"/>
    <x v="150"/>
    <x v="0"/>
    <x v="65"/>
    <x v="3"/>
    <x v="492"/>
    <x v="141"/>
    <x v="0"/>
    <x v="0"/>
  </r>
  <r>
    <x v="1419"/>
    <x v="0"/>
    <x v="245"/>
    <x v="0"/>
    <x v="27"/>
    <x v="0"/>
    <x v="319"/>
    <x v="230"/>
    <x v="4"/>
    <x v="4"/>
  </r>
  <r>
    <x v="1419"/>
    <x v="1"/>
    <x v="242"/>
    <x v="1"/>
    <x v="25"/>
    <x v="3"/>
    <x v="279"/>
    <x v="227"/>
    <x v="4"/>
    <x v="4"/>
  </r>
  <r>
    <x v="1419"/>
    <x v="2"/>
    <x v="186"/>
    <x v="0"/>
    <x v="87"/>
    <x v="3"/>
    <x v="569"/>
    <x v="176"/>
    <x v="1"/>
    <x v="1"/>
  </r>
  <r>
    <x v="1420"/>
    <x v="0"/>
    <x v="136"/>
    <x v="1"/>
    <x v="74"/>
    <x v="2"/>
    <x v="565"/>
    <x v="127"/>
    <x v="5"/>
    <x v="5"/>
  </r>
  <r>
    <x v="1421"/>
    <x v="0"/>
    <x v="53"/>
    <x v="1"/>
    <x v="36"/>
    <x v="1"/>
    <x v="304"/>
    <x v="46"/>
    <x v="0"/>
    <x v="0"/>
  </r>
  <r>
    <x v="1421"/>
    <x v="1"/>
    <x v="118"/>
    <x v="1"/>
    <x v="69"/>
    <x v="0"/>
    <x v="541"/>
    <x v="110"/>
    <x v="6"/>
    <x v="6"/>
  </r>
  <r>
    <x v="1421"/>
    <x v="2"/>
    <x v="127"/>
    <x v="0"/>
    <x v="72"/>
    <x v="2"/>
    <x v="570"/>
    <x v="118"/>
    <x v="0"/>
    <x v="0"/>
  </r>
  <r>
    <x v="1422"/>
    <x v="0"/>
    <x v="159"/>
    <x v="0"/>
    <x v="5"/>
    <x v="0"/>
    <x v="56"/>
    <x v="150"/>
    <x v="0"/>
    <x v="0"/>
  </r>
  <r>
    <x v="1422"/>
    <x v="1"/>
    <x v="68"/>
    <x v="0"/>
    <x v="24"/>
    <x v="3"/>
    <x v="325"/>
    <x v="61"/>
    <x v="0"/>
    <x v="0"/>
  </r>
  <r>
    <x v="1422"/>
    <x v="2"/>
    <x v="246"/>
    <x v="0"/>
    <x v="19"/>
    <x v="0"/>
    <x v="188"/>
    <x v="231"/>
    <x v="3"/>
    <x v="3"/>
  </r>
  <r>
    <x v="1422"/>
    <x v="3"/>
    <x v="191"/>
    <x v="1"/>
    <x v="26"/>
    <x v="0"/>
    <x v="195"/>
    <x v="181"/>
    <x v="1"/>
    <x v="1"/>
  </r>
  <r>
    <x v="1423"/>
    <x v="0"/>
    <x v="247"/>
    <x v="1"/>
    <x v="23"/>
    <x v="0"/>
    <x v="377"/>
    <x v="232"/>
    <x v="1"/>
    <x v="1"/>
  </r>
  <r>
    <x v="1424"/>
    <x v="0"/>
    <x v="213"/>
    <x v="1"/>
    <x v="70"/>
    <x v="2"/>
    <x v="571"/>
    <x v="201"/>
    <x v="0"/>
    <x v="0"/>
  </r>
  <r>
    <x v="1424"/>
    <x v="1"/>
    <x v="160"/>
    <x v="0"/>
    <x v="81"/>
    <x v="1"/>
    <x v="572"/>
    <x v="151"/>
    <x v="5"/>
    <x v="5"/>
  </r>
  <r>
    <x v="1424"/>
    <x v="2"/>
    <x v="101"/>
    <x v="0"/>
    <x v="30"/>
    <x v="1"/>
    <x v="158"/>
    <x v="93"/>
    <x v="5"/>
    <x v="5"/>
  </r>
  <r>
    <x v="1424"/>
    <x v="3"/>
    <x v="59"/>
    <x v="1"/>
    <x v="41"/>
    <x v="2"/>
    <x v="176"/>
    <x v="52"/>
    <x v="6"/>
    <x v="6"/>
  </r>
  <r>
    <x v="1424"/>
    <x v="4"/>
    <x v="132"/>
    <x v="1"/>
    <x v="1"/>
    <x v="1"/>
    <x v="1"/>
    <x v="123"/>
    <x v="6"/>
    <x v="6"/>
  </r>
  <r>
    <x v="1425"/>
    <x v="0"/>
    <x v="149"/>
    <x v="0"/>
    <x v="5"/>
    <x v="1"/>
    <x v="116"/>
    <x v="140"/>
    <x v="0"/>
    <x v="0"/>
  </r>
  <r>
    <x v="1425"/>
    <x v="1"/>
    <x v="0"/>
    <x v="1"/>
    <x v="0"/>
    <x v="2"/>
    <x v="3"/>
    <x v="0"/>
    <x v="0"/>
    <x v="0"/>
  </r>
  <r>
    <x v="1425"/>
    <x v="2"/>
    <x v="248"/>
    <x v="0"/>
    <x v="70"/>
    <x v="1"/>
    <x v="500"/>
    <x v="201"/>
    <x v="5"/>
    <x v="5"/>
  </r>
  <r>
    <x v="1426"/>
    <x v="0"/>
    <x v="128"/>
    <x v="1"/>
    <x v="73"/>
    <x v="1"/>
    <x v="543"/>
    <x v="119"/>
    <x v="0"/>
    <x v="0"/>
  </r>
  <r>
    <x v="1426"/>
    <x v="1"/>
    <x v="112"/>
    <x v="0"/>
    <x v="9"/>
    <x v="2"/>
    <x v="121"/>
    <x v="104"/>
    <x v="1"/>
    <x v="1"/>
  </r>
  <r>
    <x v="1426"/>
    <x v="2"/>
    <x v="156"/>
    <x v="1"/>
    <x v="2"/>
    <x v="1"/>
    <x v="46"/>
    <x v="147"/>
    <x v="6"/>
    <x v="6"/>
  </r>
  <r>
    <x v="1427"/>
    <x v="0"/>
    <x v="249"/>
    <x v="1"/>
    <x v="65"/>
    <x v="0"/>
    <x v="526"/>
    <x v="233"/>
    <x v="0"/>
    <x v="0"/>
  </r>
  <r>
    <x v="1427"/>
    <x v="1"/>
    <x v="250"/>
    <x v="0"/>
    <x v="14"/>
    <x v="1"/>
    <x v="29"/>
    <x v="234"/>
    <x v="1"/>
    <x v="1"/>
  </r>
  <r>
    <x v="1427"/>
    <x v="2"/>
    <x v="251"/>
    <x v="1"/>
    <x v="66"/>
    <x v="1"/>
    <x v="494"/>
    <x v="235"/>
    <x v="4"/>
    <x v="4"/>
  </r>
  <r>
    <x v="1427"/>
    <x v="3"/>
    <x v="76"/>
    <x v="0"/>
    <x v="50"/>
    <x v="3"/>
    <x v="336"/>
    <x v="69"/>
    <x v="1"/>
    <x v="1"/>
  </r>
  <r>
    <x v="1427"/>
    <x v="4"/>
    <x v="242"/>
    <x v="1"/>
    <x v="25"/>
    <x v="0"/>
    <x v="165"/>
    <x v="227"/>
    <x v="4"/>
    <x v="4"/>
  </r>
  <r>
    <x v="1428"/>
    <x v="0"/>
    <x v="63"/>
    <x v="1"/>
    <x v="43"/>
    <x v="0"/>
    <x v="247"/>
    <x v="56"/>
    <x v="0"/>
    <x v="0"/>
  </r>
  <r>
    <x v="1429"/>
    <x v="0"/>
    <x v="252"/>
    <x v="0"/>
    <x v="70"/>
    <x v="2"/>
    <x v="573"/>
    <x v="236"/>
    <x v="0"/>
    <x v="0"/>
  </r>
  <r>
    <x v="1429"/>
    <x v="1"/>
    <x v="248"/>
    <x v="0"/>
    <x v="70"/>
    <x v="1"/>
    <x v="500"/>
    <x v="201"/>
    <x v="5"/>
    <x v="5"/>
  </r>
  <r>
    <x v="1430"/>
    <x v="0"/>
    <x v="143"/>
    <x v="0"/>
    <x v="12"/>
    <x v="3"/>
    <x v="40"/>
    <x v="134"/>
    <x v="2"/>
    <x v="2"/>
  </r>
  <r>
    <x v="1430"/>
    <x v="1"/>
    <x v="29"/>
    <x v="0"/>
    <x v="5"/>
    <x v="1"/>
    <x v="116"/>
    <x v="25"/>
    <x v="6"/>
    <x v="6"/>
  </r>
  <r>
    <x v="1430"/>
    <x v="2"/>
    <x v="253"/>
    <x v="0"/>
    <x v="9"/>
    <x v="0"/>
    <x v="141"/>
    <x v="165"/>
    <x v="0"/>
    <x v="0"/>
  </r>
  <r>
    <x v="1430"/>
    <x v="3"/>
    <x v="226"/>
    <x v="0"/>
    <x v="5"/>
    <x v="1"/>
    <x v="116"/>
    <x v="155"/>
    <x v="0"/>
    <x v="0"/>
  </r>
  <r>
    <x v="1431"/>
    <x v="0"/>
    <x v="254"/>
    <x v="0"/>
    <x v="87"/>
    <x v="0"/>
    <x v="574"/>
    <x v="237"/>
    <x v="6"/>
    <x v="6"/>
  </r>
  <r>
    <x v="1432"/>
    <x v="0"/>
    <x v="240"/>
    <x v="0"/>
    <x v="33"/>
    <x v="1"/>
    <x v="575"/>
    <x v="225"/>
    <x v="5"/>
    <x v="5"/>
  </r>
  <r>
    <x v="1433"/>
    <x v="0"/>
    <x v="202"/>
    <x v="1"/>
    <x v="73"/>
    <x v="0"/>
    <x v="504"/>
    <x v="192"/>
    <x v="0"/>
    <x v="0"/>
  </r>
  <r>
    <x v="1433"/>
    <x v="1"/>
    <x v="255"/>
    <x v="0"/>
    <x v="9"/>
    <x v="3"/>
    <x v="128"/>
    <x v="199"/>
    <x v="4"/>
    <x v="4"/>
  </r>
  <r>
    <x v="1433"/>
    <x v="2"/>
    <x v="256"/>
    <x v="1"/>
    <x v="74"/>
    <x v="3"/>
    <x v="522"/>
    <x v="238"/>
    <x v="5"/>
    <x v="5"/>
  </r>
  <r>
    <x v="1433"/>
    <x v="3"/>
    <x v="32"/>
    <x v="1"/>
    <x v="23"/>
    <x v="1"/>
    <x v="179"/>
    <x v="28"/>
    <x v="4"/>
    <x v="4"/>
  </r>
  <r>
    <x v="1434"/>
    <x v="0"/>
    <x v="257"/>
    <x v="1"/>
    <x v="100"/>
    <x v="1"/>
    <x v="576"/>
    <x v="239"/>
    <x v="1"/>
    <x v="1"/>
  </r>
  <r>
    <x v="1434"/>
    <x v="1"/>
    <x v="61"/>
    <x v="0"/>
    <x v="4"/>
    <x v="0"/>
    <x v="90"/>
    <x v="54"/>
    <x v="1"/>
    <x v="1"/>
  </r>
  <r>
    <x v="1434"/>
    <x v="2"/>
    <x v="91"/>
    <x v="0"/>
    <x v="57"/>
    <x v="3"/>
    <x v="407"/>
    <x v="84"/>
    <x v="4"/>
    <x v="4"/>
  </r>
  <r>
    <x v="1434"/>
    <x v="3"/>
    <x v="258"/>
    <x v="0"/>
    <x v="62"/>
    <x v="1"/>
    <x v="409"/>
    <x v="124"/>
    <x v="0"/>
    <x v="0"/>
  </r>
  <r>
    <x v="1435"/>
    <x v="0"/>
    <x v="152"/>
    <x v="1"/>
    <x v="79"/>
    <x v="1"/>
    <x v="577"/>
    <x v="143"/>
    <x v="0"/>
    <x v="0"/>
  </r>
  <r>
    <x v="1436"/>
    <x v="0"/>
    <x v="257"/>
    <x v="1"/>
    <x v="100"/>
    <x v="2"/>
    <x v="578"/>
    <x v="239"/>
    <x v="1"/>
    <x v="1"/>
  </r>
  <r>
    <x v="1437"/>
    <x v="0"/>
    <x v="205"/>
    <x v="0"/>
    <x v="92"/>
    <x v="0"/>
    <x v="579"/>
    <x v="195"/>
    <x v="0"/>
    <x v="0"/>
  </r>
  <r>
    <x v="1437"/>
    <x v="1"/>
    <x v="247"/>
    <x v="0"/>
    <x v="23"/>
    <x v="0"/>
    <x v="223"/>
    <x v="232"/>
    <x v="1"/>
    <x v="1"/>
  </r>
  <r>
    <x v="1437"/>
    <x v="2"/>
    <x v="89"/>
    <x v="1"/>
    <x v="56"/>
    <x v="2"/>
    <x v="220"/>
    <x v="82"/>
    <x v="0"/>
    <x v="0"/>
  </r>
  <r>
    <x v="1437"/>
    <x v="3"/>
    <x v="234"/>
    <x v="0"/>
    <x v="88"/>
    <x v="3"/>
    <x v="580"/>
    <x v="219"/>
    <x v="1"/>
    <x v="1"/>
  </r>
  <r>
    <x v="1437"/>
    <x v="4"/>
    <x v="115"/>
    <x v="1"/>
    <x v="66"/>
    <x v="1"/>
    <x v="494"/>
    <x v="107"/>
    <x v="4"/>
    <x v="4"/>
  </r>
  <r>
    <x v="1438"/>
    <x v="0"/>
    <x v="41"/>
    <x v="0"/>
    <x v="27"/>
    <x v="1"/>
    <x v="466"/>
    <x v="36"/>
    <x v="1"/>
    <x v="1"/>
  </r>
  <r>
    <x v="1438"/>
    <x v="1"/>
    <x v="160"/>
    <x v="0"/>
    <x v="81"/>
    <x v="0"/>
    <x v="581"/>
    <x v="151"/>
    <x v="5"/>
    <x v="5"/>
  </r>
  <r>
    <x v="1438"/>
    <x v="2"/>
    <x v="48"/>
    <x v="1"/>
    <x v="26"/>
    <x v="2"/>
    <x v="162"/>
    <x v="34"/>
    <x v="3"/>
    <x v="3"/>
  </r>
  <r>
    <x v="1438"/>
    <x v="3"/>
    <x v="172"/>
    <x v="0"/>
    <x v="83"/>
    <x v="2"/>
    <x v="582"/>
    <x v="163"/>
    <x v="6"/>
    <x v="6"/>
  </r>
  <r>
    <x v="1439"/>
    <x v="0"/>
    <x v="259"/>
    <x v="1"/>
    <x v="5"/>
    <x v="1"/>
    <x v="130"/>
    <x v="240"/>
    <x v="1"/>
    <x v="1"/>
  </r>
  <r>
    <x v="1439"/>
    <x v="1"/>
    <x v="36"/>
    <x v="0"/>
    <x v="24"/>
    <x v="1"/>
    <x v="187"/>
    <x v="32"/>
    <x v="3"/>
    <x v="3"/>
  </r>
  <r>
    <x v="1439"/>
    <x v="2"/>
    <x v="192"/>
    <x v="0"/>
    <x v="76"/>
    <x v="3"/>
    <x v="583"/>
    <x v="182"/>
    <x v="4"/>
    <x v="4"/>
  </r>
  <r>
    <x v="1439"/>
    <x v="3"/>
    <x v="260"/>
    <x v="1"/>
    <x v="5"/>
    <x v="2"/>
    <x v="125"/>
    <x v="241"/>
    <x v="6"/>
    <x v="6"/>
  </r>
  <r>
    <x v="1439"/>
    <x v="4"/>
    <x v="50"/>
    <x v="1"/>
    <x v="34"/>
    <x v="0"/>
    <x v="166"/>
    <x v="43"/>
    <x v="0"/>
    <x v="0"/>
  </r>
  <r>
    <x v="1440"/>
    <x v="0"/>
    <x v="18"/>
    <x v="0"/>
    <x v="14"/>
    <x v="2"/>
    <x v="62"/>
    <x v="16"/>
    <x v="1"/>
    <x v="1"/>
  </r>
  <r>
    <x v="1440"/>
    <x v="1"/>
    <x v="243"/>
    <x v="1"/>
    <x v="99"/>
    <x v="0"/>
    <x v="584"/>
    <x v="228"/>
    <x v="0"/>
    <x v="0"/>
  </r>
  <r>
    <x v="1440"/>
    <x v="2"/>
    <x v="109"/>
    <x v="0"/>
    <x v="64"/>
    <x v="1"/>
    <x v="383"/>
    <x v="101"/>
    <x v="1"/>
    <x v="1"/>
  </r>
  <r>
    <x v="1441"/>
    <x v="0"/>
    <x v="140"/>
    <x v="0"/>
    <x v="76"/>
    <x v="3"/>
    <x v="583"/>
    <x v="131"/>
    <x v="6"/>
    <x v="6"/>
  </r>
  <r>
    <x v="1441"/>
    <x v="1"/>
    <x v="229"/>
    <x v="0"/>
    <x v="11"/>
    <x v="1"/>
    <x v="36"/>
    <x v="214"/>
    <x v="0"/>
    <x v="0"/>
  </r>
  <r>
    <x v="1441"/>
    <x v="2"/>
    <x v="261"/>
    <x v="1"/>
    <x v="30"/>
    <x v="2"/>
    <x v="211"/>
    <x v="242"/>
    <x v="5"/>
    <x v="5"/>
  </r>
  <r>
    <x v="1442"/>
    <x v="0"/>
    <x v="140"/>
    <x v="0"/>
    <x v="76"/>
    <x v="1"/>
    <x v="546"/>
    <x v="131"/>
    <x v="6"/>
    <x v="6"/>
  </r>
  <r>
    <x v="1442"/>
    <x v="1"/>
    <x v="94"/>
    <x v="0"/>
    <x v="59"/>
    <x v="0"/>
    <x v="260"/>
    <x v="86"/>
    <x v="6"/>
    <x v="6"/>
  </r>
  <r>
    <x v="1442"/>
    <x v="2"/>
    <x v="70"/>
    <x v="1"/>
    <x v="48"/>
    <x v="3"/>
    <x v="284"/>
    <x v="63"/>
    <x v="5"/>
    <x v="5"/>
  </r>
  <r>
    <x v="1443"/>
    <x v="0"/>
    <x v="45"/>
    <x v="0"/>
    <x v="30"/>
    <x v="3"/>
    <x v="276"/>
    <x v="39"/>
    <x v="5"/>
    <x v="5"/>
  </r>
  <r>
    <x v="1443"/>
    <x v="1"/>
    <x v="186"/>
    <x v="1"/>
    <x v="87"/>
    <x v="0"/>
    <x v="534"/>
    <x v="176"/>
    <x v="1"/>
    <x v="1"/>
  </r>
  <r>
    <x v="1444"/>
    <x v="0"/>
    <x v="244"/>
    <x v="1"/>
    <x v="82"/>
    <x v="3"/>
    <x v="585"/>
    <x v="229"/>
    <x v="0"/>
    <x v="0"/>
  </r>
  <r>
    <x v="1444"/>
    <x v="1"/>
    <x v="58"/>
    <x v="0"/>
    <x v="40"/>
    <x v="1"/>
    <x v="435"/>
    <x v="51"/>
    <x v="6"/>
    <x v="6"/>
  </r>
  <r>
    <x v="1444"/>
    <x v="2"/>
    <x v="262"/>
    <x v="1"/>
    <x v="4"/>
    <x v="3"/>
    <x v="52"/>
    <x v="243"/>
    <x v="1"/>
    <x v="1"/>
  </r>
  <r>
    <x v="1445"/>
    <x v="0"/>
    <x v="213"/>
    <x v="0"/>
    <x v="70"/>
    <x v="2"/>
    <x v="573"/>
    <x v="201"/>
    <x v="0"/>
    <x v="0"/>
  </r>
  <r>
    <x v="1445"/>
    <x v="1"/>
    <x v="170"/>
    <x v="1"/>
    <x v="82"/>
    <x v="2"/>
    <x v="586"/>
    <x v="161"/>
    <x v="0"/>
    <x v="0"/>
  </r>
  <r>
    <x v="1445"/>
    <x v="2"/>
    <x v="150"/>
    <x v="1"/>
    <x v="65"/>
    <x v="2"/>
    <x v="515"/>
    <x v="141"/>
    <x v="0"/>
    <x v="0"/>
  </r>
  <r>
    <x v="1446"/>
    <x v="0"/>
    <x v="161"/>
    <x v="0"/>
    <x v="21"/>
    <x v="0"/>
    <x v="147"/>
    <x v="152"/>
    <x v="6"/>
    <x v="6"/>
  </r>
  <r>
    <x v="1447"/>
    <x v="0"/>
    <x v="263"/>
    <x v="0"/>
    <x v="5"/>
    <x v="3"/>
    <x v="92"/>
    <x v="224"/>
    <x v="0"/>
    <x v="0"/>
  </r>
  <r>
    <x v="1448"/>
    <x v="0"/>
    <x v="166"/>
    <x v="0"/>
    <x v="27"/>
    <x v="1"/>
    <x v="466"/>
    <x v="157"/>
    <x v="6"/>
    <x v="6"/>
  </r>
  <r>
    <x v="1448"/>
    <x v="1"/>
    <x v="66"/>
    <x v="0"/>
    <x v="45"/>
    <x v="0"/>
    <x v="206"/>
    <x v="59"/>
    <x v="6"/>
    <x v="6"/>
  </r>
  <r>
    <x v="1448"/>
    <x v="2"/>
    <x v="258"/>
    <x v="1"/>
    <x v="62"/>
    <x v="1"/>
    <x v="278"/>
    <x v="124"/>
    <x v="0"/>
    <x v="0"/>
  </r>
  <r>
    <x v="1448"/>
    <x v="3"/>
    <x v="253"/>
    <x v="1"/>
    <x v="9"/>
    <x v="2"/>
    <x v="126"/>
    <x v="165"/>
    <x v="0"/>
    <x v="0"/>
  </r>
  <r>
    <x v="1448"/>
    <x v="4"/>
    <x v="15"/>
    <x v="1"/>
    <x v="11"/>
    <x v="3"/>
    <x v="23"/>
    <x v="12"/>
    <x v="0"/>
    <x v="0"/>
  </r>
  <r>
    <x v="1449"/>
    <x v="0"/>
    <x v="72"/>
    <x v="0"/>
    <x v="26"/>
    <x v="1"/>
    <x v="255"/>
    <x v="65"/>
    <x v="5"/>
    <x v="5"/>
  </r>
  <r>
    <x v="1449"/>
    <x v="1"/>
    <x v="264"/>
    <x v="1"/>
    <x v="41"/>
    <x v="3"/>
    <x v="216"/>
    <x v="244"/>
    <x v="6"/>
    <x v="6"/>
  </r>
  <r>
    <x v="1449"/>
    <x v="2"/>
    <x v="265"/>
    <x v="0"/>
    <x v="79"/>
    <x v="0"/>
    <x v="587"/>
    <x v="245"/>
    <x v="3"/>
    <x v="3"/>
  </r>
  <r>
    <x v="1449"/>
    <x v="3"/>
    <x v="114"/>
    <x v="1"/>
    <x v="9"/>
    <x v="3"/>
    <x v="42"/>
    <x v="106"/>
    <x v="2"/>
    <x v="2"/>
  </r>
  <r>
    <x v="1449"/>
    <x v="4"/>
    <x v="111"/>
    <x v="1"/>
    <x v="65"/>
    <x v="2"/>
    <x v="515"/>
    <x v="103"/>
    <x v="0"/>
    <x v="0"/>
  </r>
  <r>
    <x v="1450"/>
    <x v="0"/>
    <x v="266"/>
    <x v="0"/>
    <x v="46"/>
    <x v="2"/>
    <x v="423"/>
    <x v="246"/>
    <x v="1"/>
    <x v="1"/>
  </r>
  <r>
    <x v="1451"/>
    <x v="0"/>
    <x v="40"/>
    <x v="1"/>
    <x v="15"/>
    <x v="3"/>
    <x v="50"/>
    <x v="35"/>
    <x v="5"/>
    <x v="5"/>
  </r>
  <r>
    <x v="1451"/>
    <x v="1"/>
    <x v="150"/>
    <x v="0"/>
    <x v="65"/>
    <x v="0"/>
    <x v="588"/>
    <x v="141"/>
    <x v="0"/>
    <x v="0"/>
  </r>
  <r>
    <x v="1451"/>
    <x v="2"/>
    <x v="106"/>
    <x v="1"/>
    <x v="39"/>
    <x v="2"/>
    <x v="219"/>
    <x v="98"/>
    <x v="5"/>
    <x v="5"/>
  </r>
  <r>
    <x v="1451"/>
    <x v="3"/>
    <x v="36"/>
    <x v="1"/>
    <x v="24"/>
    <x v="1"/>
    <x v="207"/>
    <x v="32"/>
    <x v="3"/>
    <x v="3"/>
  </r>
  <r>
    <x v="1452"/>
    <x v="0"/>
    <x v="84"/>
    <x v="1"/>
    <x v="30"/>
    <x v="3"/>
    <x v="343"/>
    <x v="77"/>
    <x v="5"/>
    <x v="5"/>
  </r>
  <r>
    <x v="1453"/>
    <x v="0"/>
    <x v="125"/>
    <x v="0"/>
    <x v="70"/>
    <x v="1"/>
    <x v="500"/>
    <x v="116"/>
    <x v="5"/>
    <x v="5"/>
  </r>
  <r>
    <x v="1453"/>
    <x v="1"/>
    <x v="100"/>
    <x v="1"/>
    <x v="61"/>
    <x v="3"/>
    <x v="302"/>
    <x v="92"/>
    <x v="1"/>
    <x v="1"/>
  </r>
  <r>
    <x v="1453"/>
    <x v="2"/>
    <x v="190"/>
    <x v="0"/>
    <x v="89"/>
    <x v="0"/>
    <x v="589"/>
    <x v="180"/>
    <x v="1"/>
    <x v="1"/>
  </r>
  <r>
    <x v="1453"/>
    <x v="3"/>
    <x v="83"/>
    <x v="1"/>
    <x v="8"/>
    <x v="2"/>
    <x v="11"/>
    <x v="76"/>
    <x v="1"/>
    <x v="1"/>
  </r>
  <r>
    <x v="1454"/>
    <x v="0"/>
    <x v="70"/>
    <x v="1"/>
    <x v="48"/>
    <x v="2"/>
    <x v="470"/>
    <x v="63"/>
    <x v="5"/>
    <x v="5"/>
  </r>
  <r>
    <x v="1454"/>
    <x v="1"/>
    <x v="226"/>
    <x v="0"/>
    <x v="5"/>
    <x v="0"/>
    <x v="56"/>
    <x v="155"/>
    <x v="0"/>
    <x v="0"/>
  </r>
  <r>
    <x v="1455"/>
    <x v="0"/>
    <x v="230"/>
    <x v="1"/>
    <x v="66"/>
    <x v="2"/>
    <x v="590"/>
    <x v="215"/>
    <x v="4"/>
    <x v="4"/>
  </r>
  <r>
    <x v="1455"/>
    <x v="1"/>
    <x v="267"/>
    <x v="0"/>
    <x v="82"/>
    <x v="1"/>
    <x v="523"/>
    <x v="247"/>
    <x v="0"/>
    <x v="0"/>
  </r>
  <r>
    <x v="1455"/>
    <x v="2"/>
    <x v="217"/>
    <x v="1"/>
    <x v="93"/>
    <x v="3"/>
    <x v="591"/>
    <x v="205"/>
    <x v="5"/>
    <x v="5"/>
  </r>
  <r>
    <x v="1455"/>
    <x v="3"/>
    <x v="268"/>
    <x v="0"/>
    <x v="95"/>
    <x v="3"/>
    <x v="592"/>
    <x v="248"/>
    <x v="5"/>
    <x v="5"/>
  </r>
  <r>
    <x v="1455"/>
    <x v="4"/>
    <x v="250"/>
    <x v="0"/>
    <x v="14"/>
    <x v="3"/>
    <x v="107"/>
    <x v="234"/>
    <x v="1"/>
    <x v="1"/>
  </r>
  <r>
    <x v="1456"/>
    <x v="0"/>
    <x v="191"/>
    <x v="0"/>
    <x v="26"/>
    <x v="1"/>
    <x v="255"/>
    <x v="181"/>
    <x v="1"/>
    <x v="1"/>
  </r>
  <r>
    <x v="1456"/>
    <x v="1"/>
    <x v="103"/>
    <x v="0"/>
    <x v="38"/>
    <x v="0"/>
    <x v="314"/>
    <x v="95"/>
    <x v="3"/>
    <x v="3"/>
  </r>
  <r>
    <x v="1456"/>
    <x v="2"/>
    <x v="217"/>
    <x v="0"/>
    <x v="93"/>
    <x v="0"/>
    <x v="593"/>
    <x v="205"/>
    <x v="5"/>
    <x v="5"/>
  </r>
  <r>
    <x v="1456"/>
    <x v="3"/>
    <x v="182"/>
    <x v="1"/>
    <x v="50"/>
    <x v="0"/>
    <x v="312"/>
    <x v="172"/>
    <x v="6"/>
    <x v="6"/>
  </r>
  <r>
    <x v="1457"/>
    <x v="0"/>
    <x v="214"/>
    <x v="1"/>
    <x v="70"/>
    <x v="2"/>
    <x v="571"/>
    <x v="202"/>
    <x v="5"/>
    <x v="5"/>
  </r>
  <r>
    <x v="1457"/>
    <x v="1"/>
    <x v="86"/>
    <x v="0"/>
    <x v="54"/>
    <x v="2"/>
    <x v="391"/>
    <x v="79"/>
    <x v="3"/>
    <x v="3"/>
  </r>
  <r>
    <x v="1457"/>
    <x v="2"/>
    <x v="10"/>
    <x v="0"/>
    <x v="8"/>
    <x v="2"/>
    <x v="101"/>
    <x v="9"/>
    <x v="0"/>
    <x v="0"/>
  </r>
  <r>
    <x v="1457"/>
    <x v="3"/>
    <x v="46"/>
    <x v="1"/>
    <x v="31"/>
    <x v="3"/>
    <x v="300"/>
    <x v="40"/>
    <x v="0"/>
    <x v="0"/>
  </r>
  <r>
    <x v="1458"/>
    <x v="0"/>
    <x v="269"/>
    <x v="0"/>
    <x v="101"/>
    <x v="3"/>
    <x v="594"/>
    <x v="249"/>
    <x v="0"/>
    <x v="0"/>
  </r>
  <r>
    <x v="1459"/>
    <x v="0"/>
    <x v="270"/>
    <x v="0"/>
    <x v="76"/>
    <x v="2"/>
    <x v="518"/>
    <x v="250"/>
    <x v="4"/>
    <x v="4"/>
  </r>
  <r>
    <x v="1459"/>
    <x v="1"/>
    <x v="35"/>
    <x v="0"/>
    <x v="15"/>
    <x v="1"/>
    <x v="75"/>
    <x v="31"/>
    <x v="0"/>
    <x v="0"/>
  </r>
  <r>
    <x v="1459"/>
    <x v="2"/>
    <x v="271"/>
    <x v="0"/>
    <x v="5"/>
    <x v="2"/>
    <x v="132"/>
    <x v="251"/>
    <x v="6"/>
    <x v="6"/>
  </r>
  <r>
    <x v="1459"/>
    <x v="3"/>
    <x v="14"/>
    <x v="1"/>
    <x v="12"/>
    <x v="1"/>
    <x v="102"/>
    <x v="13"/>
    <x v="1"/>
    <x v="1"/>
  </r>
  <r>
    <x v="1459"/>
    <x v="4"/>
    <x v="262"/>
    <x v="1"/>
    <x v="4"/>
    <x v="1"/>
    <x v="13"/>
    <x v="243"/>
    <x v="1"/>
    <x v="1"/>
  </r>
  <r>
    <x v="1460"/>
    <x v="0"/>
    <x v="74"/>
    <x v="0"/>
    <x v="42"/>
    <x v="0"/>
    <x v="224"/>
    <x v="67"/>
    <x v="6"/>
    <x v="6"/>
  </r>
  <r>
    <x v="1460"/>
    <x v="1"/>
    <x v="243"/>
    <x v="1"/>
    <x v="99"/>
    <x v="0"/>
    <x v="584"/>
    <x v="228"/>
    <x v="0"/>
    <x v="0"/>
  </r>
  <r>
    <x v="1461"/>
    <x v="0"/>
    <x v="160"/>
    <x v="0"/>
    <x v="81"/>
    <x v="0"/>
    <x v="581"/>
    <x v="151"/>
    <x v="5"/>
    <x v="5"/>
  </r>
  <r>
    <x v="1461"/>
    <x v="1"/>
    <x v="22"/>
    <x v="0"/>
    <x v="17"/>
    <x v="1"/>
    <x v="88"/>
    <x v="19"/>
    <x v="3"/>
    <x v="3"/>
  </r>
  <r>
    <x v="1461"/>
    <x v="2"/>
    <x v="195"/>
    <x v="0"/>
    <x v="10"/>
    <x v="3"/>
    <x v="80"/>
    <x v="185"/>
    <x v="0"/>
    <x v="0"/>
  </r>
  <r>
    <x v="1461"/>
    <x v="3"/>
    <x v="272"/>
    <x v="0"/>
    <x v="75"/>
    <x v="3"/>
    <x v="595"/>
    <x v="252"/>
    <x v="5"/>
    <x v="5"/>
  </r>
  <r>
    <x v="1461"/>
    <x v="4"/>
    <x v="211"/>
    <x v="0"/>
    <x v="9"/>
    <x v="2"/>
    <x v="121"/>
    <x v="199"/>
    <x v="0"/>
    <x v="0"/>
  </r>
  <r>
    <x v="1462"/>
    <x v="0"/>
    <x v="80"/>
    <x v="1"/>
    <x v="53"/>
    <x v="2"/>
    <x v="443"/>
    <x v="73"/>
    <x v="6"/>
    <x v="6"/>
  </r>
  <r>
    <x v="1462"/>
    <x v="1"/>
    <x v="163"/>
    <x v="0"/>
    <x v="2"/>
    <x v="2"/>
    <x v="99"/>
    <x v="154"/>
    <x v="6"/>
    <x v="6"/>
  </r>
  <r>
    <x v="1463"/>
    <x v="0"/>
    <x v="36"/>
    <x v="1"/>
    <x v="24"/>
    <x v="2"/>
    <x v="293"/>
    <x v="32"/>
    <x v="3"/>
    <x v="3"/>
  </r>
  <r>
    <x v="1463"/>
    <x v="1"/>
    <x v="190"/>
    <x v="0"/>
    <x v="89"/>
    <x v="0"/>
    <x v="589"/>
    <x v="180"/>
    <x v="1"/>
    <x v="1"/>
  </r>
  <r>
    <x v="1463"/>
    <x v="2"/>
    <x v="218"/>
    <x v="1"/>
    <x v="50"/>
    <x v="0"/>
    <x v="312"/>
    <x v="206"/>
    <x v="6"/>
    <x v="6"/>
  </r>
  <r>
    <x v="1463"/>
    <x v="3"/>
    <x v="117"/>
    <x v="1"/>
    <x v="68"/>
    <x v="2"/>
    <x v="596"/>
    <x v="109"/>
    <x v="6"/>
    <x v="6"/>
  </r>
  <r>
    <x v="1464"/>
    <x v="0"/>
    <x v="63"/>
    <x v="1"/>
    <x v="43"/>
    <x v="2"/>
    <x v="281"/>
    <x v="56"/>
    <x v="0"/>
    <x v="0"/>
  </r>
  <r>
    <x v="1465"/>
    <x v="0"/>
    <x v="273"/>
    <x v="1"/>
    <x v="65"/>
    <x v="1"/>
    <x v="562"/>
    <x v="204"/>
    <x v="3"/>
    <x v="3"/>
  </r>
  <r>
    <x v="1465"/>
    <x v="1"/>
    <x v="211"/>
    <x v="0"/>
    <x v="9"/>
    <x v="2"/>
    <x v="121"/>
    <x v="199"/>
    <x v="0"/>
    <x v="0"/>
  </r>
  <r>
    <x v="1465"/>
    <x v="2"/>
    <x v="179"/>
    <x v="1"/>
    <x v="84"/>
    <x v="0"/>
    <x v="529"/>
    <x v="169"/>
    <x v="6"/>
    <x v="6"/>
  </r>
  <r>
    <x v="1465"/>
    <x v="3"/>
    <x v="62"/>
    <x v="1"/>
    <x v="42"/>
    <x v="2"/>
    <x v="199"/>
    <x v="55"/>
    <x v="1"/>
    <x v="1"/>
  </r>
  <r>
    <x v="1466"/>
    <x v="0"/>
    <x v="9"/>
    <x v="0"/>
    <x v="7"/>
    <x v="1"/>
    <x v="10"/>
    <x v="8"/>
    <x v="0"/>
    <x v="0"/>
  </r>
  <r>
    <x v="1466"/>
    <x v="1"/>
    <x v="185"/>
    <x v="0"/>
    <x v="41"/>
    <x v="0"/>
    <x v="334"/>
    <x v="175"/>
    <x v="1"/>
    <x v="1"/>
  </r>
  <r>
    <x v="1466"/>
    <x v="2"/>
    <x v="274"/>
    <x v="1"/>
    <x v="75"/>
    <x v="3"/>
    <x v="597"/>
    <x v="253"/>
    <x v="5"/>
    <x v="5"/>
  </r>
  <r>
    <x v="1467"/>
    <x v="0"/>
    <x v="116"/>
    <x v="0"/>
    <x v="67"/>
    <x v="2"/>
    <x v="598"/>
    <x v="108"/>
    <x v="5"/>
    <x v="5"/>
  </r>
  <r>
    <x v="1467"/>
    <x v="1"/>
    <x v="71"/>
    <x v="0"/>
    <x v="23"/>
    <x v="1"/>
    <x v="193"/>
    <x v="64"/>
    <x v="6"/>
    <x v="6"/>
  </r>
  <r>
    <x v="1467"/>
    <x v="2"/>
    <x v="69"/>
    <x v="1"/>
    <x v="47"/>
    <x v="1"/>
    <x v="390"/>
    <x v="62"/>
    <x v="6"/>
    <x v="6"/>
  </r>
  <r>
    <x v="1468"/>
    <x v="0"/>
    <x v="104"/>
    <x v="1"/>
    <x v="62"/>
    <x v="0"/>
    <x v="491"/>
    <x v="96"/>
    <x v="0"/>
    <x v="0"/>
  </r>
  <r>
    <x v="1468"/>
    <x v="1"/>
    <x v="148"/>
    <x v="1"/>
    <x v="78"/>
    <x v="2"/>
    <x v="514"/>
    <x v="139"/>
    <x v="0"/>
    <x v="0"/>
  </r>
  <r>
    <x v="1468"/>
    <x v="2"/>
    <x v="197"/>
    <x v="0"/>
    <x v="50"/>
    <x v="1"/>
    <x v="202"/>
    <x v="187"/>
    <x v="6"/>
    <x v="6"/>
  </r>
  <r>
    <x v="1468"/>
    <x v="3"/>
    <x v="96"/>
    <x v="1"/>
    <x v="26"/>
    <x v="2"/>
    <x v="162"/>
    <x v="88"/>
    <x v="5"/>
    <x v="5"/>
  </r>
  <r>
    <x v="1469"/>
    <x v="0"/>
    <x v="55"/>
    <x v="1"/>
    <x v="38"/>
    <x v="3"/>
    <x v="267"/>
    <x v="48"/>
    <x v="3"/>
    <x v="3"/>
  </r>
  <r>
    <x v="1469"/>
    <x v="1"/>
    <x v="275"/>
    <x v="0"/>
    <x v="74"/>
    <x v="2"/>
    <x v="527"/>
    <x v="254"/>
    <x v="5"/>
    <x v="5"/>
  </r>
  <r>
    <x v="1469"/>
    <x v="2"/>
    <x v="253"/>
    <x v="1"/>
    <x v="9"/>
    <x v="2"/>
    <x v="126"/>
    <x v="165"/>
    <x v="0"/>
    <x v="0"/>
  </r>
  <r>
    <x v="1470"/>
    <x v="0"/>
    <x v="64"/>
    <x v="1"/>
    <x v="44"/>
    <x v="0"/>
    <x v="332"/>
    <x v="57"/>
    <x v="6"/>
    <x v="6"/>
  </r>
  <r>
    <x v="1470"/>
    <x v="1"/>
    <x v="169"/>
    <x v="0"/>
    <x v="1"/>
    <x v="1"/>
    <x v="31"/>
    <x v="160"/>
    <x v="1"/>
    <x v="1"/>
  </r>
  <r>
    <x v="1471"/>
    <x v="0"/>
    <x v="73"/>
    <x v="0"/>
    <x v="49"/>
    <x v="0"/>
    <x v="233"/>
    <x v="66"/>
    <x v="5"/>
    <x v="5"/>
  </r>
  <r>
    <x v="1471"/>
    <x v="1"/>
    <x v="133"/>
    <x v="0"/>
    <x v="62"/>
    <x v="0"/>
    <x v="403"/>
    <x v="124"/>
    <x v="3"/>
    <x v="3"/>
  </r>
  <r>
    <x v="1472"/>
    <x v="0"/>
    <x v="73"/>
    <x v="1"/>
    <x v="49"/>
    <x v="0"/>
    <x v="286"/>
    <x v="66"/>
    <x v="5"/>
    <x v="5"/>
  </r>
  <r>
    <x v="1472"/>
    <x v="1"/>
    <x v="48"/>
    <x v="0"/>
    <x v="26"/>
    <x v="1"/>
    <x v="255"/>
    <x v="34"/>
    <x v="3"/>
    <x v="3"/>
  </r>
  <r>
    <x v="1473"/>
    <x v="0"/>
    <x v="235"/>
    <x v="0"/>
    <x v="65"/>
    <x v="0"/>
    <x v="588"/>
    <x v="220"/>
    <x v="3"/>
    <x v="3"/>
  </r>
  <r>
    <x v="1473"/>
    <x v="1"/>
    <x v="262"/>
    <x v="0"/>
    <x v="4"/>
    <x v="2"/>
    <x v="6"/>
    <x v="243"/>
    <x v="1"/>
    <x v="1"/>
  </r>
  <r>
    <x v="1474"/>
    <x v="0"/>
    <x v="210"/>
    <x v="1"/>
    <x v="65"/>
    <x v="2"/>
    <x v="515"/>
    <x v="191"/>
    <x v="3"/>
    <x v="3"/>
  </r>
  <r>
    <x v="1474"/>
    <x v="1"/>
    <x v="276"/>
    <x v="1"/>
    <x v="65"/>
    <x v="1"/>
    <x v="562"/>
    <x v="220"/>
    <x v="0"/>
    <x v="0"/>
  </r>
  <r>
    <x v="1474"/>
    <x v="2"/>
    <x v="254"/>
    <x v="1"/>
    <x v="87"/>
    <x v="2"/>
    <x v="599"/>
    <x v="237"/>
    <x v="6"/>
    <x v="6"/>
  </r>
  <r>
    <x v="1474"/>
    <x v="3"/>
    <x v="277"/>
    <x v="1"/>
    <x v="0"/>
    <x v="0"/>
    <x v="24"/>
    <x v="255"/>
    <x v="0"/>
    <x v="0"/>
  </r>
  <r>
    <x v="1475"/>
    <x v="0"/>
    <x v="199"/>
    <x v="1"/>
    <x v="41"/>
    <x v="1"/>
    <x v="540"/>
    <x v="189"/>
    <x v="1"/>
    <x v="1"/>
  </r>
  <r>
    <x v="1475"/>
    <x v="1"/>
    <x v="87"/>
    <x v="1"/>
    <x v="29"/>
    <x v="1"/>
    <x v="172"/>
    <x v="80"/>
    <x v="5"/>
    <x v="5"/>
  </r>
  <r>
    <x v="1475"/>
    <x v="2"/>
    <x v="52"/>
    <x v="0"/>
    <x v="28"/>
    <x v="1"/>
    <x v="192"/>
    <x v="45"/>
    <x v="1"/>
    <x v="1"/>
  </r>
  <r>
    <x v="1475"/>
    <x v="3"/>
    <x v="278"/>
    <x v="0"/>
    <x v="66"/>
    <x v="3"/>
    <x v="513"/>
    <x v="256"/>
    <x v="4"/>
    <x v="4"/>
  </r>
  <r>
    <x v="1475"/>
    <x v="4"/>
    <x v="237"/>
    <x v="1"/>
    <x v="95"/>
    <x v="3"/>
    <x v="600"/>
    <x v="222"/>
    <x v="5"/>
    <x v="5"/>
  </r>
  <r>
    <x v="1476"/>
    <x v="0"/>
    <x v="221"/>
    <x v="1"/>
    <x v="2"/>
    <x v="0"/>
    <x v="54"/>
    <x v="154"/>
    <x v="2"/>
    <x v="2"/>
  </r>
  <r>
    <x v="1477"/>
    <x v="0"/>
    <x v="96"/>
    <x v="1"/>
    <x v="26"/>
    <x v="3"/>
    <x v="270"/>
    <x v="88"/>
    <x v="5"/>
    <x v="5"/>
  </r>
  <r>
    <x v="1477"/>
    <x v="1"/>
    <x v="262"/>
    <x v="0"/>
    <x v="4"/>
    <x v="0"/>
    <x v="90"/>
    <x v="243"/>
    <x v="1"/>
    <x v="1"/>
  </r>
  <r>
    <x v="1478"/>
    <x v="0"/>
    <x v="253"/>
    <x v="0"/>
    <x v="9"/>
    <x v="2"/>
    <x v="121"/>
    <x v="165"/>
    <x v="0"/>
    <x v="0"/>
  </r>
  <r>
    <x v="1478"/>
    <x v="1"/>
    <x v="279"/>
    <x v="0"/>
    <x v="65"/>
    <x v="3"/>
    <x v="492"/>
    <x v="257"/>
    <x v="0"/>
    <x v="0"/>
  </r>
  <r>
    <x v="1479"/>
    <x v="0"/>
    <x v="239"/>
    <x v="1"/>
    <x v="5"/>
    <x v="3"/>
    <x v="8"/>
    <x v="224"/>
    <x v="3"/>
    <x v="3"/>
  </r>
  <r>
    <x v="1479"/>
    <x v="1"/>
    <x v="90"/>
    <x v="1"/>
    <x v="43"/>
    <x v="3"/>
    <x v="240"/>
    <x v="83"/>
    <x v="0"/>
    <x v="0"/>
  </r>
  <r>
    <x v="1479"/>
    <x v="2"/>
    <x v="102"/>
    <x v="1"/>
    <x v="30"/>
    <x v="1"/>
    <x v="268"/>
    <x v="94"/>
    <x v="5"/>
    <x v="5"/>
  </r>
  <r>
    <x v="1479"/>
    <x v="3"/>
    <x v="205"/>
    <x v="1"/>
    <x v="92"/>
    <x v="1"/>
    <x v="601"/>
    <x v="195"/>
    <x v="0"/>
    <x v="0"/>
  </r>
  <r>
    <x v="1480"/>
    <x v="0"/>
    <x v="29"/>
    <x v="1"/>
    <x v="5"/>
    <x v="1"/>
    <x v="130"/>
    <x v="25"/>
    <x v="6"/>
    <x v="6"/>
  </r>
  <r>
    <x v="1480"/>
    <x v="1"/>
    <x v="177"/>
    <x v="0"/>
    <x v="69"/>
    <x v="3"/>
    <x v="602"/>
    <x v="167"/>
    <x v="1"/>
    <x v="1"/>
  </r>
  <r>
    <x v="1481"/>
    <x v="0"/>
    <x v="74"/>
    <x v="0"/>
    <x v="42"/>
    <x v="3"/>
    <x v="404"/>
    <x v="67"/>
    <x v="6"/>
    <x v="6"/>
  </r>
  <r>
    <x v="1481"/>
    <x v="1"/>
    <x v="191"/>
    <x v="0"/>
    <x v="26"/>
    <x v="2"/>
    <x v="275"/>
    <x v="181"/>
    <x v="1"/>
    <x v="1"/>
  </r>
  <r>
    <x v="1481"/>
    <x v="2"/>
    <x v="71"/>
    <x v="1"/>
    <x v="23"/>
    <x v="1"/>
    <x v="179"/>
    <x v="64"/>
    <x v="6"/>
    <x v="6"/>
  </r>
  <r>
    <x v="1481"/>
    <x v="3"/>
    <x v="95"/>
    <x v="0"/>
    <x v="23"/>
    <x v="2"/>
    <x v="292"/>
    <x v="87"/>
    <x v="1"/>
    <x v="1"/>
  </r>
  <r>
    <x v="1481"/>
    <x v="4"/>
    <x v="137"/>
    <x v="1"/>
    <x v="23"/>
    <x v="2"/>
    <x v="244"/>
    <x v="128"/>
    <x v="4"/>
    <x v="4"/>
  </r>
  <r>
    <x v="1482"/>
    <x v="0"/>
    <x v="280"/>
    <x v="0"/>
    <x v="26"/>
    <x v="2"/>
    <x v="275"/>
    <x v="258"/>
    <x v="5"/>
    <x v="5"/>
  </r>
  <r>
    <x v="1482"/>
    <x v="1"/>
    <x v="219"/>
    <x v="1"/>
    <x v="72"/>
    <x v="1"/>
    <x v="603"/>
    <x v="129"/>
    <x v="0"/>
    <x v="0"/>
  </r>
  <r>
    <x v="1483"/>
    <x v="0"/>
    <x v="214"/>
    <x v="1"/>
    <x v="70"/>
    <x v="1"/>
    <x v="604"/>
    <x v="202"/>
    <x v="5"/>
    <x v="5"/>
  </r>
  <r>
    <x v="1483"/>
    <x v="1"/>
    <x v="60"/>
    <x v="1"/>
    <x v="25"/>
    <x v="0"/>
    <x v="165"/>
    <x v="53"/>
    <x v="6"/>
    <x v="6"/>
  </r>
  <r>
    <x v="1483"/>
    <x v="2"/>
    <x v="138"/>
    <x v="1"/>
    <x v="72"/>
    <x v="2"/>
    <x v="503"/>
    <x v="129"/>
    <x v="3"/>
    <x v="3"/>
  </r>
  <r>
    <x v="1484"/>
    <x v="0"/>
    <x v="281"/>
    <x v="1"/>
    <x v="50"/>
    <x v="0"/>
    <x v="312"/>
    <x v="259"/>
    <x v="1"/>
    <x v="1"/>
  </r>
  <r>
    <x v="1484"/>
    <x v="1"/>
    <x v="176"/>
    <x v="0"/>
    <x v="70"/>
    <x v="0"/>
    <x v="605"/>
    <x v="166"/>
    <x v="5"/>
    <x v="5"/>
  </r>
  <r>
    <x v="1485"/>
    <x v="0"/>
    <x v="91"/>
    <x v="1"/>
    <x v="57"/>
    <x v="2"/>
    <x v="447"/>
    <x v="84"/>
    <x v="4"/>
    <x v="4"/>
  </r>
  <r>
    <x v="1485"/>
    <x v="1"/>
    <x v="72"/>
    <x v="0"/>
    <x v="26"/>
    <x v="2"/>
    <x v="275"/>
    <x v="65"/>
    <x v="5"/>
    <x v="5"/>
  </r>
  <r>
    <x v="1485"/>
    <x v="2"/>
    <x v="191"/>
    <x v="0"/>
    <x v="26"/>
    <x v="3"/>
    <x v="164"/>
    <x v="181"/>
    <x v="1"/>
    <x v="1"/>
  </r>
  <r>
    <x v="1485"/>
    <x v="3"/>
    <x v="116"/>
    <x v="0"/>
    <x v="67"/>
    <x v="3"/>
    <x v="606"/>
    <x v="108"/>
    <x v="5"/>
    <x v="5"/>
  </r>
  <r>
    <x v="1486"/>
    <x v="0"/>
    <x v="140"/>
    <x v="0"/>
    <x v="76"/>
    <x v="1"/>
    <x v="546"/>
    <x v="131"/>
    <x v="6"/>
    <x v="6"/>
  </r>
  <r>
    <x v="1486"/>
    <x v="1"/>
    <x v="117"/>
    <x v="1"/>
    <x v="68"/>
    <x v="0"/>
    <x v="607"/>
    <x v="109"/>
    <x v="6"/>
    <x v="6"/>
  </r>
  <r>
    <x v="1486"/>
    <x v="2"/>
    <x v="255"/>
    <x v="0"/>
    <x v="9"/>
    <x v="2"/>
    <x v="121"/>
    <x v="199"/>
    <x v="4"/>
    <x v="4"/>
  </r>
  <r>
    <x v="1486"/>
    <x v="3"/>
    <x v="282"/>
    <x v="0"/>
    <x v="27"/>
    <x v="2"/>
    <x v="258"/>
    <x v="260"/>
    <x v="4"/>
    <x v="4"/>
  </r>
  <r>
    <x v="1486"/>
    <x v="4"/>
    <x v="81"/>
    <x v="1"/>
    <x v="29"/>
    <x v="0"/>
    <x v="209"/>
    <x v="74"/>
    <x v="5"/>
    <x v="5"/>
  </r>
  <r>
    <x v="1487"/>
    <x v="0"/>
    <x v="41"/>
    <x v="0"/>
    <x v="27"/>
    <x v="1"/>
    <x v="466"/>
    <x v="36"/>
    <x v="1"/>
    <x v="1"/>
  </r>
  <r>
    <x v="1487"/>
    <x v="1"/>
    <x v="281"/>
    <x v="0"/>
    <x v="50"/>
    <x v="1"/>
    <x v="202"/>
    <x v="259"/>
    <x v="1"/>
    <x v="1"/>
  </r>
  <r>
    <x v="1488"/>
    <x v="0"/>
    <x v="255"/>
    <x v="0"/>
    <x v="9"/>
    <x v="0"/>
    <x v="141"/>
    <x v="199"/>
    <x v="4"/>
    <x v="4"/>
  </r>
  <r>
    <x v="1488"/>
    <x v="1"/>
    <x v="129"/>
    <x v="1"/>
    <x v="74"/>
    <x v="0"/>
    <x v="521"/>
    <x v="120"/>
    <x v="5"/>
    <x v="5"/>
  </r>
  <r>
    <x v="1488"/>
    <x v="2"/>
    <x v="58"/>
    <x v="0"/>
    <x v="40"/>
    <x v="3"/>
    <x v="340"/>
    <x v="51"/>
    <x v="6"/>
    <x v="6"/>
  </r>
  <r>
    <x v="1489"/>
    <x v="0"/>
    <x v="40"/>
    <x v="0"/>
    <x v="15"/>
    <x v="3"/>
    <x v="37"/>
    <x v="35"/>
    <x v="5"/>
    <x v="5"/>
  </r>
  <r>
    <x v="1489"/>
    <x v="1"/>
    <x v="226"/>
    <x v="0"/>
    <x v="5"/>
    <x v="3"/>
    <x v="92"/>
    <x v="155"/>
    <x v="0"/>
    <x v="0"/>
  </r>
  <r>
    <x v="1489"/>
    <x v="2"/>
    <x v="283"/>
    <x v="0"/>
    <x v="70"/>
    <x v="2"/>
    <x v="573"/>
    <x v="261"/>
    <x v="0"/>
    <x v="0"/>
  </r>
  <r>
    <x v="1490"/>
    <x v="0"/>
    <x v="43"/>
    <x v="1"/>
    <x v="15"/>
    <x v="0"/>
    <x v="33"/>
    <x v="31"/>
    <x v="5"/>
    <x v="5"/>
  </r>
  <r>
    <x v="1490"/>
    <x v="1"/>
    <x v="246"/>
    <x v="0"/>
    <x v="19"/>
    <x v="2"/>
    <x v="399"/>
    <x v="231"/>
    <x v="3"/>
    <x v="3"/>
  </r>
  <r>
    <x v="1490"/>
    <x v="2"/>
    <x v="91"/>
    <x v="1"/>
    <x v="57"/>
    <x v="1"/>
    <x v="469"/>
    <x v="84"/>
    <x v="4"/>
    <x v="4"/>
  </r>
  <r>
    <x v="1490"/>
    <x v="3"/>
    <x v="112"/>
    <x v="1"/>
    <x v="9"/>
    <x v="1"/>
    <x v="14"/>
    <x v="104"/>
    <x v="1"/>
    <x v="1"/>
  </r>
  <r>
    <x v="1491"/>
    <x v="0"/>
    <x v="88"/>
    <x v="1"/>
    <x v="55"/>
    <x v="3"/>
    <x v="438"/>
    <x v="81"/>
    <x v="1"/>
    <x v="1"/>
  </r>
  <r>
    <x v="1492"/>
    <x v="0"/>
    <x v="128"/>
    <x v="0"/>
    <x v="73"/>
    <x v="3"/>
    <x v="608"/>
    <x v="119"/>
    <x v="0"/>
    <x v="0"/>
  </r>
  <r>
    <x v="1493"/>
    <x v="0"/>
    <x v="128"/>
    <x v="1"/>
    <x v="73"/>
    <x v="3"/>
    <x v="609"/>
    <x v="119"/>
    <x v="0"/>
    <x v="0"/>
  </r>
  <r>
    <x v="1493"/>
    <x v="1"/>
    <x v="260"/>
    <x v="1"/>
    <x v="5"/>
    <x v="0"/>
    <x v="39"/>
    <x v="241"/>
    <x v="6"/>
    <x v="6"/>
  </r>
  <r>
    <x v="1493"/>
    <x v="2"/>
    <x v="240"/>
    <x v="1"/>
    <x v="33"/>
    <x v="2"/>
    <x v="163"/>
    <x v="225"/>
    <x v="5"/>
    <x v="5"/>
  </r>
  <r>
    <x v="1494"/>
    <x v="0"/>
    <x v="208"/>
    <x v="1"/>
    <x v="75"/>
    <x v="2"/>
    <x v="566"/>
    <x v="197"/>
    <x v="5"/>
    <x v="5"/>
  </r>
  <r>
    <x v="1494"/>
    <x v="1"/>
    <x v="239"/>
    <x v="1"/>
    <x v="5"/>
    <x v="0"/>
    <x v="39"/>
    <x v="224"/>
    <x v="3"/>
    <x v="3"/>
  </r>
  <r>
    <x v="1494"/>
    <x v="2"/>
    <x v="234"/>
    <x v="0"/>
    <x v="88"/>
    <x v="3"/>
    <x v="580"/>
    <x v="219"/>
    <x v="1"/>
    <x v="1"/>
  </r>
  <r>
    <x v="1495"/>
    <x v="0"/>
    <x v="277"/>
    <x v="0"/>
    <x v="0"/>
    <x v="1"/>
    <x v="5"/>
    <x v="255"/>
    <x v="0"/>
    <x v="0"/>
  </r>
  <r>
    <x v="1495"/>
    <x v="1"/>
    <x v="204"/>
    <x v="0"/>
    <x v="65"/>
    <x v="1"/>
    <x v="610"/>
    <x v="194"/>
    <x v="0"/>
    <x v="0"/>
  </r>
  <r>
    <x v="1495"/>
    <x v="2"/>
    <x v="222"/>
    <x v="1"/>
    <x v="71"/>
    <x v="2"/>
    <x v="611"/>
    <x v="208"/>
    <x v="0"/>
    <x v="0"/>
  </r>
  <r>
    <x v="1495"/>
    <x v="3"/>
    <x v="246"/>
    <x v="0"/>
    <x v="19"/>
    <x v="2"/>
    <x v="399"/>
    <x v="231"/>
    <x v="3"/>
    <x v="3"/>
  </r>
  <r>
    <x v="1495"/>
    <x v="4"/>
    <x v="205"/>
    <x v="1"/>
    <x v="92"/>
    <x v="0"/>
    <x v="612"/>
    <x v="195"/>
    <x v="0"/>
    <x v="0"/>
  </r>
  <r>
    <x v="1496"/>
    <x v="0"/>
    <x v="257"/>
    <x v="1"/>
    <x v="100"/>
    <x v="0"/>
    <x v="613"/>
    <x v="239"/>
    <x v="1"/>
    <x v="1"/>
  </r>
  <r>
    <x v="1496"/>
    <x v="1"/>
    <x v="255"/>
    <x v="1"/>
    <x v="9"/>
    <x v="3"/>
    <x v="42"/>
    <x v="199"/>
    <x v="4"/>
    <x v="4"/>
  </r>
  <r>
    <x v="1496"/>
    <x v="2"/>
    <x v="180"/>
    <x v="1"/>
    <x v="85"/>
    <x v="1"/>
    <x v="530"/>
    <x v="170"/>
    <x v="4"/>
    <x v="4"/>
  </r>
  <r>
    <x v="1497"/>
    <x v="0"/>
    <x v="155"/>
    <x v="0"/>
    <x v="41"/>
    <x v="2"/>
    <x v="361"/>
    <x v="146"/>
    <x v="6"/>
    <x v="6"/>
  </r>
  <r>
    <x v="1497"/>
    <x v="1"/>
    <x v="258"/>
    <x v="1"/>
    <x v="62"/>
    <x v="1"/>
    <x v="278"/>
    <x v="124"/>
    <x v="0"/>
    <x v="0"/>
  </r>
  <r>
    <x v="1498"/>
    <x v="0"/>
    <x v="55"/>
    <x v="0"/>
    <x v="38"/>
    <x v="2"/>
    <x v="318"/>
    <x v="48"/>
    <x v="3"/>
    <x v="3"/>
  </r>
  <r>
    <x v="1498"/>
    <x v="1"/>
    <x v="194"/>
    <x v="0"/>
    <x v="1"/>
    <x v="1"/>
    <x v="31"/>
    <x v="184"/>
    <x v="2"/>
    <x v="2"/>
  </r>
  <r>
    <x v="1498"/>
    <x v="2"/>
    <x v="217"/>
    <x v="1"/>
    <x v="93"/>
    <x v="2"/>
    <x v="547"/>
    <x v="205"/>
    <x v="5"/>
    <x v="5"/>
  </r>
  <r>
    <x v="1498"/>
    <x v="3"/>
    <x v="6"/>
    <x v="0"/>
    <x v="5"/>
    <x v="2"/>
    <x v="132"/>
    <x v="6"/>
    <x v="1"/>
    <x v="1"/>
  </r>
  <r>
    <x v="1498"/>
    <x v="4"/>
    <x v="212"/>
    <x v="1"/>
    <x v="41"/>
    <x v="3"/>
    <x v="216"/>
    <x v="200"/>
    <x v="6"/>
    <x v="6"/>
  </r>
  <r>
    <x v="1499"/>
    <x v="0"/>
    <x v="67"/>
    <x v="1"/>
    <x v="46"/>
    <x v="1"/>
    <x v="374"/>
    <x v="60"/>
    <x v="1"/>
    <x v="1"/>
  </r>
  <r>
    <x v="1499"/>
    <x v="1"/>
    <x v="284"/>
    <x v="0"/>
    <x v="70"/>
    <x v="1"/>
    <x v="500"/>
    <x v="262"/>
    <x v="5"/>
    <x v="5"/>
  </r>
  <r>
    <x v="1500"/>
    <x v="0"/>
    <x v="277"/>
    <x v="0"/>
    <x v="0"/>
    <x v="2"/>
    <x v="7"/>
    <x v="255"/>
    <x v="0"/>
    <x v="0"/>
  </r>
  <r>
    <x v="1500"/>
    <x v="1"/>
    <x v="244"/>
    <x v="0"/>
    <x v="82"/>
    <x v="1"/>
    <x v="523"/>
    <x v="229"/>
    <x v="0"/>
    <x v="0"/>
  </r>
  <r>
    <x v="1500"/>
    <x v="2"/>
    <x v="12"/>
    <x v="0"/>
    <x v="10"/>
    <x v="2"/>
    <x v="119"/>
    <x v="11"/>
    <x v="0"/>
    <x v="0"/>
  </r>
  <r>
    <x v="1500"/>
    <x v="3"/>
    <x v="50"/>
    <x v="0"/>
    <x v="34"/>
    <x v="0"/>
    <x v="210"/>
    <x v="43"/>
    <x v="0"/>
    <x v="0"/>
  </r>
  <r>
    <x v="1500"/>
    <x v="4"/>
    <x v="221"/>
    <x v="0"/>
    <x v="2"/>
    <x v="2"/>
    <x v="99"/>
    <x v="154"/>
    <x v="2"/>
    <x v="2"/>
  </r>
  <r>
    <x v="1501"/>
    <x v="0"/>
    <x v="285"/>
    <x v="1"/>
    <x v="10"/>
    <x v="0"/>
    <x v="48"/>
    <x v="263"/>
    <x v="0"/>
    <x v="0"/>
  </r>
  <r>
    <x v="1501"/>
    <x v="1"/>
    <x v="23"/>
    <x v="1"/>
    <x v="7"/>
    <x v="1"/>
    <x v="53"/>
    <x v="20"/>
    <x v="0"/>
    <x v="0"/>
  </r>
  <r>
    <x v="1501"/>
    <x v="2"/>
    <x v="8"/>
    <x v="1"/>
    <x v="0"/>
    <x v="1"/>
    <x v="19"/>
    <x v="3"/>
    <x v="3"/>
    <x v="3"/>
  </r>
  <r>
    <x v="1501"/>
    <x v="3"/>
    <x v="217"/>
    <x v="0"/>
    <x v="93"/>
    <x v="0"/>
    <x v="593"/>
    <x v="205"/>
    <x v="5"/>
    <x v="5"/>
  </r>
  <r>
    <x v="1501"/>
    <x v="4"/>
    <x v="201"/>
    <x v="0"/>
    <x v="65"/>
    <x v="1"/>
    <x v="610"/>
    <x v="191"/>
    <x v="0"/>
    <x v="0"/>
  </r>
  <r>
    <x v="1502"/>
    <x v="0"/>
    <x v="223"/>
    <x v="0"/>
    <x v="94"/>
    <x v="3"/>
    <x v="614"/>
    <x v="209"/>
    <x v="0"/>
    <x v="0"/>
  </r>
  <r>
    <x v="1502"/>
    <x v="1"/>
    <x v="246"/>
    <x v="1"/>
    <x v="19"/>
    <x v="2"/>
    <x v="150"/>
    <x v="231"/>
    <x v="3"/>
    <x v="3"/>
  </r>
  <r>
    <x v="1503"/>
    <x v="0"/>
    <x v="176"/>
    <x v="0"/>
    <x v="70"/>
    <x v="1"/>
    <x v="500"/>
    <x v="166"/>
    <x v="5"/>
    <x v="5"/>
  </r>
  <r>
    <x v="1504"/>
    <x v="0"/>
    <x v="195"/>
    <x v="1"/>
    <x v="10"/>
    <x v="2"/>
    <x v="94"/>
    <x v="185"/>
    <x v="0"/>
    <x v="0"/>
  </r>
  <r>
    <x v="1504"/>
    <x v="1"/>
    <x v="24"/>
    <x v="1"/>
    <x v="8"/>
    <x v="1"/>
    <x v="30"/>
    <x v="9"/>
    <x v="3"/>
    <x v="3"/>
  </r>
  <r>
    <x v="1504"/>
    <x v="2"/>
    <x v="52"/>
    <x v="1"/>
    <x v="28"/>
    <x v="2"/>
    <x v="181"/>
    <x v="45"/>
    <x v="1"/>
    <x v="1"/>
  </r>
  <r>
    <x v="1505"/>
    <x v="0"/>
    <x v="153"/>
    <x v="0"/>
    <x v="25"/>
    <x v="2"/>
    <x v="413"/>
    <x v="144"/>
    <x v="6"/>
    <x v="6"/>
  </r>
  <r>
    <x v="1505"/>
    <x v="1"/>
    <x v="145"/>
    <x v="1"/>
    <x v="23"/>
    <x v="0"/>
    <x v="377"/>
    <x v="136"/>
    <x v="6"/>
    <x v="6"/>
  </r>
  <r>
    <x v="1505"/>
    <x v="2"/>
    <x v="172"/>
    <x v="1"/>
    <x v="83"/>
    <x v="2"/>
    <x v="615"/>
    <x v="163"/>
    <x v="6"/>
    <x v="6"/>
  </r>
  <r>
    <x v="1506"/>
    <x v="0"/>
    <x v="62"/>
    <x v="1"/>
    <x v="42"/>
    <x v="0"/>
    <x v="259"/>
    <x v="55"/>
    <x v="1"/>
    <x v="1"/>
  </r>
  <r>
    <x v="1506"/>
    <x v="1"/>
    <x v="16"/>
    <x v="1"/>
    <x v="13"/>
    <x v="3"/>
    <x v="104"/>
    <x v="14"/>
    <x v="2"/>
    <x v="2"/>
  </r>
  <r>
    <x v="1506"/>
    <x v="2"/>
    <x v="286"/>
    <x v="0"/>
    <x v="102"/>
    <x v="1"/>
    <x v="616"/>
    <x v="264"/>
    <x v="0"/>
    <x v="0"/>
  </r>
  <r>
    <x v="1506"/>
    <x v="3"/>
    <x v="248"/>
    <x v="0"/>
    <x v="70"/>
    <x v="1"/>
    <x v="500"/>
    <x v="201"/>
    <x v="5"/>
    <x v="5"/>
  </r>
  <r>
    <x v="1506"/>
    <x v="4"/>
    <x v="284"/>
    <x v="1"/>
    <x v="70"/>
    <x v="2"/>
    <x v="571"/>
    <x v="262"/>
    <x v="5"/>
    <x v="5"/>
  </r>
  <r>
    <x v="1507"/>
    <x v="0"/>
    <x v="88"/>
    <x v="0"/>
    <x v="55"/>
    <x v="0"/>
    <x v="467"/>
    <x v="81"/>
    <x v="1"/>
    <x v="1"/>
  </r>
  <r>
    <x v="1507"/>
    <x v="1"/>
    <x v="36"/>
    <x v="0"/>
    <x v="24"/>
    <x v="3"/>
    <x v="325"/>
    <x v="32"/>
    <x v="3"/>
    <x v="3"/>
  </r>
  <r>
    <x v="1507"/>
    <x v="2"/>
    <x v="58"/>
    <x v="1"/>
    <x v="40"/>
    <x v="2"/>
    <x v="217"/>
    <x v="51"/>
    <x v="6"/>
    <x v="6"/>
  </r>
  <r>
    <x v="1507"/>
    <x v="3"/>
    <x v="54"/>
    <x v="0"/>
    <x v="37"/>
    <x v="2"/>
    <x v="232"/>
    <x v="47"/>
    <x v="5"/>
    <x v="5"/>
  </r>
  <r>
    <x v="1508"/>
    <x v="0"/>
    <x v="149"/>
    <x v="1"/>
    <x v="5"/>
    <x v="1"/>
    <x v="130"/>
    <x v="140"/>
    <x v="0"/>
    <x v="0"/>
  </r>
  <r>
    <x v="1509"/>
    <x v="0"/>
    <x v="199"/>
    <x v="1"/>
    <x v="41"/>
    <x v="2"/>
    <x v="176"/>
    <x v="189"/>
    <x v="1"/>
    <x v="1"/>
  </r>
  <r>
    <x v="1509"/>
    <x v="1"/>
    <x v="39"/>
    <x v="0"/>
    <x v="19"/>
    <x v="3"/>
    <x v="201"/>
    <x v="22"/>
    <x v="0"/>
    <x v="0"/>
  </r>
  <r>
    <x v="1509"/>
    <x v="2"/>
    <x v="211"/>
    <x v="1"/>
    <x v="9"/>
    <x v="3"/>
    <x v="42"/>
    <x v="199"/>
    <x v="0"/>
    <x v="0"/>
  </r>
  <r>
    <x v="1509"/>
    <x v="3"/>
    <x v="229"/>
    <x v="1"/>
    <x v="11"/>
    <x v="3"/>
    <x v="23"/>
    <x v="214"/>
    <x v="0"/>
    <x v="0"/>
  </r>
  <r>
    <x v="1509"/>
    <x v="4"/>
    <x v="234"/>
    <x v="0"/>
    <x v="88"/>
    <x v="2"/>
    <x v="617"/>
    <x v="219"/>
    <x v="1"/>
    <x v="1"/>
  </r>
  <r>
    <x v="1510"/>
    <x v="0"/>
    <x v="183"/>
    <x v="1"/>
    <x v="68"/>
    <x v="0"/>
    <x v="607"/>
    <x v="173"/>
    <x v="6"/>
    <x v="6"/>
  </r>
  <r>
    <x v="1510"/>
    <x v="1"/>
    <x v="287"/>
    <x v="0"/>
    <x v="103"/>
    <x v="1"/>
    <x v="618"/>
    <x v="265"/>
    <x v="5"/>
    <x v="5"/>
  </r>
  <r>
    <x v="1510"/>
    <x v="2"/>
    <x v="7"/>
    <x v="1"/>
    <x v="6"/>
    <x v="1"/>
    <x v="100"/>
    <x v="7"/>
    <x v="0"/>
    <x v="0"/>
  </r>
  <r>
    <x v="1510"/>
    <x v="3"/>
    <x v="67"/>
    <x v="0"/>
    <x v="46"/>
    <x v="2"/>
    <x v="423"/>
    <x v="60"/>
    <x v="1"/>
    <x v="1"/>
  </r>
  <r>
    <x v="1510"/>
    <x v="4"/>
    <x v="190"/>
    <x v="1"/>
    <x v="89"/>
    <x v="0"/>
    <x v="619"/>
    <x v="180"/>
    <x v="1"/>
    <x v="1"/>
  </r>
  <r>
    <x v="1511"/>
    <x v="0"/>
    <x v="223"/>
    <x v="0"/>
    <x v="94"/>
    <x v="1"/>
    <x v="620"/>
    <x v="209"/>
    <x v="0"/>
    <x v="0"/>
  </r>
  <r>
    <x v="1512"/>
    <x v="0"/>
    <x v="171"/>
    <x v="0"/>
    <x v="5"/>
    <x v="3"/>
    <x v="92"/>
    <x v="162"/>
    <x v="6"/>
    <x v="6"/>
  </r>
  <r>
    <x v="1512"/>
    <x v="1"/>
    <x v="32"/>
    <x v="1"/>
    <x v="23"/>
    <x v="2"/>
    <x v="244"/>
    <x v="28"/>
    <x v="4"/>
    <x v="4"/>
  </r>
  <r>
    <x v="1512"/>
    <x v="2"/>
    <x v="166"/>
    <x v="1"/>
    <x v="27"/>
    <x v="2"/>
    <x v="155"/>
    <x v="157"/>
    <x v="6"/>
    <x v="6"/>
  </r>
  <r>
    <x v="1513"/>
    <x v="0"/>
    <x v="216"/>
    <x v="1"/>
    <x v="65"/>
    <x v="3"/>
    <x v="497"/>
    <x v="204"/>
    <x v="0"/>
    <x v="0"/>
  </r>
  <r>
    <x v="1513"/>
    <x v="1"/>
    <x v="139"/>
    <x v="1"/>
    <x v="23"/>
    <x v="2"/>
    <x v="244"/>
    <x v="130"/>
    <x v="4"/>
    <x v="4"/>
  </r>
  <r>
    <x v="1514"/>
    <x v="0"/>
    <x v="97"/>
    <x v="1"/>
    <x v="4"/>
    <x v="0"/>
    <x v="73"/>
    <x v="89"/>
    <x v="1"/>
    <x v="1"/>
  </r>
  <r>
    <x v="1514"/>
    <x v="1"/>
    <x v="288"/>
    <x v="1"/>
    <x v="25"/>
    <x v="3"/>
    <x v="279"/>
    <x v="266"/>
    <x v="4"/>
    <x v="4"/>
  </r>
  <r>
    <x v="1514"/>
    <x v="2"/>
    <x v="273"/>
    <x v="1"/>
    <x v="65"/>
    <x v="2"/>
    <x v="515"/>
    <x v="204"/>
    <x v="3"/>
    <x v="3"/>
  </r>
  <r>
    <x v="1514"/>
    <x v="3"/>
    <x v="95"/>
    <x v="0"/>
    <x v="23"/>
    <x v="3"/>
    <x v="253"/>
    <x v="87"/>
    <x v="1"/>
    <x v="1"/>
  </r>
  <r>
    <x v="1514"/>
    <x v="4"/>
    <x v="289"/>
    <x v="1"/>
    <x v="92"/>
    <x v="0"/>
    <x v="612"/>
    <x v="267"/>
    <x v="6"/>
    <x v="6"/>
  </r>
  <r>
    <x v="1515"/>
    <x v="0"/>
    <x v="155"/>
    <x v="1"/>
    <x v="41"/>
    <x v="3"/>
    <x v="216"/>
    <x v="146"/>
    <x v="6"/>
    <x v="6"/>
  </r>
  <r>
    <x v="1515"/>
    <x v="1"/>
    <x v="130"/>
    <x v="0"/>
    <x v="44"/>
    <x v="3"/>
    <x v="417"/>
    <x v="121"/>
    <x v="0"/>
    <x v="0"/>
  </r>
  <r>
    <x v="1515"/>
    <x v="2"/>
    <x v="282"/>
    <x v="1"/>
    <x v="27"/>
    <x v="0"/>
    <x v="194"/>
    <x v="260"/>
    <x v="4"/>
    <x v="4"/>
  </r>
  <r>
    <x v="1515"/>
    <x v="3"/>
    <x v="286"/>
    <x v="1"/>
    <x v="102"/>
    <x v="0"/>
    <x v="621"/>
    <x v="264"/>
    <x v="0"/>
    <x v="0"/>
  </r>
  <r>
    <x v="1515"/>
    <x v="4"/>
    <x v="261"/>
    <x v="1"/>
    <x v="30"/>
    <x v="0"/>
    <x v="266"/>
    <x v="242"/>
    <x v="5"/>
    <x v="5"/>
  </r>
  <r>
    <x v="1516"/>
    <x v="0"/>
    <x v="290"/>
    <x v="1"/>
    <x v="44"/>
    <x v="1"/>
    <x v="180"/>
    <x v="156"/>
    <x v="3"/>
    <x v="3"/>
  </r>
  <r>
    <x v="1516"/>
    <x v="1"/>
    <x v="219"/>
    <x v="1"/>
    <x v="72"/>
    <x v="2"/>
    <x v="503"/>
    <x v="129"/>
    <x v="0"/>
    <x v="0"/>
  </r>
  <r>
    <x v="1517"/>
    <x v="0"/>
    <x v="138"/>
    <x v="1"/>
    <x v="72"/>
    <x v="3"/>
    <x v="509"/>
    <x v="129"/>
    <x v="3"/>
    <x v="3"/>
  </r>
  <r>
    <x v="1517"/>
    <x v="1"/>
    <x v="197"/>
    <x v="1"/>
    <x v="50"/>
    <x v="2"/>
    <x v="449"/>
    <x v="187"/>
    <x v="6"/>
    <x v="6"/>
  </r>
  <r>
    <x v="1517"/>
    <x v="2"/>
    <x v="253"/>
    <x v="1"/>
    <x v="9"/>
    <x v="2"/>
    <x v="126"/>
    <x v="165"/>
    <x v="0"/>
    <x v="0"/>
  </r>
  <r>
    <x v="1518"/>
    <x v="0"/>
    <x v="158"/>
    <x v="0"/>
    <x v="76"/>
    <x v="0"/>
    <x v="537"/>
    <x v="149"/>
    <x v="6"/>
    <x v="6"/>
  </r>
  <r>
    <x v="1518"/>
    <x v="1"/>
    <x v="25"/>
    <x v="1"/>
    <x v="18"/>
    <x v="0"/>
    <x v="144"/>
    <x v="21"/>
    <x v="5"/>
    <x v="5"/>
  </r>
  <r>
    <x v="1518"/>
    <x v="2"/>
    <x v="190"/>
    <x v="1"/>
    <x v="89"/>
    <x v="1"/>
    <x v="622"/>
    <x v="180"/>
    <x v="1"/>
    <x v="1"/>
  </r>
  <r>
    <x v="1518"/>
    <x v="3"/>
    <x v="105"/>
    <x v="0"/>
    <x v="63"/>
    <x v="0"/>
    <x v="349"/>
    <x v="97"/>
    <x v="0"/>
    <x v="0"/>
  </r>
  <r>
    <x v="1518"/>
    <x v="4"/>
    <x v="237"/>
    <x v="1"/>
    <x v="95"/>
    <x v="2"/>
    <x v="623"/>
    <x v="222"/>
    <x v="5"/>
    <x v="5"/>
  </r>
  <r>
    <x v="1519"/>
    <x v="0"/>
    <x v="192"/>
    <x v="0"/>
    <x v="76"/>
    <x v="2"/>
    <x v="518"/>
    <x v="182"/>
    <x v="4"/>
    <x v="4"/>
  </r>
  <r>
    <x v="1519"/>
    <x v="1"/>
    <x v="198"/>
    <x v="1"/>
    <x v="25"/>
    <x v="0"/>
    <x v="165"/>
    <x v="188"/>
    <x v="4"/>
    <x v="4"/>
  </r>
  <r>
    <x v="1519"/>
    <x v="2"/>
    <x v="273"/>
    <x v="1"/>
    <x v="65"/>
    <x v="1"/>
    <x v="562"/>
    <x v="204"/>
    <x v="3"/>
    <x v="3"/>
  </r>
  <r>
    <x v="1519"/>
    <x v="3"/>
    <x v="160"/>
    <x v="1"/>
    <x v="81"/>
    <x v="3"/>
    <x v="542"/>
    <x v="151"/>
    <x v="5"/>
    <x v="5"/>
  </r>
  <r>
    <x v="1520"/>
    <x v="0"/>
    <x v="96"/>
    <x v="0"/>
    <x v="26"/>
    <x v="0"/>
    <x v="153"/>
    <x v="88"/>
    <x v="5"/>
    <x v="5"/>
  </r>
  <r>
    <x v="1520"/>
    <x v="1"/>
    <x v="291"/>
    <x v="1"/>
    <x v="72"/>
    <x v="0"/>
    <x v="624"/>
    <x v="118"/>
    <x v="3"/>
    <x v="3"/>
  </r>
  <r>
    <x v="1520"/>
    <x v="2"/>
    <x v="262"/>
    <x v="0"/>
    <x v="4"/>
    <x v="3"/>
    <x v="16"/>
    <x v="243"/>
    <x v="1"/>
    <x v="1"/>
  </r>
  <r>
    <x v="1520"/>
    <x v="3"/>
    <x v="206"/>
    <x v="1"/>
    <x v="42"/>
    <x v="0"/>
    <x v="259"/>
    <x v="196"/>
    <x v="1"/>
    <x v="1"/>
  </r>
  <r>
    <x v="1521"/>
    <x v="0"/>
    <x v="43"/>
    <x v="0"/>
    <x v="15"/>
    <x v="3"/>
    <x v="37"/>
    <x v="31"/>
    <x v="5"/>
    <x v="5"/>
  </r>
  <r>
    <x v="1521"/>
    <x v="1"/>
    <x v="257"/>
    <x v="0"/>
    <x v="100"/>
    <x v="1"/>
    <x v="625"/>
    <x v="239"/>
    <x v="1"/>
    <x v="1"/>
  </r>
  <r>
    <x v="1521"/>
    <x v="2"/>
    <x v="266"/>
    <x v="0"/>
    <x v="46"/>
    <x v="1"/>
    <x v="298"/>
    <x v="246"/>
    <x v="1"/>
    <x v="1"/>
  </r>
  <r>
    <x v="1522"/>
    <x v="0"/>
    <x v="122"/>
    <x v="1"/>
    <x v="5"/>
    <x v="0"/>
    <x v="39"/>
    <x v="111"/>
    <x v="3"/>
    <x v="3"/>
  </r>
  <r>
    <x v="1523"/>
    <x v="0"/>
    <x v="163"/>
    <x v="0"/>
    <x v="2"/>
    <x v="3"/>
    <x v="139"/>
    <x v="154"/>
    <x v="6"/>
    <x v="6"/>
  </r>
  <r>
    <x v="1523"/>
    <x v="1"/>
    <x v="214"/>
    <x v="1"/>
    <x v="70"/>
    <x v="0"/>
    <x v="501"/>
    <x v="202"/>
    <x v="5"/>
    <x v="5"/>
  </r>
  <r>
    <x v="1523"/>
    <x v="2"/>
    <x v="173"/>
    <x v="0"/>
    <x v="19"/>
    <x v="0"/>
    <x v="188"/>
    <x v="164"/>
    <x v="3"/>
    <x v="3"/>
  </r>
  <r>
    <x v="1523"/>
    <x v="3"/>
    <x v="253"/>
    <x v="1"/>
    <x v="9"/>
    <x v="0"/>
    <x v="44"/>
    <x v="165"/>
    <x v="0"/>
    <x v="0"/>
  </r>
  <r>
    <x v="1524"/>
    <x v="0"/>
    <x v="292"/>
    <x v="0"/>
    <x v="53"/>
    <x v="3"/>
    <x v="422"/>
    <x v="268"/>
    <x v="6"/>
    <x v="6"/>
  </r>
  <r>
    <x v="1524"/>
    <x v="1"/>
    <x v="179"/>
    <x v="1"/>
    <x v="84"/>
    <x v="1"/>
    <x v="626"/>
    <x v="169"/>
    <x v="6"/>
    <x v="6"/>
  </r>
  <r>
    <x v="1524"/>
    <x v="2"/>
    <x v="230"/>
    <x v="0"/>
    <x v="66"/>
    <x v="1"/>
    <x v="627"/>
    <x v="215"/>
    <x v="4"/>
    <x v="4"/>
  </r>
  <r>
    <x v="1525"/>
    <x v="0"/>
    <x v="117"/>
    <x v="0"/>
    <x v="68"/>
    <x v="1"/>
    <x v="532"/>
    <x v="109"/>
    <x v="6"/>
    <x v="6"/>
  </r>
  <r>
    <x v="1525"/>
    <x v="1"/>
    <x v="28"/>
    <x v="0"/>
    <x v="21"/>
    <x v="3"/>
    <x v="282"/>
    <x v="24"/>
    <x v="6"/>
    <x v="6"/>
  </r>
  <r>
    <x v="1525"/>
    <x v="2"/>
    <x v="207"/>
    <x v="0"/>
    <x v="5"/>
    <x v="3"/>
    <x v="92"/>
    <x v="168"/>
    <x v="0"/>
    <x v="0"/>
  </r>
  <r>
    <x v="1525"/>
    <x v="3"/>
    <x v="127"/>
    <x v="0"/>
    <x v="72"/>
    <x v="2"/>
    <x v="570"/>
    <x v="118"/>
    <x v="0"/>
    <x v="0"/>
  </r>
  <r>
    <x v="1526"/>
    <x v="0"/>
    <x v="57"/>
    <x v="0"/>
    <x v="14"/>
    <x v="3"/>
    <x v="107"/>
    <x v="50"/>
    <x v="1"/>
    <x v="1"/>
  </r>
  <r>
    <x v="1526"/>
    <x v="1"/>
    <x v="27"/>
    <x v="0"/>
    <x v="20"/>
    <x v="2"/>
    <x v="146"/>
    <x v="23"/>
    <x v="3"/>
    <x v="3"/>
  </r>
  <r>
    <x v="1526"/>
    <x v="2"/>
    <x v="94"/>
    <x v="1"/>
    <x v="59"/>
    <x v="2"/>
    <x v="485"/>
    <x v="86"/>
    <x v="6"/>
    <x v="6"/>
  </r>
  <r>
    <x v="1527"/>
    <x v="0"/>
    <x v="202"/>
    <x v="1"/>
    <x v="73"/>
    <x v="0"/>
    <x v="504"/>
    <x v="192"/>
    <x v="0"/>
    <x v="0"/>
  </r>
  <r>
    <x v="1528"/>
    <x v="0"/>
    <x v="19"/>
    <x v="0"/>
    <x v="15"/>
    <x v="2"/>
    <x v="115"/>
    <x v="17"/>
    <x v="5"/>
    <x v="5"/>
  </r>
  <r>
    <x v="1528"/>
    <x v="1"/>
    <x v="69"/>
    <x v="1"/>
    <x v="47"/>
    <x v="3"/>
    <x v="628"/>
    <x v="62"/>
    <x v="6"/>
    <x v="6"/>
  </r>
  <r>
    <x v="1529"/>
    <x v="0"/>
    <x v="193"/>
    <x v="1"/>
    <x v="11"/>
    <x v="3"/>
    <x v="23"/>
    <x v="183"/>
    <x v="0"/>
    <x v="0"/>
  </r>
  <r>
    <x v="1529"/>
    <x v="1"/>
    <x v="259"/>
    <x v="0"/>
    <x v="5"/>
    <x v="3"/>
    <x v="92"/>
    <x v="240"/>
    <x v="1"/>
    <x v="1"/>
  </r>
  <r>
    <x v="1530"/>
    <x v="0"/>
    <x v="186"/>
    <x v="0"/>
    <x v="87"/>
    <x v="3"/>
    <x v="569"/>
    <x v="176"/>
    <x v="1"/>
    <x v="1"/>
  </r>
  <r>
    <x v="1531"/>
    <x v="0"/>
    <x v="114"/>
    <x v="1"/>
    <x v="9"/>
    <x v="1"/>
    <x v="14"/>
    <x v="106"/>
    <x v="2"/>
    <x v="2"/>
  </r>
  <r>
    <x v="1532"/>
    <x v="0"/>
    <x v="203"/>
    <x v="1"/>
    <x v="91"/>
    <x v="3"/>
    <x v="629"/>
    <x v="193"/>
    <x v="5"/>
    <x v="5"/>
  </r>
  <r>
    <x v="1532"/>
    <x v="1"/>
    <x v="46"/>
    <x v="0"/>
    <x v="31"/>
    <x v="3"/>
    <x v="295"/>
    <x v="40"/>
    <x v="0"/>
    <x v="0"/>
  </r>
  <r>
    <x v="1532"/>
    <x v="2"/>
    <x v="81"/>
    <x v="0"/>
    <x v="29"/>
    <x v="3"/>
    <x v="283"/>
    <x v="74"/>
    <x v="5"/>
    <x v="5"/>
  </r>
  <r>
    <x v="1532"/>
    <x v="3"/>
    <x v="111"/>
    <x v="1"/>
    <x v="65"/>
    <x v="3"/>
    <x v="497"/>
    <x v="103"/>
    <x v="0"/>
    <x v="0"/>
  </r>
  <r>
    <x v="1532"/>
    <x v="4"/>
    <x v="80"/>
    <x v="0"/>
    <x v="53"/>
    <x v="3"/>
    <x v="422"/>
    <x v="73"/>
    <x v="6"/>
    <x v="6"/>
  </r>
  <r>
    <x v="1533"/>
    <x v="0"/>
    <x v="242"/>
    <x v="0"/>
    <x v="25"/>
    <x v="3"/>
    <x v="315"/>
    <x v="227"/>
    <x v="4"/>
    <x v="4"/>
  </r>
  <r>
    <x v="1533"/>
    <x v="1"/>
    <x v="266"/>
    <x v="0"/>
    <x v="46"/>
    <x v="2"/>
    <x v="423"/>
    <x v="246"/>
    <x v="1"/>
    <x v="1"/>
  </r>
  <r>
    <x v="1533"/>
    <x v="2"/>
    <x v="116"/>
    <x v="1"/>
    <x v="67"/>
    <x v="0"/>
    <x v="630"/>
    <x v="108"/>
    <x v="5"/>
    <x v="5"/>
  </r>
  <r>
    <x v="1533"/>
    <x v="3"/>
    <x v="155"/>
    <x v="1"/>
    <x v="41"/>
    <x v="0"/>
    <x v="468"/>
    <x v="146"/>
    <x v="6"/>
    <x v="6"/>
  </r>
  <r>
    <x v="1534"/>
    <x v="0"/>
    <x v="102"/>
    <x v="0"/>
    <x v="30"/>
    <x v="2"/>
    <x v="338"/>
    <x v="94"/>
    <x v="5"/>
    <x v="5"/>
  </r>
  <r>
    <x v="1534"/>
    <x v="1"/>
    <x v="85"/>
    <x v="1"/>
    <x v="0"/>
    <x v="2"/>
    <x v="3"/>
    <x v="78"/>
    <x v="0"/>
    <x v="0"/>
  </r>
  <r>
    <x v="1535"/>
    <x v="0"/>
    <x v="293"/>
    <x v="0"/>
    <x v="90"/>
    <x v="0"/>
    <x v="550"/>
    <x v="269"/>
    <x v="6"/>
    <x v="6"/>
  </r>
  <r>
    <x v="1535"/>
    <x v="1"/>
    <x v="144"/>
    <x v="1"/>
    <x v="66"/>
    <x v="1"/>
    <x v="494"/>
    <x v="135"/>
    <x v="4"/>
    <x v="4"/>
  </r>
  <r>
    <x v="1535"/>
    <x v="2"/>
    <x v="282"/>
    <x v="1"/>
    <x v="27"/>
    <x v="0"/>
    <x v="194"/>
    <x v="260"/>
    <x v="4"/>
    <x v="4"/>
  </r>
  <r>
    <x v="1536"/>
    <x v="0"/>
    <x v="148"/>
    <x v="1"/>
    <x v="78"/>
    <x v="2"/>
    <x v="514"/>
    <x v="139"/>
    <x v="0"/>
    <x v="0"/>
  </r>
  <r>
    <x v="1537"/>
    <x v="0"/>
    <x v="154"/>
    <x v="0"/>
    <x v="80"/>
    <x v="1"/>
    <x v="631"/>
    <x v="145"/>
    <x v="2"/>
    <x v="2"/>
  </r>
  <r>
    <x v="1537"/>
    <x v="1"/>
    <x v="109"/>
    <x v="1"/>
    <x v="64"/>
    <x v="1"/>
    <x v="376"/>
    <x v="101"/>
    <x v="1"/>
    <x v="1"/>
  </r>
  <r>
    <x v="1537"/>
    <x v="2"/>
    <x v="266"/>
    <x v="0"/>
    <x v="46"/>
    <x v="1"/>
    <x v="298"/>
    <x v="246"/>
    <x v="1"/>
    <x v="1"/>
  </r>
  <r>
    <x v="1537"/>
    <x v="3"/>
    <x v="245"/>
    <x v="0"/>
    <x v="27"/>
    <x v="0"/>
    <x v="319"/>
    <x v="230"/>
    <x v="4"/>
    <x v="4"/>
  </r>
  <r>
    <x v="1537"/>
    <x v="4"/>
    <x v="210"/>
    <x v="1"/>
    <x v="65"/>
    <x v="2"/>
    <x v="515"/>
    <x v="191"/>
    <x v="3"/>
    <x v="3"/>
  </r>
  <r>
    <x v="1538"/>
    <x v="0"/>
    <x v="18"/>
    <x v="1"/>
    <x v="14"/>
    <x v="2"/>
    <x v="124"/>
    <x v="16"/>
    <x v="1"/>
    <x v="1"/>
  </r>
  <r>
    <x v="1538"/>
    <x v="1"/>
    <x v="10"/>
    <x v="1"/>
    <x v="8"/>
    <x v="2"/>
    <x v="11"/>
    <x v="9"/>
    <x v="0"/>
    <x v="0"/>
  </r>
  <r>
    <x v="1539"/>
    <x v="0"/>
    <x v="68"/>
    <x v="1"/>
    <x v="24"/>
    <x v="2"/>
    <x v="293"/>
    <x v="61"/>
    <x v="0"/>
    <x v="0"/>
  </r>
  <r>
    <x v="1539"/>
    <x v="1"/>
    <x v="184"/>
    <x v="0"/>
    <x v="5"/>
    <x v="1"/>
    <x v="116"/>
    <x v="174"/>
    <x v="0"/>
    <x v="0"/>
  </r>
  <r>
    <x v="1539"/>
    <x v="2"/>
    <x v="222"/>
    <x v="0"/>
    <x v="71"/>
    <x v="2"/>
    <x v="551"/>
    <x v="208"/>
    <x v="0"/>
    <x v="0"/>
  </r>
  <r>
    <x v="1539"/>
    <x v="3"/>
    <x v="294"/>
    <x v="1"/>
    <x v="21"/>
    <x v="2"/>
    <x v="228"/>
    <x v="270"/>
    <x v="6"/>
    <x v="6"/>
  </r>
  <r>
    <x v="1539"/>
    <x v="4"/>
    <x v="46"/>
    <x v="0"/>
    <x v="31"/>
    <x v="0"/>
    <x v="363"/>
    <x v="40"/>
    <x v="0"/>
    <x v="0"/>
  </r>
  <r>
    <x v="1540"/>
    <x v="0"/>
    <x v="181"/>
    <x v="1"/>
    <x v="86"/>
    <x v="3"/>
    <x v="531"/>
    <x v="171"/>
    <x v="6"/>
    <x v="6"/>
  </r>
  <r>
    <x v="1540"/>
    <x v="1"/>
    <x v="277"/>
    <x v="1"/>
    <x v="0"/>
    <x v="1"/>
    <x v="19"/>
    <x v="255"/>
    <x v="0"/>
    <x v="0"/>
  </r>
  <r>
    <x v="1540"/>
    <x v="2"/>
    <x v="199"/>
    <x v="1"/>
    <x v="41"/>
    <x v="3"/>
    <x v="216"/>
    <x v="189"/>
    <x v="1"/>
    <x v="1"/>
  </r>
  <r>
    <x v="1540"/>
    <x v="3"/>
    <x v="7"/>
    <x v="0"/>
    <x v="6"/>
    <x v="3"/>
    <x v="47"/>
    <x v="7"/>
    <x v="0"/>
    <x v="0"/>
  </r>
  <r>
    <x v="1540"/>
    <x v="4"/>
    <x v="106"/>
    <x v="1"/>
    <x v="39"/>
    <x v="2"/>
    <x v="219"/>
    <x v="98"/>
    <x v="5"/>
    <x v="5"/>
  </r>
  <r>
    <x v="1541"/>
    <x v="0"/>
    <x v="47"/>
    <x v="0"/>
    <x v="32"/>
    <x v="0"/>
    <x v="197"/>
    <x v="41"/>
    <x v="0"/>
    <x v="0"/>
  </r>
  <r>
    <x v="1541"/>
    <x v="1"/>
    <x v="281"/>
    <x v="1"/>
    <x v="50"/>
    <x v="2"/>
    <x v="449"/>
    <x v="259"/>
    <x v="1"/>
    <x v="1"/>
  </r>
  <r>
    <x v="1541"/>
    <x v="2"/>
    <x v="153"/>
    <x v="1"/>
    <x v="25"/>
    <x v="0"/>
    <x v="165"/>
    <x v="144"/>
    <x v="6"/>
    <x v="6"/>
  </r>
  <r>
    <x v="1541"/>
    <x v="3"/>
    <x v="88"/>
    <x v="1"/>
    <x v="55"/>
    <x v="3"/>
    <x v="438"/>
    <x v="81"/>
    <x v="1"/>
    <x v="1"/>
  </r>
  <r>
    <x v="1541"/>
    <x v="4"/>
    <x v="167"/>
    <x v="0"/>
    <x v="74"/>
    <x v="0"/>
    <x v="632"/>
    <x v="158"/>
    <x v="5"/>
    <x v="5"/>
  </r>
  <r>
    <x v="1542"/>
    <x v="0"/>
    <x v="75"/>
    <x v="1"/>
    <x v="19"/>
    <x v="3"/>
    <x v="145"/>
    <x v="68"/>
    <x v="3"/>
    <x v="3"/>
  </r>
  <r>
    <x v="1542"/>
    <x v="1"/>
    <x v="101"/>
    <x v="0"/>
    <x v="30"/>
    <x v="0"/>
    <x v="269"/>
    <x v="93"/>
    <x v="5"/>
    <x v="5"/>
  </r>
  <r>
    <x v="1542"/>
    <x v="2"/>
    <x v="289"/>
    <x v="1"/>
    <x v="92"/>
    <x v="1"/>
    <x v="601"/>
    <x v="267"/>
    <x v="6"/>
    <x v="6"/>
  </r>
  <r>
    <x v="1542"/>
    <x v="3"/>
    <x v="44"/>
    <x v="1"/>
    <x v="29"/>
    <x v="2"/>
    <x v="215"/>
    <x v="38"/>
    <x v="5"/>
    <x v="5"/>
  </r>
  <r>
    <x v="1542"/>
    <x v="4"/>
    <x v="169"/>
    <x v="0"/>
    <x v="1"/>
    <x v="0"/>
    <x v="34"/>
    <x v="160"/>
    <x v="1"/>
    <x v="1"/>
  </r>
  <r>
    <x v="1543"/>
    <x v="0"/>
    <x v="242"/>
    <x v="1"/>
    <x v="25"/>
    <x v="3"/>
    <x v="279"/>
    <x v="227"/>
    <x v="4"/>
    <x v="4"/>
  </r>
  <r>
    <x v="1543"/>
    <x v="1"/>
    <x v="92"/>
    <x v="1"/>
    <x v="24"/>
    <x v="0"/>
    <x v="151"/>
    <x v="72"/>
    <x v="3"/>
    <x v="3"/>
  </r>
  <r>
    <x v="1544"/>
    <x v="0"/>
    <x v="78"/>
    <x v="0"/>
    <x v="52"/>
    <x v="3"/>
    <x v="487"/>
    <x v="71"/>
    <x v="1"/>
    <x v="1"/>
  </r>
  <r>
    <x v="1545"/>
    <x v="0"/>
    <x v="292"/>
    <x v="0"/>
    <x v="53"/>
    <x v="3"/>
    <x v="422"/>
    <x v="268"/>
    <x v="6"/>
    <x v="6"/>
  </r>
  <r>
    <x v="1545"/>
    <x v="1"/>
    <x v="144"/>
    <x v="1"/>
    <x v="66"/>
    <x v="3"/>
    <x v="633"/>
    <x v="135"/>
    <x v="4"/>
    <x v="4"/>
  </r>
  <r>
    <x v="1545"/>
    <x v="2"/>
    <x v="149"/>
    <x v="0"/>
    <x v="5"/>
    <x v="3"/>
    <x v="92"/>
    <x v="140"/>
    <x v="0"/>
    <x v="0"/>
  </r>
  <r>
    <x v="1545"/>
    <x v="3"/>
    <x v="22"/>
    <x v="0"/>
    <x v="17"/>
    <x v="2"/>
    <x v="111"/>
    <x v="19"/>
    <x v="3"/>
    <x v="3"/>
  </r>
  <r>
    <x v="1546"/>
    <x v="0"/>
    <x v="26"/>
    <x v="1"/>
    <x v="19"/>
    <x v="0"/>
    <x v="364"/>
    <x v="22"/>
    <x v="3"/>
    <x v="3"/>
  </r>
  <r>
    <x v="1546"/>
    <x v="1"/>
    <x v="180"/>
    <x v="0"/>
    <x v="85"/>
    <x v="0"/>
    <x v="548"/>
    <x v="170"/>
    <x v="4"/>
    <x v="4"/>
  </r>
  <r>
    <x v="1547"/>
    <x v="0"/>
    <x v="33"/>
    <x v="0"/>
    <x v="14"/>
    <x v="3"/>
    <x v="107"/>
    <x v="29"/>
    <x v="1"/>
    <x v="1"/>
  </r>
  <r>
    <x v="1547"/>
    <x v="1"/>
    <x v="288"/>
    <x v="0"/>
    <x v="25"/>
    <x v="1"/>
    <x v="222"/>
    <x v="266"/>
    <x v="4"/>
    <x v="4"/>
  </r>
  <r>
    <x v="1547"/>
    <x v="2"/>
    <x v="37"/>
    <x v="1"/>
    <x v="25"/>
    <x v="0"/>
    <x v="165"/>
    <x v="33"/>
    <x v="2"/>
    <x v="2"/>
  </r>
  <r>
    <x v="1548"/>
    <x v="0"/>
    <x v="289"/>
    <x v="0"/>
    <x v="92"/>
    <x v="0"/>
    <x v="579"/>
    <x v="267"/>
    <x v="6"/>
    <x v="6"/>
  </r>
  <r>
    <x v="1548"/>
    <x v="1"/>
    <x v="295"/>
    <x v="0"/>
    <x v="14"/>
    <x v="2"/>
    <x v="62"/>
    <x v="271"/>
    <x v="1"/>
    <x v="1"/>
  </r>
  <r>
    <x v="1548"/>
    <x v="2"/>
    <x v="159"/>
    <x v="1"/>
    <x v="5"/>
    <x v="2"/>
    <x v="125"/>
    <x v="150"/>
    <x v="0"/>
    <x v="0"/>
  </r>
  <r>
    <x v="1548"/>
    <x v="3"/>
    <x v="243"/>
    <x v="1"/>
    <x v="99"/>
    <x v="3"/>
    <x v="567"/>
    <x v="228"/>
    <x v="0"/>
    <x v="0"/>
  </r>
  <r>
    <x v="1549"/>
    <x v="0"/>
    <x v="296"/>
    <x v="1"/>
    <x v="79"/>
    <x v="2"/>
    <x v="634"/>
    <x v="143"/>
    <x v="3"/>
    <x v="3"/>
  </r>
  <r>
    <x v="1549"/>
    <x v="1"/>
    <x v="241"/>
    <x v="0"/>
    <x v="43"/>
    <x v="1"/>
    <x v="348"/>
    <x v="226"/>
    <x v="0"/>
    <x v="0"/>
  </r>
  <r>
    <x v="1549"/>
    <x v="2"/>
    <x v="144"/>
    <x v="1"/>
    <x v="66"/>
    <x v="3"/>
    <x v="633"/>
    <x v="135"/>
    <x v="4"/>
    <x v="4"/>
  </r>
  <r>
    <x v="1549"/>
    <x v="3"/>
    <x v="161"/>
    <x v="0"/>
    <x v="21"/>
    <x v="1"/>
    <x v="226"/>
    <x v="152"/>
    <x v="6"/>
    <x v="6"/>
  </r>
  <r>
    <x v="1549"/>
    <x v="4"/>
    <x v="106"/>
    <x v="1"/>
    <x v="39"/>
    <x v="2"/>
    <x v="219"/>
    <x v="98"/>
    <x v="5"/>
    <x v="5"/>
  </r>
  <r>
    <x v="1550"/>
    <x v="0"/>
    <x v="143"/>
    <x v="1"/>
    <x v="12"/>
    <x v="0"/>
    <x v="61"/>
    <x v="134"/>
    <x v="2"/>
    <x v="2"/>
  </r>
  <r>
    <x v="1551"/>
    <x v="0"/>
    <x v="245"/>
    <x v="0"/>
    <x v="27"/>
    <x v="3"/>
    <x v="367"/>
    <x v="230"/>
    <x v="4"/>
    <x v="4"/>
  </r>
  <r>
    <x v="1551"/>
    <x v="1"/>
    <x v="67"/>
    <x v="1"/>
    <x v="46"/>
    <x v="2"/>
    <x v="185"/>
    <x v="60"/>
    <x v="1"/>
    <x v="1"/>
  </r>
  <r>
    <x v="1552"/>
    <x v="0"/>
    <x v="48"/>
    <x v="0"/>
    <x v="26"/>
    <x v="1"/>
    <x v="255"/>
    <x v="34"/>
    <x v="3"/>
    <x v="3"/>
  </r>
  <r>
    <x v="1552"/>
    <x v="1"/>
    <x v="10"/>
    <x v="0"/>
    <x v="8"/>
    <x v="3"/>
    <x v="98"/>
    <x v="9"/>
    <x v="0"/>
    <x v="0"/>
  </r>
  <r>
    <x v="1552"/>
    <x v="2"/>
    <x v="211"/>
    <x v="0"/>
    <x v="9"/>
    <x v="2"/>
    <x v="121"/>
    <x v="199"/>
    <x v="0"/>
    <x v="0"/>
  </r>
  <r>
    <x v="1552"/>
    <x v="3"/>
    <x v="84"/>
    <x v="0"/>
    <x v="30"/>
    <x v="2"/>
    <x v="338"/>
    <x v="77"/>
    <x v="5"/>
    <x v="5"/>
  </r>
  <r>
    <x v="1553"/>
    <x v="0"/>
    <x v="171"/>
    <x v="0"/>
    <x v="5"/>
    <x v="2"/>
    <x v="132"/>
    <x v="162"/>
    <x v="6"/>
    <x v="6"/>
  </r>
  <r>
    <x v="1553"/>
    <x v="1"/>
    <x v="297"/>
    <x v="0"/>
    <x v="74"/>
    <x v="0"/>
    <x v="632"/>
    <x v="272"/>
    <x v="5"/>
    <x v="5"/>
  </r>
  <r>
    <x v="1554"/>
    <x v="0"/>
    <x v="24"/>
    <x v="1"/>
    <x v="8"/>
    <x v="3"/>
    <x v="97"/>
    <x v="9"/>
    <x v="3"/>
    <x v="3"/>
  </r>
  <r>
    <x v="1554"/>
    <x v="1"/>
    <x v="292"/>
    <x v="0"/>
    <x v="53"/>
    <x v="3"/>
    <x v="422"/>
    <x v="268"/>
    <x v="6"/>
    <x v="6"/>
  </r>
  <r>
    <x v="1554"/>
    <x v="2"/>
    <x v="250"/>
    <x v="0"/>
    <x v="14"/>
    <x v="3"/>
    <x v="107"/>
    <x v="234"/>
    <x v="1"/>
    <x v="1"/>
  </r>
  <r>
    <x v="1554"/>
    <x v="3"/>
    <x v="186"/>
    <x v="1"/>
    <x v="87"/>
    <x v="2"/>
    <x v="599"/>
    <x v="176"/>
    <x v="1"/>
    <x v="1"/>
  </r>
  <r>
    <x v="1554"/>
    <x v="4"/>
    <x v="298"/>
    <x v="0"/>
    <x v="41"/>
    <x v="0"/>
    <x v="334"/>
    <x v="273"/>
    <x v="6"/>
    <x v="6"/>
  </r>
  <r>
    <x v="1555"/>
    <x v="0"/>
    <x v="60"/>
    <x v="1"/>
    <x v="25"/>
    <x v="0"/>
    <x v="165"/>
    <x v="53"/>
    <x v="6"/>
    <x v="6"/>
  </r>
  <r>
    <x v="1555"/>
    <x v="1"/>
    <x v="90"/>
    <x v="0"/>
    <x v="43"/>
    <x v="1"/>
    <x v="348"/>
    <x v="83"/>
    <x v="0"/>
    <x v="0"/>
  </r>
  <r>
    <x v="1555"/>
    <x v="2"/>
    <x v="237"/>
    <x v="0"/>
    <x v="95"/>
    <x v="3"/>
    <x v="592"/>
    <x v="222"/>
    <x v="5"/>
    <x v="5"/>
  </r>
  <r>
    <x v="1555"/>
    <x v="3"/>
    <x v="295"/>
    <x v="1"/>
    <x v="14"/>
    <x v="2"/>
    <x v="124"/>
    <x v="271"/>
    <x v="1"/>
    <x v="1"/>
  </r>
  <r>
    <x v="1555"/>
    <x v="4"/>
    <x v="111"/>
    <x v="1"/>
    <x v="65"/>
    <x v="3"/>
    <x v="497"/>
    <x v="103"/>
    <x v="0"/>
    <x v="0"/>
  </r>
  <r>
    <x v="1556"/>
    <x v="0"/>
    <x v="179"/>
    <x v="1"/>
    <x v="84"/>
    <x v="1"/>
    <x v="626"/>
    <x v="169"/>
    <x v="6"/>
    <x v="6"/>
  </r>
  <r>
    <x v="1557"/>
    <x v="0"/>
    <x v="109"/>
    <x v="1"/>
    <x v="64"/>
    <x v="1"/>
    <x v="376"/>
    <x v="101"/>
    <x v="1"/>
    <x v="1"/>
  </r>
  <r>
    <x v="1557"/>
    <x v="1"/>
    <x v="262"/>
    <x v="0"/>
    <x v="4"/>
    <x v="1"/>
    <x v="133"/>
    <x v="243"/>
    <x v="1"/>
    <x v="1"/>
  </r>
  <r>
    <x v="1557"/>
    <x v="2"/>
    <x v="4"/>
    <x v="0"/>
    <x v="3"/>
    <x v="2"/>
    <x v="143"/>
    <x v="4"/>
    <x v="1"/>
    <x v="1"/>
  </r>
  <r>
    <x v="1557"/>
    <x v="3"/>
    <x v="66"/>
    <x v="0"/>
    <x v="45"/>
    <x v="0"/>
    <x v="206"/>
    <x v="59"/>
    <x v="6"/>
    <x v="6"/>
  </r>
  <r>
    <x v="1557"/>
    <x v="4"/>
    <x v="130"/>
    <x v="0"/>
    <x v="44"/>
    <x v="1"/>
    <x v="520"/>
    <x v="121"/>
    <x v="0"/>
    <x v="0"/>
  </r>
  <r>
    <x v="1558"/>
    <x v="0"/>
    <x v="70"/>
    <x v="1"/>
    <x v="48"/>
    <x v="1"/>
    <x v="257"/>
    <x v="63"/>
    <x v="5"/>
    <x v="5"/>
  </r>
  <r>
    <x v="1558"/>
    <x v="1"/>
    <x v="9"/>
    <x v="0"/>
    <x v="7"/>
    <x v="3"/>
    <x v="65"/>
    <x v="8"/>
    <x v="0"/>
    <x v="0"/>
  </r>
  <r>
    <x v="1558"/>
    <x v="2"/>
    <x v="59"/>
    <x v="1"/>
    <x v="41"/>
    <x v="3"/>
    <x v="216"/>
    <x v="52"/>
    <x v="6"/>
    <x v="6"/>
  </r>
  <r>
    <x v="1558"/>
    <x v="3"/>
    <x v="252"/>
    <x v="0"/>
    <x v="70"/>
    <x v="3"/>
    <x v="635"/>
    <x v="236"/>
    <x v="0"/>
    <x v="0"/>
  </r>
  <r>
    <x v="1559"/>
    <x v="0"/>
    <x v="200"/>
    <x v="1"/>
    <x v="4"/>
    <x v="0"/>
    <x v="73"/>
    <x v="190"/>
    <x v="1"/>
    <x v="1"/>
  </r>
  <r>
    <x v="1559"/>
    <x v="1"/>
    <x v="67"/>
    <x v="0"/>
    <x v="46"/>
    <x v="0"/>
    <x v="358"/>
    <x v="60"/>
    <x v="1"/>
    <x v="1"/>
  </r>
  <r>
    <x v="1560"/>
    <x v="0"/>
    <x v="196"/>
    <x v="1"/>
    <x v="90"/>
    <x v="1"/>
    <x v="636"/>
    <x v="186"/>
    <x v="6"/>
    <x v="6"/>
  </r>
  <r>
    <x v="1560"/>
    <x v="1"/>
    <x v="167"/>
    <x v="1"/>
    <x v="74"/>
    <x v="2"/>
    <x v="565"/>
    <x v="158"/>
    <x v="5"/>
    <x v="5"/>
  </r>
  <r>
    <x v="1561"/>
    <x v="0"/>
    <x v="59"/>
    <x v="0"/>
    <x v="41"/>
    <x v="0"/>
    <x v="334"/>
    <x v="52"/>
    <x v="6"/>
    <x v="6"/>
  </r>
  <r>
    <x v="1561"/>
    <x v="1"/>
    <x v="82"/>
    <x v="0"/>
    <x v="34"/>
    <x v="0"/>
    <x v="210"/>
    <x v="75"/>
    <x v="0"/>
    <x v="0"/>
  </r>
  <r>
    <x v="1561"/>
    <x v="2"/>
    <x v="185"/>
    <x v="1"/>
    <x v="41"/>
    <x v="1"/>
    <x v="540"/>
    <x v="175"/>
    <x v="1"/>
    <x v="1"/>
  </r>
  <r>
    <x v="1562"/>
    <x v="0"/>
    <x v="198"/>
    <x v="0"/>
    <x v="25"/>
    <x v="1"/>
    <x v="222"/>
    <x v="188"/>
    <x v="4"/>
    <x v="4"/>
  </r>
  <r>
    <x v="1563"/>
    <x v="0"/>
    <x v="299"/>
    <x v="0"/>
    <x v="65"/>
    <x v="1"/>
    <x v="610"/>
    <x v="257"/>
    <x v="3"/>
    <x v="3"/>
  </r>
  <r>
    <x v="1563"/>
    <x v="1"/>
    <x v="15"/>
    <x v="0"/>
    <x v="11"/>
    <x v="3"/>
    <x v="21"/>
    <x v="12"/>
    <x v="0"/>
    <x v="0"/>
  </r>
  <r>
    <x v="1564"/>
    <x v="0"/>
    <x v="88"/>
    <x v="0"/>
    <x v="55"/>
    <x v="1"/>
    <x v="375"/>
    <x v="81"/>
    <x v="1"/>
    <x v="1"/>
  </r>
  <r>
    <x v="1564"/>
    <x v="1"/>
    <x v="102"/>
    <x v="0"/>
    <x v="30"/>
    <x v="3"/>
    <x v="276"/>
    <x v="94"/>
    <x v="5"/>
    <x v="5"/>
  </r>
  <r>
    <x v="1564"/>
    <x v="2"/>
    <x v="276"/>
    <x v="0"/>
    <x v="65"/>
    <x v="3"/>
    <x v="492"/>
    <x v="220"/>
    <x v="0"/>
    <x v="0"/>
  </r>
  <r>
    <x v="1564"/>
    <x v="3"/>
    <x v="43"/>
    <x v="0"/>
    <x v="15"/>
    <x v="1"/>
    <x v="75"/>
    <x v="31"/>
    <x v="5"/>
    <x v="5"/>
  </r>
  <r>
    <x v="1564"/>
    <x v="4"/>
    <x v="219"/>
    <x v="1"/>
    <x v="72"/>
    <x v="0"/>
    <x v="624"/>
    <x v="129"/>
    <x v="0"/>
    <x v="0"/>
  </r>
  <r>
    <x v="1565"/>
    <x v="0"/>
    <x v="135"/>
    <x v="0"/>
    <x v="69"/>
    <x v="2"/>
    <x v="539"/>
    <x v="126"/>
    <x v="6"/>
    <x v="6"/>
  </r>
  <r>
    <x v="1565"/>
    <x v="1"/>
    <x v="32"/>
    <x v="1"/>
    <x v="23"/>
    <x v="2"/>
    <x v="244"/>
    <x v="28"/>
    <x v="4"/>
    <x v="4"/>
  </r>
  <r>
    <x v="1566"/>
    <x v="0"/>
    <x v="300"/>
    <x v="0"/>
    <x v="70"/>
    <x v="0"/>
    <x v="605"/>
    <x v="274"/>
    <x v="5"/>
    <x v="5"/>
  </r>
  <r>
    <x v="1567"/>
    <x v="0"/>
    <x v="301"/>
    <x v="0"/>
    <x v="23"/>
    <x v="0"/>
    <x v="223"/>
    <x v="275"/>
    <x v="6"/>
    <x v="6"/>
  </r>
  <r>
    <x v="1567"/>
    <x v="1"/>
    <x v="86"/>
    <x v="0"/>
    <x v="54"/>
    <x v="1"/>
    <x v="464"/>
    <x v="79"/>
    <x v="3"/>
    <x v="3"/>
  </r>
  <r>
    <x v="1567"/>
    <x v="2"/>
    <x v="235"/>
    <x v="0"/>
    <x v="65"/>
    <x v="3"/>
    <x v="492"/>
    <x v="220"/>
    <x v="3"/>
    <x v="3"/>
  </r>
  <r>
    <x v="1568"/>
    <x v="0"/>
    <x v="253"/>
    <x v="0"/>
    <x v="9"/>
    <x v="3"/>
    <x v="128"/>
    <x v="165"/>
    <x v="0"/>
    <x v="0"/>
  </r>
  <r>
    <x v="1569"/>
    <x v="0"/>
    <x v="181"/>
    <x v="0"/>
    <x v="86"/>
    <x v="1"/>
    <x v="637"/>
    <x v="171"/>
    <x v="6"/>
    <x v="6"/>
  </r>
  <r>
    <x v="1570"/>
    <x v="0"/>
    <x v="302"/>
    <x v="1"/>
    <x v="99"/>
    <x v="3"/>
    <x v="567"/>
    <x v="228"/>
    <x v="3"/>
    <x v="3"/>
  </r>
  <r>
    <x v="1570"/>
    <x v="1"/>
    <x v="303"/>
    <x v="0"/>
    <x v="79"/>
    <x v="1"/>
    <x v="638"/>
    <x v="245"/>
    <x v="0"/>
    <x v="0"/>
  </r>
  <r>
    <x v="1570"/>
    <x v="2"/>
    <x v="0"/>
    <x v="1"/>
    <x v="0"/>
    <x v="0"/>
    <x v="24"/>
    <x v="0"/>
    <x v="0"/>
    <x v="0"/>
  </r>
  <r>
    <x v="1571"/>
    <x v="0"/>
    <x v="249"/>
    <x v="1"/>
    <x v="65"/>
    <x v="2"/>
    <x v="515"/>
    <x v="233"/>
    <x v="0"/>
    <x v="0"/>
  </r>
  <r>
    <x v="1571"/>
    <x v="1"/>
    <x v="255"/>
    <x v="0"/>
    <x v="9"/>
    <x v="0"/>
    <x v="141"/>
    <x v="199"/>
    <x v="4"/>
    <x v="4"/>
  </r>
  <r>
    <x v="1571"/>
    <x v="2"/>
    <x v="185"/>
    <x v="0"/>
    <x v="41"/>
    <x v="2"/>
    <x v="361"/>
    <x v="175"/>
    <x v="1"/>
    <x v="1"/>
  </r>
  <r>
    <x v="1571"/>
    <x v="3"/>
    <x v="138"/>
    <x v="1"/>
    <x v="72"/>
    <x v="0"/>
    <x v="624"/>
    <x v="129"/>
    <x v="3"/>
    <x v="3"/>
  </r>
  <r>
    <x v="1572"/>
    <x v="0"/>
    <x v="11"/>
    <x v="0"/>
    <x v="9"/>
    <x v="2"/>
    <x v="121"/>
    <x v="10"/>
    <x v="4"/>
    <x v="4"/>
  </r>
  <r>
    <x v="1572"/>
    <x v="1"/>
    <x v="120"/>
    <x v="0"/>
    <x v="69"/>
    <x v="1"/>
    <x v="639"/>
    <x v="112"/>
    <x v="1"/>
    <x v="1"/>
  </r>
  <r>
    <x v="1572"/>
    <x v="2"/>
    <x v="12"/>
    <x v="1"/>
    <x v="10"/>
    <x v="3"/>
    <x v="120"/>
    <x v="11"/>
    <x v="0"/>
    <x v="0"/>
  </r>
  <r>
    <x v="1572"/>
    <x v="3"/>
    <x v="249"/>
    <x v="1"/>
    <x v="65"/>
    <x v="1"/>
    <x v="562"/>
    <x v="233"/>
    <x v="0"/>
    <x v="0"/>
  </r>
  <r>
    <x v="1572"/>
    <x v="4"/>
    <x v="160"/>
    <x v="1"/>
    <x v="81"/>
    <x v="3"/>
    <x v="542"/>
    <x v="151"/>
    <x v="5"/>
    <x v="5"/>
  </r>
  <r>
    <x v="1573"/>
    <x v="0"/>
    <x v="220"/>
    <x v="0"/>
    <x v="14"/>
    <x v="3"/>
    <x v="107"/>
    <x v="207"/>
    <x v="1"/>
    <x v="1"/>
  </r>
  <r>
    <x v="1574"/>
    <x v="0"/>
    <x v="99"/>
    <x v="0"/>
    <x v="60"/>
    <x v="1"/>
    <x v="411"/>
    <x v="91"/>
    <x v="1"/>
    <x v="1"/>
  </r>
  <r>
    <x v="1574"/>
    <x v="1"/>
    <x v="143"/>
    <x v="1"/>
    <x v="12"/>
    <x v="3"/>
    <x v="20"/>
    <x v="134"/>
    <x v="2"/>
    <x v="2"/>
  </r>
  <r>
    <x v="1574"/>
    <x v="2"/>
    <x v="193"/>
    <x v="0"/>
    <x v="11"/>
    <x v="1"/>
    <x v="36"/>
    <x v="183"/>
    <x v="0"/>
    <x v="0"/>
  </r>
  <r>
    <x v="1574"/>
    <x v="3"/>
    <x v="250"/>
    <x v="1"/>
    <x v="14"/>
    <x v="2"/>
    <x v="124"/>
    <x v="234"/>
    <x v="1"/>
    <x v="1"/>
  </r>
  <r>
    <x v="1574"/>
    <x v="4"/>
    <x v="102"/>
    <x v="1"/>
    <x v="30"/>
    <x v="0"/>
    <x v="266"/>
    <x v="94"/>
    <x v="5"/>
    <x v="5"/>
  </r>
  <r>
    <x v="1575"/>
    <x v="0"/>
    <x v="79"/>
    <x v="0"/>
    <x v="24"/>
    <x v="2"/>
    <x v="205"/>
    <x v="72"/>
    <x v="0"/>
    <x v="0"/>
  </r>
  <r>
    <x v="1575"/>
    <x v="1"/>
    <x v="284"/>
    <x v="0"/>
    <x v="70"/>
    <x v="2"/>
    <x v="573"/>
    <x v="262"/>
    <x v="5"/>
    <x v="5"/>
  </r>
  <r>
    <x v="1575"/>
    <x v="2"/>
    <x v="288"/>
    <x v="1"/>
    <x v="25"/>
    <x v="2"/>
    <x v="371"/>
    <x v="266"/>
    <x v="4"/>
    <x v="4"/>
  </r>
  <r>
    <x v="1576"/>
    <x v="0"/>
    <x v="136"/>
    <x v="1"/>
    <x v="74"/>
    <x v="2"/>
    <x v="565"/>
    <x v="127"/>
    <x v="5"/>
    <x v="5"/>
  </r>
  <r>
    <x v="1576"/>
    <x v="1"/>
    <x v="103"/>
    <x v="1"/>
    <x v="38"/>
    <x v="3"/>
    <x v="267"/>
    <x v="95"/>
    <x v="3"/>
    <x v="3"/>
  </r>
  <r>
    <x v="1576"/>
    <x v="2"/>
    <x v="133"/>
    <x v="1"/>
    <x v="62"/>
    <x v="0"/>
    <x v="491"/>
    <x v="124"/>
    <x v="3"/>
    <x v="3"/>
  </r>
  <r>
    <x v="1576"/>
    <x v="3"/>
    <x v="189"/>
    <x v="1"/>
    <x v="88"/>
    <x v="1"/>
    <x v="640"/>
    <x v="179"/>
    <x v="1"/>
    <x v="1"/>
  </r>
  <r>
    <x v="1576"/>
    <x v="4"/>
    <x v="129"/>
    <x v="1"/>
    <x v="74"/>
    <x v="2"/>
    <x v="565"/>
    <x v="120"/>
    <x v="5"/>
    <x v="5"/>
  </r>
  <r>
    <x v="1577"/>
    <x v="0"/>
    <x v="180"/>
    <x v="1"/>
    <x v="85"/>
    <x v="1"/>
    <x v="530"/>
    <x v="170"/>
    <x v="4"/>
    <x v="4"/>
  </r>
  <r>
    <x v="1577"/>
    <x v="1"/>
    <x v="273"/>
    <x v="0"/>
    <x v="65"/>
    <x v="2"/>
    <x v="493"/>
    <x v="204"/>
    <x v="3"/>
    <x v="3"/>
  </r>
  <r>
    <x v="1577"/>
    <x v="2"/>
    <x v="119"/>
    <x v="1"/>
    <x v="5"/>
    <x v="0"/>
    <x v="39"/>
    <x v="111"/>
    <x v="0"/>
    <x v="0"/>
  </r>
  <r>
    <x v="1578"/>
    <x v="0"/>
    <x v="60"/>
    <x v="0"/>
    <x v="25"/>
    <x v="2"/>
    <x v="413"/>
    <x v="53"/>
    <x v="6"/>
    <x v="6"/>
  </r>
  <r>
    <x v="1578"/>
    <x v="1"/>
    <x v="204"/>
    <x v="0"/>
    <x v="65"/>
    <x v="3"/>
    <x v="492"/>
    <x v="194"/>
    <x v="0"/>
    <x v="0"/>
  </r>
  <r>
    <x v="1578"/>
    <x v="2"/>
    <x v="256"/>
    <x v="0"/>
    <x v="74"/>
    <x v="1"/>
    <x v="641"/>
    <x v="238"/>
    <x v="5"/>
    <x v="5"/>
  </r>
  <r>
    <x v="1578"/>
    <x v="3"/>
    <x v="105"/>
    <x v="1"/>
    <x v="63"/>
    <x v="3"/>
    <x v="287"/>
    <x v="97"/>
    <x v="0"/>
    <x v="0"/>
  </r>
  <r>
    <x v="1579"/>
    <x v="0"/>
    <x v="295"/>
    <x v="1"/>
    <x v="14"/>
    <x v="1"/>
    <x v="138"/>
    <x v="271"/>
    <x v="1"/>
    <x v="1"/>
  </r>
  <r>
    <x v="1579"/>
    <x v="1"/>
    <x v="106"/>
    <x v="1"/>
    <x v="39"/>
    <x v="0"/>
    <x v="355"/>
    <x v="98"/>
    <x v="5"/>
    <x v="5"/>
  </r>
  <r>
    <x v="1580"/>
    <x v="0"/>
    <x v="38"/>
    <x v="0"/>
    <x v="26"/>
    <x v="3"/>
    <x v="164"/>
    <x v="34"/>
    <x v="0"/>
    <x v="0"/>
  </r>
  <r>
    <x v="1580"/>
    <x v="1"/>
    <x v="268"/>
    <x v="0"/>
    <x v="95"/>
    <x v="0"/>
    <x v="642"/>
    <x v="248"/>
    <x v="5"/>
    <x v="5"/>
  </r>
  <r>
    <x v="1581"/>
    <x v="0"/>
    <x v="85"/>
    <x v="0"/>
    <x v="0"/>
    <x v="1"/>
    <x v="5"/>
    <x v="78"/>
    <x v="0"/>
    <x v="0"/>
  </r>
  <r>
    <x v="1581"/>
    <x v="1"/>
    <x v="168"/>
    <x v="1"/>
    <x v="42"/>
    <x v="1"/>
    <x v="177"/>
    <x v="159"/>
    <x v="1"/>
    <x v="1"/>
  </r>
  <r>
    <x v="1582"/>
    <x v="0"/>
    <x v="12"/>
    <x v="0"/>
    <x v="10"/>
    <x v="2"/>
    <x v="119"/>
    <x v="11"/>
    <x v="0"/>
    <x v="0"/>
  </r>
  <r>
    <x v="1582"/>
    <x v="1"/>
    <x v="237"/>
    <x v="1"/>
    <x v="95"/>
    <x v="0"/>
    <x v="643"/>
    <x v="222"/>
    <x v="5"/>
    <x v="5"/>
  </r>
  <r>
    <x v="1583"/>
    <x v="0"/>
    <x v="78"/>
    <x v="1"/>
    <x v="52"/>
    <x v="3"/>
    <x v="239"/>
    <x v="71"/>
    <x v="1"/>
    <x v="1"/>
  </r>
  <r>
    <x v="1583"/>
    <x v="1"/>
    <x v="249"/>
    <x v="1"/>
    <x v="65"/>
    <x v="3"/>
    <x v="497"/>
    <x v="233"/>
    <x v="0"/>
    <x v="0"/>
  </r>
  <r>
    <x v="1583"/>
    <x v="2"/>
    <x v="52"/>
    <x v="0"/>
    <x v="28"/>
    <x v="0"/>
    <x v="328"/>
    <x v="45"/>
    <x v="1"/>
    <x v="1"/>
  </r>
  <r>
    <x v="1583"/>
    <x v="3"/>
    <x v="251"/>
    <x v="0"/>
    <x v="66"/>
    <x v="3"/>
    <x v="513"/>
    <x v="235"/>
    <x v="4"/>
    <x v="4"/>
  </r>
  <r>
    <x v="1583"/>
    <x v="4"/>
    <x v="162"/>
    <x v="1"/>
    <x v="1"/>
    <x v="1"/>
    <x v="1"/>
    <x v="153"/>
    <x v="6"/>
    <x v="6"/>
  </r>
  <r>
    <x v="1584"/>
    <x v="0"/>
    <x v="173"/>
    <x v="0"/>
    <x v="19"/>
    <x v="3"/>
    <x v="201"/>
    <x v="164"/>
    <x v="3"/>
    <x v="3"/>
  </r>
  <r>
    <x v="1584"/>
    <x v="1"/>
    <x v="26"/>
    <x v="1"/>
    <x v="19"/>
    <x v="3"/>
    <x v="145"/>
    <x v="22"/>
    <x v="3"/>
    <x v="3"/>
  </r>
  <r>
    <x v="1584"/>
    <x v="2"/>
    <x v="143"/>
    <x v="1"/>
    <x v="12"/>
    <x v="1"/>
    <x v="102"/>
    <x v="134"/>
    <x v="2"/>
    <x v="2"/>
  </r>
  <r>
    <x v="1584"/>
    <x v="3"/>
    <x v="43"/>
    <x v="0"/>
    <x v="15"/>
    <x v="3"/>
    <x v="37"/>
    <x v="31"/>
    <x v="5"/>
    <x v="5"/>
  </r>
  <r>
    <x v="1584"/>
    <x v="4"/>
    <x v="278"/>
    <x v="0"/>
    <x v="66"/>
    <x v="3"/>
    <x v="513"/>
    <x v="256"/>
    <x v="4"/>
    <x v="4"/>
  </r>
  <r>
    <x v="1585"/>
    <x v="0"/>
    <x v="13"/>
    <x v="1"/>
    <x v="11"/>
    <x v="3"/>
    <x v="23"/>
    <x v="12"/>
    <x v="5"/>
    <x v="5"/>
  </r>
  <r>
    <x v="1585"/>
    <x v="1"/>
    <x v="215"/>
    <x v="0"/>
    <x v="75"/>
    <x v="1"/>
    <x v="644"/>
    <x v="203"/>
    <x v="5"/>
    <x v="5"/>
  </r>
  <r>
    <x v="1585"/>
    <x v="2"/>
    <x v="214"/>
    <x v="0"/>
    <x v="70"/>
    <x v="2"/>
    <x v="573"/>
    <x v="202"/>
    <x v="5"/>
    <x v="5"/>
  </r>
  <r>
    <x v="1585"/>
    <x v="3"/>
    <x v="264"/>
    <x v="0"/>
    <x v="41"/>
    <x v="0"/>
    <x v="334"/>
    <x v="244"/>
    <x v="6"/>
    <x v="6"/>
  </r>
  <r>
    <x v="1585"/>
    <x v="4"/>
    <x v="107"/>
    <x v="0"/>
    <x v="61"/>
    <x v="3"/>
    <x v="326"/>
    <x v="99"/>
    <x v="1"/>
    <x v="1"/>
  </r>
  <r>
    <x v="1586"/>
    <x v="0"/>
    <x v="77"/>
    <x v="0"/>
    <x v="51"/>
    <x v="3"/>
    <x v="249"/>
    <x v="70"/>
    <x v="3"/>
    <x v="3"/>
  </r>
  <r>
    <x v="1586"/>
    <x v="1"/>
    <x v="65"/>
    <x v="1"/>
    <x v="25"/>
    <x v="2"/>
    <x v="371"/>
    <x v="58"/>
    <x v="2"/>
    <x v="2"/>
  </r>
  <r>
    <x v="1586"/>
    <x v="2"/>
    <x v="46"/>
    <x v="1"/>
    <x v="31"/>
    <x v="2"/>
    <x v="437"/>
    <x v="40"/>
    <x v="0"/>
    <x v="0"/>
  </r>
  <r>
    <x v="1586"/>
    <x v="3"/>
    <x v="133"/>
    <x v="1"/>
    <x v="62"/>
    <x v="1"/>
    <x v="278"/>
    <x v="124"/>
    <x v="3"/>
    <x v="3"/>
  </r>
  <r>
    <x v="1587"/>
    <x v="0"/>
    <x v="101"/>
    <x v="1"/>
    <x v="30"/>
    <x v="1"/>
    <x v="268"/>
    <x v="93"/>
    <x v="5"/>
    <x v="5"/>
  </r>
  <r>
    <x v="1588"/>
    <x v="0"/>
    <x v="267"/>
    <x v="1"/>
    <x v="82"/>
    <x v="2"/>
    <x v="586"/>
    <x v="247"/>
    <x v="0"/>
    <x v="0"/>
  </r>
  <r>
    <x v="1588"/>
    <x v="1"/>
    <x v="258"/>
    <x v="0"/>
    <x v="62"/>
    <x v="0"/>
    <x v="403"/>
    <x v="124"/>
    <x v="0"/>
    <x v="0"/>
  </r>
  <r>
    <x v="1588"/>
    <x v="2"/>
    <x v="76"/>
    <x v="1"/>
    <x v="50"/>
    <x v="3"/>
    <x v="429"/>
    <x v="69"/>
    <x v="1"/>
    <x v="1"/>
  </r>
  <r>
    <x v="1589"/>
    <x v="0"/>
    <x v="147"/>
    <x v="1"/>
    <x v="41"/>
    <x v="1"/>
    <x v="540"/>
    <x v="138"/>
    <x v="6"/>
    <x v="6"/>
  </r>
  <r>
    <x v="1589"/>
    <x v="1"/>
    <x v="277"/>
    <x v="0"/>
    <x v="0"/>
    <x v="0"/>
    <x v="0"/>
    <x v="255"/>
    <x v="0"/>
    <x v="0"/>
  </r>
  <r>
    <x v="1589"/>
    <x v="2"/>
    <x v="19"/>
    <x v="0"/>
    <x v="15"/>
    <x v="1"/>
    <x v="75"/>
    <x v="17"/>
    <x v="5"/>
    <x v="5"/>
  </r>
  <r>
    <x v="1590"/>
    <x v="0"/>
    <x v="256"/>
    <x v="1"/>
    <x v="74"/>
    <x v="0"/>
    <x v="521"/>
    <x v="238"/>
    <x v="5"/>
    <x v="5"/>
  </r>
  <r>
    <x v="1590"/>
    <x v="1"/>
    <x v="250"/>
    <x v="1"/>
    <x v="14"/>
    <x v="0"/>
    <x v="117"/>
    <x v="234"/>
    <x v="1"/>
    <x v="1"/>
  </r>
  <r>
    <x v="1590"/>
    <x v="2"/>
    <x v="44"/>
    <x v="1"/>
    <x v="29"/>
    <x v="1"/>
    <x v="172"/>
    <x v="38"/>
    <x v="5"/>
    <x v="5"/>
  </r>
  <r>
    <x v="1590"/>
    <x v="3"/>
    <x v="141"/>
    <x v="1"/>
    <x v="77"/>
    <x v="2"/>
    <x v="512"/>
    <x v="132"/>
    <x v="1"/>
    <x v="1"/>
  </r>
  <r>
    <x v="1590"/>
    <x v="4"/>
    <x v="237"/>
    <x v="0"/>
    <x v="95"/>
    <x v="0"/>
    <x v="642"/>
    <x v="222"/>
    <x v="5"/>
    <x v="5"/>
  </r>
  <r>
    <x v="1591"/>
    <x v="0"/>
    <x v="304"/>
    <x v="1"/>
    <x v="2"/>
    <x v="2"/>
    <x v="2"/>
    <x v="147"/>
    <x v="2"/>
    <x v="2"/>
  </r>
  <r>
    <x v="1591"/>
    <x v="1"/>
    <x v="166"/>
    <x v="0"/>
    <x v="27"/>
    <x v="1"/>
    <x v="466"/>
    <x v="157"/>
    <x v="6"/>
    <x v="6"/>
  </r>
  <r>
    <x v="1591"/>
    <x v="2"/>
    <x v="95"/>
    <x v="1"/>
    <x v="23"/>
    <x v="1"/>
    <x v="179"/>
    <x v="87"/>
    <x v="1"/>
    <x v="1"/>
  </r>
  <r>
    <x v="1591"/>
    <x v="3"/>
    <x v="11"/>
    <x v="0"/>
    <x v="9"/>
    <x v="0"/>
    <x v="141"/>
    <x v="10"/>
    <x v="4"/>
    <x v="4"/>
  </r>
  <r>
    <x v="1591"/>
    <x v="4"/>
    <x v="261"/>
    <x v="1"/>
    <x v="30"/>
    <x v="2"/>
    <x v="211"/>
    <x v="242"/>
    <x v="5"/>
    <x v="5"/>
  </r>
  <r>
    <x v="1592"/>
    <x v="0"/>
    <x v="44"/>
    <x v="1"/>
    <x v="29"/>
    <x v="0"/>
    <x v="209"/>
    <x v="38"/>
    <x v="5"/>
    <x v="5"/>
  </r>
  <r>
    <x v="1592"/>
    <x v="1"/>
    <x v="98"/>
    <x v="0"/>
    <x v="14"/>
    <x v="1"/>
    <x v="29"/>
    <x v="90"/>
    <x v="1"/>
    <x v="1"/>
  </r>
  <r>
    <x v="1592"/>
    <x v="2"/>
    <x v="115"/>
    <x v="1"/>
    <x v="66"/>
    <x v="3"/>
    <x v="633"/>
    <x v="107"/>
    <x v="4"/>
    <x v="4"/>
  </r>
  <r>
    <x v="1592"/>
    <x v="3"/>
    <x v="92"/>
    <x v="0"/>
    <x v="24"/>
    <x v="2"/>
    <x v="205"/>
    <x v="72"/>
    <x v="3"/>
    <x v="3"/>
  </r>
  <r>
    <x v="1592"/>
    <x v="4"/>
    <x v="146"/>
    <x v="1"/>
    <x v="53"/>
    <x v="1"/>
    <x v="208"/>
    <x v="137"/>
    <x v="6"/>
    <x v="6"/>
  </r>
  <r>
    <x v="1593"/>
    <x v="0"/>
    <x v="47"/>
    <x v="1"/>
    <x v="32"/>
    <x v="3"/>
    <x v="420"/>
    <x v="41"/>
    <x v="0"/>
    <x v="0"/>
  </r>
  <r>
    <x v="1593"/>
    <x v="1"/>
    <x v="86"/>
    <x v="0"/>
    <x v="54"/>
    <x v="3"/>
    <x v="425"/>
    <x v="79"/>
    <x v="3"/>
    <x v="3"/>
  </r>
  <r>
    <x v="1594"/>
    <x v="0"/>
    <x v="225"/>
    <x v="0"/>
    <x v="55"/>
    <x v="0"/>
    <x v="467"/>
    <x v="211"/>
    <x v="1"/>
    <x v="1"/>
  </r>
  <r>
    <x v="1595"/>
    <x v="0"/>
    <x v="87"/>
    <x v="0"/>
    <x v="29"/>
    <x v="2"/>
    <x v="277"/>
    <x v="80"/>
    <x v="5"/>
    <x v="5"/>
  </r>
  <r>
    <x v="1595"/>
    <x v="1"/>
    <x v="9"/>
    <x v="0"/>
    <x v="7"/>
    <x v="3"/>
    <x v="65"/>
    <x v="8"/>
    <x v="0"/>
    <x v="0"/>
  </r>
  <r>
    <x v="1596"/>
    <x v="0"/>
    <x v="305"/>
    <x v="0"/>
    <x v="41"/>
    <x v="1"/>
    <x v="339"/>
    <x v="276"/>
    <x v="6"/>
    <x v="6"/>
  </r>
  <r>
    <x v="1596"/>
    <x v="1"/>
    <x v="64"/>
    <x v="0"/>
    <x v="44"/>
    <x v="1"/>
    <x v="520"/>
    <x v="57"/>
    <x v="6"/>
    <x v="6"/>
  </r>
  <r>
    <x v="1597"/>
    <x v="0"/>
    <x v="123"/>
    <x v="0"/>
    <x v="0"/>
    <x v="0"/>
    <x v="0"/>
    <x v="114"/>
    <x v="0"/>
    <x v="0"/>
  </r>
  <r>
    <x v="1597"/>
    <x v="1"/>
    <x v="60"/>
    <x v="1"/>
    <x v="25"/>
    <x v="1"/>
    <x v="182"/>
    <x v="53"/>
    <x v="6"/>
    <x v="6"/>
  </r>
  <r>
    <x v="1597"/>
    <x v="2"/>
    <x v="54"/>
    <x v="0"/>
    <x v="37"/>
    <x v="0"/>
    <x v="321"/>
    <x v="47"/>
    <x v="5"/>
    <x v="5"/>
  </r>
  <r>
    <x v="1598"/>
    <x v="0"/>
    <x v="77"/>
    <x v="1"/>
    <x v="51"/>
    <x v="0"/>
    <x v="203"/>
    <x v="70"/>
    <x v="3"/>
    <x v="3"/>
  </r>
  <r>
    <x v="1599"/>
    <x v="0"/>
    <x v="301"/>
    <x v="0"/>
    <x v="23"/>
    <x v="3"/>
    <x v="253"/>
    <x v="275"/>
    <x v="6"/>
    <x v="6"/>
  </r>
  <r>
    <x v="1599"/>
    <x v="1"/>
    <x v="214"/>
    <x v="0"/>
    <x v="70"/>
    <x v="2"/>
    <x v="573"/>
    <x v="202"/>
    <x v="5"/>
    <x v="5"/>
  </r>
  <r>
    <x v="1599"/>
    <x v="2"/>
    <x v="107"/>
    <x v="0"/>
    <x v="61"/>
    <x v="0"/>
    <x v="265"/>
    <x v="99"/>
    <x v="1"/>
    <x v="1"/>
  </r>
  <r>
    <x v="1600"/>
    <x v="0"/>
    <x v="233"/>
    <x v="1"/>
    <x v="97"/>
    <x v="0"/>
    <x v="645"/>
    <x v="218"/>
    <x v="1"/>
    <x v="1"/>
  </r>
  <r>
    <x v="1600"/>
    <x v="1"/>
    <x v="2"/>
    <x v="0"/>
    <x v="2"/>
    <x v="0"/>
    <x v="135"/>
    <x v="2"/>
    <x v="2"/>
    <x v="2"/>
  </r>
  <r>
    <x v="1600"/>
    <x v="2"/>
    <x v="229"/>
    <x v="1"/>
    <x v="11"/>
    <x v="1"/>
    <x v="35"/>
    <x v="214"/>
    <x v="0"/>
    <x v="0"/>
  </r>
  <r>
    <x v="1600"/>
    <x v="3"/>
    <x v="14"/>
    <x v="1"/>
    <x v="12"/>
    <x v="1"/>
    <x v="102"/>
    <x v="13"/>
    <x v="1"/>
    <x v="1"/>
  </r>
  <r>
    <x v="1600"/>
    <x v="4"/>
    <x v="118"/>
    <x v="0"/>
    <x v="69"/>
    <x v="3"/>
    <x v="602"/>
    <x v="110"/>
    <x v="6"/>
    <x v="6"/>
  </r>
  <r>
    <x v="1601"/>
    <x v="0"/>
    <x v="68"/>
    <x v="1"/>
    <x v="24"/>
    <x v="2"/>
    <x v="293"/>
    <x v="61"/>
    <x v="0"/>
    <x v="0"/>
  </r>
  <r>
    <x v="1601"/>
    <x v="1"/>
    <x v="88"/>
    <x v="0"/>
    <x v="55"/>
    <x v="1"/>
    <x v="375"/>
    <x v="81"/>
    <x v="1"/>
    <x v="1"/>
  </r>
  <r>
    <x v="1601"/>
    <x v="2"/>
    <x v="224"/>
    <x v="1"/>
    <x v="91"/>
    <x v="0"/>
    <x v="544"/>
    <x v="210"/>
    <x v="5"/>
    <x v="5"/>
  </r>
  <r>
    <x v="1601"/>
    <x v="3"/>
    <x v="113"/>
    <x v="1"/>
    <x v="65"/>
    <x v="2"/>
    <x v="515"/>
    <x v="105"/>
    <x v="0"/>
    <x v="0"/>
  </r>
  <r>
    <x v="1602"/>
    <x v="0"/>
    <x v="224"/>
    <x v="1"/>
    <x v="91"/>
    <x v="2"/>
    <x v="646"/>
    <x v="210"/>
    <x v="5"/>
    <x v="5"/>
  </r>
  <r>
    <x v="1603"/>
    <x v="0"/>
    <x v="261"/>
    <x v="0"/>
    <x v="30"/>
    <x v="3"/>
    <x v="276"/>
    <x v="242"/>
    <x v="5"/>
    <x v="5"/>
  </r>
  <r>
    <x v="1604"/>
    <x v="0"/>
    <x v="31"/>
    <x v="0"/>
    <x v="22"/>
    <x v="3"/>
    <x v="368"/>
    <x v="27"/>
    <x v="0"/>
    <x v="0"/>
  </r>
  <r>
    <x v="1604"/>
    <x v="1"/>
    <x v="192"/>
    <x v="0"/>
    <x v="76"/>
    <x v="0"/>
    <x v="537"/>
    <x v="182"/>
    <x v="4"/>
    <x v="4"/>
  </r>
  <r>
    <x v="1604"/>
    <x v="2"/>
    <x v="188"/>
    <x v="1"/>
    <x v="42"/>
    <x v="3"/>
    <x v="428"/>
    <x v="178"/>
    <x v="1"/>
    <x v="1"/>
  </r>
  <r>
    <x v="1604"/>
    <x v="3"/>
    <x v="235"/>
    <x v="0"/>
    <x v="65"/>
    <x v="3"/>
    <x v="492"/>
    <x v="220"/>
    <x v="3"/>
    <x v="3"/>
  </r>
  <r>
    <x v="1604"/>
    <x v="4"/>
    <x v="61"/>
    <x v="0"/>
    <x v="4"/>
    <x v="1"/>
    <x v="133"/>
    <x v="54"/>
    <x v="1"/>
    <x v="1"/>
  </r>
  <r>
    <x v="1605"/>
    <x v="0"/>
    <x v="241"/>
    <x v="0"/>
    <x v="43"/>
    <x v="3"/>
    <x v="388"/>
    <x v="226"/>
    <x v="0"/>
    <x v="0"/>
  </r>
  <r>
    <x v="1605"/>
    <x v="1"/>
    <x v="261"/>
    <x v="0"/>
    <x v="30"/>
    <x v="3"/>
    <x v="276"/>
    <x v="242"/>
    <x v="5"/>
    <x v="5"/>
  </r>
  <r>
    <x v="1606"/>
    <x v="0"/>
    <x v="61"/>
    <x v="0"/>
    <x v="4"/>
    <x v="2"/>
    <x v="6"/>
    <x v="54"/>
    <x v="1"/>
    <x v="1"/>
  </r>
  <r>
    <x v="1607"/>
    <x v="0"/>
    <x v="285"/>
    <x v="1"/>
    <x v="10"/>
    <x v="2"/>
    <x v="94"/>
    <x v="263"/>
    <x v="0"/>
    <x v="0"/>
  </r>
  <r>
    <x v="1608"/>
    <x v="0"/>
    <x v="81"/>
    <x v="0"/>
    <x v="29"/>
    <x v="0"/>
    <x v="344"/>
    <x v="74"/>
    <x v="5"/>
    <x v="5"/>
  </r>
  <r>
    <x v="1608"/>
    <x v="1"/>
    <x v="207"/>
    <x v="1"/>
    <x v="5"/>
    <x v="0"/>
    <x v="39"/>
    <x v="168"/>
    <x v="0"/>
    <x v="0"/>
  </r>
  <r>
    <x v="1608"/>
    <x v="2"/>
    <x v="121"/>
    <x v="1"/>
    <x v="70"/>
    <x v="3"/>
    <x v="525"/>
    <x v="113"/>
    <x v="0"/>
    <x v="0"/>
  </r>
  <r>
    <x v="1608"/>
    <x v="3"/>
    <x v="86"/>
    <x v="0"/>
    <x v="54"/>
    <x v="0"/>
    <x v="441"/>
    <x v="79"/>
    <x v="3"/>
    <x v="3"/>
  </r>
  <r>
    <x v="1609"/>
    <x v="0"/>
    <x v="107"/>
    <x v="0"/>
    <x v="61"/>
    <x v="1"/>
    <x v="472"/>
    <x v="99"/>
    <x v="1"/>
    <x v="1"/>
  </r>
  <r>
    <x v="1609"/>
    <x v="1"/>
    <x v="264"/>
    <x v="1"/>
    <x v="41"/>
    <x v="0"/>
    <x v="468"/>
    <x v="244"/>
    <x v="6"/>
    <x v="6"/>
  </r>
  <r>
    <x v="1610"/>
    <x v="0"/>
    <x v="278"/>
    <x v="0"/>
    <x v="66"/>
    <x v="1"/>
    <x v="627"/>
    <x v="256"/>
    <x v="4"/>
    <x v="4"/>
  </r>
  <r>
    <x v="1610"/>
    <x v="1"/>
    <x v="212"/>
    <x v="1"/>
    <x v="41"/>
    <x v="3"/>
    <x v="216"/>
    <x v="200"/>
    <x v="6"/>
    <x v="6"/>
  </r>
  <r>
    <x v="1610"/>
    <x v="2"/>
    <x v="184"/>
    <x v="0"/>
    <x v="5"/>
    <x v="0"/>
    <x v="56"/>
    <x v="174"/>
    <x v="0"/>
    <x v="0"/>
  </r>
  <r>
    <x v="1611"/>
    <x v="0"/>
    <x v="243"/>
    <x v="0"/>
    <x v="99"/>
    <x v="3"/>
    <x v="647"/>
    <x v="228"/>
    <x v="0"/>
    <x v="0"/>
  </r>
  <r>
    <x v="1611"/>
    <x v="1"/>
    <x v="306"/>
    <x v="1"/>
    <x v="70"/>
    <x v="2"/>
    <x v="571"/>
    <x v="277"/>
    <x v="5"/>
    <x v="5"/>
  </r>
  <r>
    <x v="1611"/>
    <x v="2"/>
    <x v="70"/>
    <x v="1"/>
    <x v="48"/>
    <x v="0"/>
    <x v="191"/>
    <x v="63"/>
    <x v="5"/>
    <x v="5"/>
  </r>
  <r>
    <x v="1611"/>
    <x v="3"/>
    <x v="284"/>
    <x v="1"/>
    <x v="70"/>
    <x v="1"/>
    <x v="604"/>
    <x v="262"/>
    <x v="5"/>
    <x v="5"/>
  </r>
  <r>
    <x v="1611"/>
    <x v="4"/>
    <x v="91"/>
    <x v="0"/>
    <x v="57"/>
    <x v="3"/>
    <x v="407"/>
    <x v="84"/>
    <x v="4"/>
    <x v="4"/>
  </r>
  <r>
    <x v="1612"/>
    <x v="0"/>
    <x v="145"/>
    <x v="0"/>
    <x v="23"/>
    <x v="1"/>
    <x v="193"/>
    <x v="136"/>
    <x v="6"/>
    <x v="6"/>
  </r>
  <r>
    <x v="1612"/>
    <x v="1"/>
    <x v="125"/>
    <x v="1"/>
    <x v="70"/>
    <x v="2"/>
    <x v="571"/>
    <x v="116"/>
    <x v="5"/>
    <x v="5"/>
  </r>
  <r>
    <x v="1613"/>
    <x v="0"/>
    <x v="190"/>
    <x v="0"/>
    <x v="89"/>
    <x v="1"/>
    <x v="536"/>
    <x v="180"/>
    <x v="1"/>
    <x v="1"/>
  </r>
  <r>
    <x v="1613"/>
    <x v="1"/>
    <x v="166"/>
    <x v="1"/>
    <x v="27"/>
    <x v="1"/>
    <x v="414"/>
    <x v="157"/>
    <x v="6"/>
    <x v="6"/>
  </r>
  <r>
    <x v="1613"/>
    <x v="2"/>
    <x v="193"/>
    <x v="1"/>
    <x v="11"/>
    <x v="0"/>
    <x v="78"/>
    <x v="183"/>
    <x v="0"/>
    <x v="0"/>
  </r>
  <r>
    <x v="1614"/>
    <x v="0"/>
    <x v="245"/>
    <x v="1"/>
    <x v="27"/>
    <x v="0"/>
    <x v="194"/>
    <x v="230"/>
    <x v="4"/>
    <x v="4"/>
  </r>
  <r>
    <x v="1614"/>
    <x v="1"/>
    <x v="204"/>
    <x v="0"/>
    <x v="65"/>
    <x v="1"/>
    <x v="610"/>
    <x v="194"/>
    <x v="0"/>
    <x v="0"/>
  </r>
  <r>
    <x v="1614"/>
    <x v="2"/>
    <x v="197"/>
    <x v="0"/>
    <x v="50"/>
    <x v="0"/>
    <x v="324"/>
    <x v="187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1" firstHeaderRow="1" firstDataRow="1" firstDataCol="1"/>
  <pivotFields count="10">
    <pivotField compact="0" showAll="0">
      <items count="16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49">
        <item x="581"/>
        <item x="572"/>
        <item x="233"/>
        <item x="198"/>
        <item x="248"/>
        <item x="296"/>
        <item x="174"/>
        <item x="231"/>
        <item x="453"/>
        <item x="593"/>
        <item x="519"/>
        <item x="542"/>
        <item x="321"/>
        <item x="378"/>
        <item x="461"/>
        <item x="232"/>
        <item x="606"/>
        <item x="598"/>
        <item x="269"/>
        <item x="276"/>
        <item x="158"/>
        <item x="338"/>
        <item x="286"/>
        <item x="511"/>
        <item x="396"/>
        <item x="452"/>
        <item x="553"/>
        <item x="353"/>
        <item x="398"/>
        <item x="575"/>
        <item x="186"/>
        <item x="210"/>
        <item x="173"/>
        <item x="421"/>
        <item x="51"/>
        <item x="21"/>
        <item x="36"/>
        <item x="18"/>
        <item x="632"/>
        <item x="505"/>
        <item x="641"/>
        <item x="527"/>
        <item x="642"/>
        <item x="592"/>
        <item x="556"/>
        <item x="564"/>
        <item x="355"/>
        <item x="122"/>
        <item x="424"/>
        <item x="37"/>
        <item x="440"/>
        <item x="75"/>
        <item x="219"/>
        <item x="115"/>
        <item x="605"/>
        <item x="591"/>
        <item x="635"/>
        <item x="500"/>
        <item x="547"/>
        <item x="573"/>
        <item x="329"/>
        <item x="366"/>
        <item x="161"/>
        <item x="415"/>
        <item x="439"/>
        <item x="341"/>
        <item x="327"/>
        <item x="349"/>
        <item x="445"/>
        <item x="397"/>
        <item x="313"/>
        <item x="344"/>
        <item x="283"/>
        <item x="243"/>
        <item x="277"/>
        <item x="507"/>
        <item x="595"/>
        <item x="644"/>
        <item x="506"/>
        <item x="229"/>
        <item x="467"/>
        <item x="351"/>
        <item x="379"/>
        <item x="170"/>
        <item x="375"/>
        <item x="479"/>
        <item x="448"/>
        <item x="618"/>
        <item x="630"/>
        <item x="560"/>
        <item x="495"/>
        <item x="197"/>
        <item x="160"/>
        <item x="457"/>
        <item x="307"/>
        <item x="325"/>
        <item x="187"/>
        <item x="205"/>
        <item x="266"/>
        <item x="343"/>
        <item x="268"/>
        <item x="211"/>
        <item x="81"/>
        <item x="47"/>
        <item x="9"/>
        <item x="113"/>
        <item x="608"/>
        <item x="554"/>
        <item x="427"/>
        <item x="337"/>
        <item x="474"/>
        <item x="167"/>
        <item x="59"/>
        <item x="65"/>
        <item x="10"/>
        <item x="72"/>
        <item x="188"/>
        <item x="201"/>
        <item x="274"/>
        <item x="399"/>
        <item x="544"/>
        <item x="629"/>
        <item x="646"/>
        <item x="63"/>
        <item x="107"/>
        <item x="29"/>
        <item x="62"/>
        <item x="314"/>
        <item x="442"/>
        <item x="271"/>
        <item x="318"/>
        <item x="502"/>
        <item x="551"/>
        <item x="230"/>
        <item x="249"/>
        <item x="482"/>
        <item x="153"/>
        <item x="164"/>
        <item x="255"/>
        <item x="275"/>
        <item x="291"/>
        <item x="76"/>
        <item x="454"/>
        <item x="93"/>
        <item x="481"/>
        <item x="88"/>
        <item x="163"/>
        <item x="111"/>
        <item x="166"/>
        <item x="333"/>
        <item x="381"/>
        <item x="251"/>
        <item x="103"/>
        <item x="80"/>
        <item x="15"/>
        <item x="119"/>
        <item x="441"/>
        <item x="425"/>
        <item x="464"/>
        <item x="391"/>
        <item x="78"/>
        <item x="23"/>
        <item x="402"/>
        <item x="35"/>
        <item x="411"/>
        <item x="64"/>
        <item x="386"/>
        <item x="57"/>
        <item x="98"/>
        <item x="77"/>
        <item x="101"/>
        <item x="320"/>
        <item x="309"/>
        <item x="322"/>
        <item x="146"/>
        <item x="521"/>
        <item x="587"/>
        <item x="522"/>
        <item x="638"/>
        <item x="565"/>
        <item x="516"/>
        <item x="643"/>
        <item x="600"/>
        <item x="561"/>
        <item x="623"/>
        <item x="33"/>
        <item x="0"/>
        <item x="50"/>
        <item x="12"/>
        <item x="69"/>
        <item x="5"/>
        <item x="89"/>
        <item x="7"/>
        <item x="252"/>
        <item x="368"/>
        <item x="200"/>
        <item x="148"/>
        <item x="501"/>
        <item x="525"/>
        <item x="604"/>
        <item x="523"/>
        <item x="571"/>
        <item x="363"/>
        <item x="295"/>
        <item x="280"/>
        <item x="159"/>
        <item x="144"/>
        <item x="212"/>
        <item x="446"/>
        <item x="388"/>
        <item x="348"/>
        <item x="178"/>
        <item x="191"/>
        <item x="284"/>
        <item x="549"/>
        <item x="257"/>
        <item x="470"/>
        <item x="570"/>
        <item x="384"/>
        <item x="287"/>
        <item x="306"/>
        <item x="380"/>
        <item x="209"/>
        <item x="157"/>
        <item x="647"/>
        <item x="172"/>
        <item x="215"/>
        <item x="597"/>
        <item x="566"/>
        <item x="56"/>
        <item x="92"/>
        <item x="116"/>
        <item x="132"/>
        <item x="406"/>
        <item x="438"/>
        <item x="218"/>
        <item x="557"/>
        <item x="169"/>
        <item x="382"/>
        <item x="294"/>
        <item x="403"/>
        <item x="409"/>
        <item x="559"/>
        <item x="420"/>
        <item x="370"/>
        <item x="265"/>
        <item x="326"/>
        <item x="472"/>
        <item x="459"/>
        <item x="151"/>
        <item x="288"/>
        <item x="207"/>
        <item x="293"/>
        <item x="71"/>
        <item x="17"/>
        <item x="100"/>
        <item x="27"/>
        <item x="504"/>
        <item x="609"/>
        <item x="543"/>
        <item x="558"/>
        <item x="362"/>
        <item x="487"/>
        <item x="242"/>
        <item x="434"/>
        <item x="340"/>
        <item x="435"/>
        <item x="175"/>
        <item x="264"/>
        <item x="303"/>
        <item x="405"/>
        <item x="83"/>
        <item x="106"/>
        <item x="53"/>
        <item x="32"/>
        <item x="364"/>
        <item x="588"/>
        <item x="145"/>
        <item x="492"/>
        <item x="154"/>
        <item x="610"/>
        <item x="150"/>
        <item x="493"/>
        <item x="614"/>
        <item x="620"/>
        <item x="498"/>
        <item x="602"/>
        <item x="639"/>
        <item x="539"/>
        <item x="117"/>
        <item x="110"/>
        <item x="138"/>
        <item x="124"/>
        <item x="430"/>
        <item x="267"/>
        <item x="171"/>
        <item x="462"/>
        <item x="579"/>
        <item x="545"/>
        <item x="611"/>
        <item x="203"/>
        <item x="273"/>
        <item x="213"/>
        <item x="455"/>
        <item x="195"/>
        <item x="270"/>
        <item x="184"/>
        <item x="162"/>
        <item x="91"/>
        <item x="90"/>
        <item x="68"/>
        <item x="16"/>
        <item x="85"/>
        <item x="133"/>
        <item x="41"/>
        <item x="6"/>
        <item x="48"/>
        <item x="120"/>
        <item x="109"/>
        <item x="94"/>
        <item x="350"/>
        <item x="360"/>
        <item x="214"/>
        <item x="471"/>
        <item x="263"/>
        <item x="412"/>
        <item x="352"/>
        <item x="476"/>
        <item x="118"/>
        <item x="356"/>
        <item x="97"/>
        <item x="369"/>
        <item x="30"/>
        <item x="297"/>
        <item x="11"/>
        <item x="290"/>
        <item x="238"/>
        <item x="488"/>
        <item x="373"/>
        <item x="346"/>
        <item x="577"/>
        <item x="634"/>
        <item x="645"/>
        <item x="24"/>
        <item x="28"/>
        <item x="19"/>
        <item x="616"/>
        <item x="3"/>
        <item x="416"/>
        <item x="331"/>
        <item x="486"/>
        <item x="262"/>
        <item x="594"/>
        <item x="568"/>
        <item x="585"/>
        <item x="586"/>
        <item x="484"/>
        <item x="300"/>
        <item x="478"/>
        <item x="437"/>
        <item x="563"/>
        <item x="247"/>
        <item x="240"/>
        <item x="289"/>
        <item x="281"/>
        <item x="58"/>
        <item x="38"/>
        <item x="105"/>
        <item x="60"/>
        <item x="624"/>
        <item x="509"/>
        <item x="603"/>
        <item x="503"/>
        <item x="584"/>
        <item x="567"/>
        <item x="460"/>
        <item x="400"/>
        <item x="383"/>
        <item x="395"/>
        <item x="358"/>
        <item x="475"/>
        <item x="298"/>
        <item x="423"/>
        <item x="589"/>
        <item x="536"/>
        <item x="39"/>
        <item x="224"/>
        <item x="8"/>
        <item x="404"/>
        <item x="130"/>
        <item x="245"/>
        <item x="125"/>
        <item x="196"/>
        <item x="480"/>
        <item x="304"/>
        <item x="432"/>
        <item x="135"/>
        <item x="139"/>
        <item x="43"/>
        <item x="99"/>
        <item x="532"/>
        <item x="254"/>
        <item x="407"/>
        <item x="456"/>
        <item x="335"/>
        <item x="491"/>
        <item x="345"/>
        <item x="278"/>
        <item x="625"/>
        <item x="316"/>
        <item x="246"/>
        <item x="401"/>
        <item x="237"/>
        <item x="528"/>
        <item x="299"/>
        <item x="302"/>
        <item x="317"/>
        <item x="323"/>
        <item x="114"/>
        <item x="86"/>
        <item x="142"/>
        <item x="26"/>
        <item x="514"/>
        <item x="250"/>
        <item x="239"/>
        <item x="272"/>
        <item x="204"/>
        <item x="308"/>
        <item x="431"/>
        <item x="189"/>
        <item x="217"/>
        <item x="526"/>
        <item x="34"/>
        <item x="497"/>
        <item x="112"/>
        <item x="562"/>
        <item x="31"/>
        <item x="515"/>
        <item x="22"/>
        <item x="552"/>
        <item x="541"/>
        <item x="499"/>
        <item x="508"/>
        <item x="574"/>
        <item x="569"/>
        <item x="612"/>
        <item x="601"/>
        <item x="73"/>
        <item x="260"/>
        <item x="52"/>
        <item x="490"/>
        <item x="13"/>
        <item x="330"/>
        <item x="79"/>
        <item x="419"/>
        <item x="436"/>
        <item x="550"/>
        <item x="444"/>
        <item x="311"/>
        <item x="220"/>
        <item x="319"/>
        <item x="367"/>
        <item x="466"/>
        <item x="258"/>
        <item x="621"/>
        <item x="324"/>
        <item x="336"/>
        <item x="202"/>
        <item x="261"/>
        <item x="580"/>
        <item x="617"/>
        <item x="235"/>
        <item x="417"/>
        <item x="520"/>
        <item x="227"/>
        <item x="95"/>
        <item x="87"/>
        <item x="129"/>
        <item x="131"/>
        <item x="529"/>
        <item x="626"/>
        <item x="206"/>
        <item x="450"/>
        <item x="310"/>
        <item x="433"/>
        <item x="513"/>
        <item x="627"/>
        <item x="387"/>
        <item x="376"/>
        <item x="372"/>
        <item x="4"/>
        <item x="66"/>
        <item x="123"/>
        <item x="143"/>
        <item x="465"/>
        <item x="458"/>
        <item x="374"/>
        <item x="185"/>
        <item x="619"/>
        <item x="622"/>
        <item x="259"/>
        <item x="141"/>
        <item x="428"/>
        <item x="128"/>
        <item x="177"/>
        <item x="45"/>
        <item x="199"/>
        <item x="121"/>
        <item x="54"/>
        <item x="70"/>
        <item x="46"/>
        <item x="2"/>
        <item x="607"/>
        <item x="496"/>
        <item x="596"/>
        <item x="225"/>
        <item x="451"/>
        <item x="469"/>
        <item x="447"/>
        <item x="613"/>
        <item x="334"/>
        <item x="533"/>
        <item x="576"/>
        <item x="339"/>
        <item x="578"/>
        <item x="361"/>
        <item x="473"/>
        <item x="394"/>
        <item x="301"/>
        <item x="517"/>
        <item x="631"/>
        <item x="108"/>
        <item x="104"/>
        <item x="136"/>
        <item x="67"/>
        <item x="152"/>
        <item x="315"/>
        <item x="222"/>
        <item x="413"/>
        <item x="82"/>
        <item x="548"/>
        <item x="96"/>
        <item x="1"/>
        <item x="134"/>
        <item x="534"/>
        <item x="599"/>
        <item x="241"/>
        <item x="137"/>
        <item x="305"/>
        <item x="40"/>
        <item x="385"/>
        <item x="140"/>
        <item x="485"/>
        <item x="55"/>
        <item x="636"/>
        <item x="538"/>
        <item x="537"/>
        <item x="583"/>
        <item x="546"/>
        <item x="512"/>
        <item x="518"/>
        <item x="194"/>
        <item x="483"/>
        <item x="414"/>
        <item x="155"/>
        <item x="312"/>
        <item x="223"/>
        <item x="429"/>
        <item x="253"/>
        <item x="393"/>
        <item x="193"/>
        <item x="449"/>
        <item x="292"/>
        <item x="535"/>
        <item x="640"/>
        <item x="332"/>
        <item x="392"/>
        <item x="180"/>
        <item x="285"/>
        <item x="328"/>
        <item x="168"/>
        <item x="192"/>
        <item x="357"/>
        <item x="234"/>
        <item x="183"/>
        <item x="359"/>
        <item x="256"/>
        <item x="147"/>
        <item x="282"/>
        <item x="226"/>
        <item x="347"/>
        <item x="555"/>
        <item x="633"/>
        <item x="494"/>
        <item x="590"/>
        <item x="84"/>
        <item x="25"/>
        <item x="127"/>
        <item x="49"/>
        <item x="44"/>
        <item x="190"/>
        <item x="42"/>
        <item x="389"/>
        <item x="14"/>
        <item x="221"/>
        <item x="126"/>
        <item x="463"/>
        <item x="468"/>
        <item x="216"/>
        <item x="540"/>
        <item x="176"/>
        <item x="422"/>
        <item x="477"/>
        <item x="365"/>
        <item x="165"/>
        <item x="279"/>
        <item x="182"/>
        <item x="371"/>
        <item x="530"/>
        <item x="524"/>
        <item x="582"/>
        <item x="61"/>
        <item x="20"/>
        <item x="102"/>
        <item x="74"/>
        <item x="510"/>
        <item x="377"/>
        <item x="149"/>
        <item x="179"/>
        <item x="244"/>
        <item x="426"/>
        <item x="418"/>
        <item x="156"/>
        <item x="181"/>
        <item x="410"/>
        <item x="236"/>
        <item x="354"/>
        <item x="228"/>
        <item x="489"/>
        <item x="628"/>
        <item x="390"/>
        <item x="637"/>
        <item x="342"/>
        <item x="408"/>
        <item x="208"/>
        <item x="443"/>
        <item x="615"/>
        <item x="531"/>
        <item t="default"/>
      </items>
    </pivotField>
    <pivotField compact="0" showAll="0"/>
    <pivotField compact="0" showAll="0"/>
    <pivotField axis="axisRow" compact="0" showAll="0">
      <items count="8">
        <item x="5"/>
        <item x="3"/>
        <item x="0"/>
        <item x="2"/>
        <item x="4"/>
        <item x="1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G16" sqref="G16"/>
    </sheetView>
  </sheetViews>
  <sheetFormatPr defaultColWidth="8.88888888888889" defaultRowHeight="13.2" outlineLevelCol="1"/>
  <cols>
    <col min="1" max="1" width="19.2222222222222"/>
    <col min="2" max="2" width="18.5555555555556"/>
  </cols>
  <sheetData>
    <row r="3" spans="1:2">
      <c r="A3" t="s">
        <v>0</v>
      </c>
      <c r="B3" t="s">
        <v>1</v>
      </c>
    </row>
    <row r="4" spans="1:2">
      <c r="A4" t="s">
        <v>2</v>
      </c>
      <c r="B4">
        <v>327803.830000001</v>
      </c>
    </row>
    <row r="5" spans="1:2">
      <c r="A5" t="s">
        <v>3</v>
      </c>
      <c r="B5">
        <v>438452.02</v>
      </c>
    </row>
    <row r="6" spans="1:2">
      <c r="A6" t="s">
        <v>4</v>
      </c>
      <c r="B6">
        <v>1109007.23000001</v>
      </c>
    </row>
    <row r="7" spans="1:2">
      <c r="A7" t="s">
        <v>5</v>
      </c>
      <c r="B7">
        <v>799846.100000001</v>
      </c>
    </row>
    <row r="8" spans="1:2">
      <c r="A8" t="s">
        <v>6</v>
      </c>
      <c r="B8">
        <v>1020214.56</v>
      </c>
    </row>
    <row r="9" spans="1:2">
      <c r="A9" t="s">
        <v>7</v>
      </c>
      <c r="B9">
        <v>3030651.44999998</v>
      </c>
    </row>
    <row r="10" spans="1:2">
      <c r="A10" t="s">
        <v>8</v>
      </c>
      <c r="B10">
        <v>1852516.11999999</v>
      </c>
    </row>
    <row r="11" spans="1:2">
      <c r="A11" t="s">
        <v>9</v>
      </c>
      <c r="B11">
        <v>8578491.30999999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4723"/>
  <sheetViews>
    <sheetView tabSelected="1" workbookViewId="0">
      <selection activeCell="K4" sqref="K4"/>
    </sheetView>
  </sheetViews>
  <sheetFormatPr defaultColWidth="12.6296296296296" defaultRowHeight="15.75" customHeight="1"/>
  <cols>
    <col min="8" max="8" width="45.5555555555556" customWidth="1"/>
    <col min="10" max="10" width="20.4444444444444" customWidth="1"/>
  </cols>
  <sheetData>
    <row r="1" customHeight="1" spans="1:10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t="s">
        <v>16</v>
      </c>
      <c r="H1" t="s">
        <v>17</v>
      </c>
      <c r="I1" t="s">
        <v>18</v>
      </c>
      <c r="J1" t="s">
        <v>0</v>
      </c>
    </row>
    <row r="2" customHeight="1" spans="1:10">
      <c r="A2" s="1">
        <v>1</v>
      </c>
      <c r="B2" s="1">
        <v>1</v>
      </c>
      <c r="C2" s="1">
        <v>20</v>
      </c>
      <c r="D2" s="1">
        <v>1</v>
      </c>
      <c r="E2" s="1">
        <v>599.99</v>
      </c>
      <c r="F2" s="1">
        <v>0.2</v>
      </c>
      <c r="G2">
        <f>(E2*D2)-F2</f>
        <v>599.79</v>
      </c>
      <c r="H2" t="str">
        <f>VLOOKUP(C2,[1]products!$A:$B,2,FALSE)</f>
        <v>Electra Townie Original 7D EQ - Women's - 2016</v>
      </c>
      <c r="I2">
        <f>VLOOKUP(C2,[1]products!$A:$D,4,FALSE)</f>
        <v>3</v>
      </c>
      <c r="J2" t="str">
        <f>VLOOKUP(I2,[2]categories!$A$1:$B$8,2,FALSE)</f>
        <v>Cruisers Bicycles</v>
      </c>
    </row>
    <row r="3" customHeight="1" spans="1:10">
      <c r="A3" s="1">
        <v>1</v>
      </c>
      <c r="B3" s="1">
        <v>2</v>
      </c>
      <c r="C3" s="1">
        <v>8</v>
      </c>
      <c r="D3" s="1">
        <v>2</v>
      </c>
      <c r="E3" s="1">
        <v>1799.99</v>
      </c>
      <c r="F3" s="1">
        <v>0.07</v>
      </c>
      <c r="G3">
        <f t="shared" ref="G3:G66" si="0">(E3*D3)-F3</f>
        <v>3599.91</v>
      </c>
      <c r="H3" t="str">
        <f>VLOOKUP(C3,[1]products!$A:$B,2,FALSE)</f>
        <v>Trek Remedy 29 Carbon Frameset - 2016</v>
      </c>
      <c r="I3">
        <f>VLOOKUP(C3,[1]products!$A:$D,4,FALSE)</f>
        <v>6</v>
      </c>
      <c r="J3" t="str">
        <f>VLOOKUP(I3,[2]categories!$A$1:$B$8,2,FALSE)</f>
        <v>Mountain Bikes</v>
      </c>
    </row>
    <row r="4" customHeight="1" spans="1:10">
      <c r="A4" s="1">
        <v>1</v>
      </c>
      <c r="B4" s="1">
        <v>3</v>
      </c>
      <c r="C4" s="1">
        <v>10</v>
      </c>
      <c r="D4" s="1">
        <v>2</v>
      </c>
      <c r="E4" s="1">
        <v>1549</v>
      </c>
      <c r="F4" s="1">
        <v>0.05</v>
      </c>
      <c r="G4">
        <f t="shared" si="0"/>
        <v>3097.95</v>
      </c>
      <c r="H4" t="str">
        <f>VLOOKUP(C4,[1]products!$A:$B,2,FALSE)</f>
        <v>Surly Straggler - 2016</v>
      </c>
      <c r="I4">
        <f>VLOOKUP(C4,[1]products!$A:$D,4,FALSE)</f>
        <v>4</v>
      </c>
      <c r="J4" t="str">
        <f>VLOOKUP(I4,[2]categories!$A$1:$B$8,2,FALSE)</f>
        <v>Cyclocross Bicycles</v>
      </c>
    </row>
    <row r="5" customHeight="1" spans="1:10">
      <c r="A5" s="1">
        <v>1</v>
      </c>
      <c r="B5" s="1">
        <v>4</v>
      </c>
      <c r="C5" s="1">
        <v>16</v>
      </c>
      <c r="D5" s="1">
        <v>2</v>
      </c>
      <c r="E5" s="1">
        <v>599.99</v>
      </c>
      <c r="F5" s="1">
        <v>0.05</v>
      </c>
      <c r="G5">
        <f t="shared" si="0"/>
        <v>1199.93</v>
      </c>
      <c r="H5" t="str">
        <f>VLOOKUP(C5,[1]products!$A:$B,2,FALSE)</f>
        <v>Electra Townie Original 7D EQ - 2016</v>
      </c>
      <c r="I5">
        <f>VLOOKUP(C5,[1]products!$A:$D,4,FALSE)</f>
        <v>3</v>
      </c>
      <c r="J5" t="str">
        <f>VLOOKUP(I5,[2]categories!$A$1:$B$8,2,FALSE)</f>
        <v>Cruisers Bicycles</v>
      </c>
    </row>
    <row r="6" customHeight="1" spans="1:10">
      <c r="A6" s="1">
        <v>1</v>
      </c>
      <c r="B6" s="1">
        <v>5</v>
      </c>
      <c r="C6" s="1">
        <v>4</v>
      </c>
      <c r="D6" s="1">
        <v>1</v>
      </c>
      <c r="E6" s="1">
        <v>2899.99</v>
      </c>
      <c r="F6" s="1">
        <v>0.2</v>
      </c>
      <c r="G6">
        <f t="shared" si="0"/>
        <v>2899.79</v>
      </c>
      <c r="H6" t="str">
        <f>VLOOKUP(C6,[1]products!$A:$B,2,FALSE)</f>
        <v>Trek Fuel EX 8 29 - 2016</v>
      </c>
      <c r="I6">
        <f>VLOOKUP(C6,[1]products!$A:$D,4,FALSE)</f>
        <v>6</v>
      </c>
      <c r="J6" t="str">
        <f>VLOOKUP(I6,[2]categories!$A$1:$B$8,2,FALSE)</f>
        <v>Mountain Bikes</v>
      </c>
    </row>
    <row r="7" customHeight="1" spans="1:10">
      <c r="A7" s="1">
        <v>2</v>
      </c>
      <c r="B7" s="1">
        <v>1</v>
      </c>
      <c r="C7" s="1">
        <v>20</v>
      </c>
      <c r="D7" s="1">
        <v>1</v>
      </c>
      <c r="E7" s="1">
        <v>599.99</v>
      </c>
      <c r="F7" s="1">
        <v>0.07</v>
      </c>
      <c r="G7">
        <f t="shared" si="0"/>
        <v>599.92</v>
      </c>
      <c r="H7" t="str">
        <f>VLOOKUP(C7,[1]products!$A:$B,2,FALSE)</f>
        <v>Electra Townie Original 7D EQ - Women's - 2016</v>
      </c>
      <c r="I7">
        <f>VLOOKUP(C7,[1]products!$A:$D,4,FALSE)</f>
        <v>3</v>
      </c>
      <c r="J7" t="str">
        <f>VLOOKUP(I7,[2]categories!$A$1:$B$8,2,FALSE)</f>
        <v>Cruisers Bicycles</v>
      </c>
    </row>
    <row r="8" customHeight="1" spans="1:10">
      <c r="A8" s="1">
        <v>2</v>
      </c>
      <c r="B8" s="1">
        <v>2</v>
      </c>
      <c r="C8" s="1">
        <v>16</v>
      </c>
      <c r="D8" s="1">
        <v>2</v>
      </c>
      <c r="E8" s="1">
        <v>599.99</v>
      </c>
      <c r="F8" s="1">
        <v>0.05</v>
      </c>
      <c r="G8">
        <f t="shared" si="0"/>
        <v>1199.93</v>
      </c>
      <c r="H8" t="str">
        <f>VLOOKUP(C8,[1]products!$A:$B,2,FALSE)</f>
        <v>Electra Townie Original 7D EQ - 2016</v>
      </c>
      <c r="I8">
        <f>VLOOKUP(C8,[1]products!$A:$D,4,FALSE)</f>
        <v>3</v>
      </c>
      <c r="J8" t="str">
        <f>VLOOKUP(I8,[2]categories!$A$1:$B$8,2,FALSE)</f>
        <v>Cruisers Bicycles</v>
      </c>
    </row>
    <row r="9" customHeight="1" spans="1:10">
      <c r="A9" s="1">
        <v>3</v>
      </c>
      <c r="B9" s="1">
        <v>1</v>
      </c>
      <c r="C9" s="1">
        <v>3</v>
      </c>
      <c r="D9" s="1">
        <v>1</v>
      </c>
      <c r="E9" s="1">
        <v>999.99</v>
      </c>
      <c r="F9" s="1">
        <v>0.05</v>
      </c>
      <c r="G9">
        <f t="shared" si="0"/>
        <v>999.94</v>
      </c>
      <c r="H9" t="str">
        <f>VLOOKUP(C9,[1]products!$A:$B,2,FALSE)</f>
        <v>Surly Wednesday Frameset - 2016</v>
      </c>
      <c r="I9">
        <f>VLOOKUP(C9,[1]products!$A:$D,4,FALSE)</f>
        <v>6</v>
      </c>
      <c r="J9" t="str">
        <f>VLOOKUP(I9,[2]categories!$A$1:$B$8,2,FALSE)</f>
        <v>Mountain Bikes</v>
      </c>
    </row>
    <row r="10" customHeight="1" spans="1:10">
      <c r="A10" s="1">
        <v>3</v>
      </c>
      <c r="B10" s="1">
        <v>2</v>
      </c>
      <c r="C10" s="1">
        <v>20</v>
      </c>
      <c r="D10" s="1">
        <v>1</v>
      </c>
      <c r="E10" s="1">
        <v>599.99</v>
      </c>
      <c r="F10" s="1">
        <v>0.05</v>
      </c>
      <c r="G10">
        <f t="shared" si="0"/>
        <v>599.94</v>
      </c>
      <c r="H10" t="str">
        <f>VLOOKUP(C10,[1]products!$A:$B,2,FALSE)</f>
        <v>Electra Townie Original 7D EQ - Women's - 2016</v>
      </c>
      <c r="I10">
        <f>VLOOKUP(C10,[1]products!$A:$D,4,FALSE)</f>
        <v>3</v>
      </c>
      <c r="J10" t="str">
        <f>VLOOKUP(I10,[2]categories!$A$1:$B$8,2,FALSE)</f>
        <v>Cruisers Bicycles</v>
      </c>
    </row>
    <row r="11" customHeight="1" spans="1:10">
      <c r="A11" s="1">
        <v>4</v>
      </c>
      <c r="B11" s="1">
        <v>1</v>
      </c>
      <c r="C11" s="1">
        <v>2</v>
      </c>
      <c r="D11" s="1">
        <v>2</v>
      </c>
      <c r="E11" s="1">
        <v>749.99</v>
      </c>
      <c r="F11" s="1">
        <v>0.1</v>
      </c>
      <c r="G11">
        <f t="shared" si="0"/>
        <v>1499.88</v>
      </c>
      <c r="H11" t="str">
        <f>VLOOKUP(C11,[1]products!$A:$B,2,FALSE)</f>
        <v>Ritchey Timberwolf Frameset - 2016</v>
      </c>
      <c r="I11">
        <f>VLOOKUP(C11,[1]products!$A:$D,4,FALSE)</f>
        <v>6</v>
      </c>
      <c r="J11" t="str">
        <f>VLOOKUP(I11,[2]categories!$A$1:$B$8,2,FALSE)</f>
        <v>Mountain Bikes</v>
      </c>
    </row>
    <row r="12" customHeight="1" spans="1:10">
      <c r="A12" s="1">
        <v>5</v>
      </c>
      <c r="B12" s="1">
        <v>1</v>
      </c>
      <c r="C12" s="1">
        <v>10</v>
      </c>
      <c r="D12" s="1">
        <v>2</v>
      </c>
      <c r="E12" s="1">
        <v>1549</v>
      </c>
      <c r="F12" s="1">
        <v>0.05</v>
      </c>
      <c r="G12">
        <f t="shared" si="0"/>
        <v>3097.95</v>
      </c>
      <c r="H12" t="str">
        <f>VLOOKUP(C12,[1]products!$A:$B,2,FALSE)</f>
        <v>Surly Straggler - 2016</v>
      </c>
      <c r="I12">
        <f>VLOOKUP(C12,[1]products!$A:$D,4,FALSE)</f>
        <v>4</v>
      </c>
      <c r="J12" t="str">
        <f>VLOOKUP(I12,[2]categories!$A$1:$B$8,2,FALSE)</f>
        <v>Cyclocross Bicycles</v>
      </c>
    </row>
    <row r="13" customHeight="1" spans="1:10">
      <c r="A13" s="1">
        <v>5</v>
      </c>
      <c r="B13" s="1">
        <v>2</v>
      </c>
      <c r="C13" s="1">
        <v>17</v>
      </c>
      <c r="D13" s="1">
        <v>1</v>
      </c>
      <c r="E13" s="1">
        <v>429</v>
      </c>
      <c r="F13" s="1">
        <v>0.07</v>
      </c>
      <c r="G13">
        <f t="shared" si="0"/>
        <v>428.93</v>
      </c>
      <c r="H13" t="str">
        <f>VLOOKUP(C13,[1]products!$A:$B,2,FALSE)</f>
        <v>Pure Cycles Vine 8-Speed - 2016</v>
      </c>
      <c r="I13">
        <f>VLOOKUP(C13,[1]products!$A:$D,4,FALSE)</f>
        <v>3</v>
      </c>
      <c r="J13" t="str">
        <f>VLOOKUP(I13,[2]categories!$A$1:$B$8,2,FALSE)</f>
        <v>Cruisers Bicycles</v>
      </c>
    </row>
    <row r="14" customHeight="1" spans="1:10">
      <c r="A14" s="1">
        <v>5</v>
      </c>
      <c r="B14" s="1">
        <v>3</v>
      </c>
      <c r="C14" s="1">
        <v>26</v>
      </c>
      <c r="D14" s="1">
        <v>1</v>
      </c>
      <c r="E14" s="1">
        <v>599.99</v>
      </c>
      <c r="F14" s="1">
        <v>0.07</v>
      </c>
      <c r="G14">
        <f t="shared" si="0"/>
        <v>599.92</v>
      </c>
      <c r="H14" t="str">
        <f>VLOOKUP(C14,[1]products!$A:$B,2,FALSE)</f>
        <v>Electra Townie Original 7D EQ - 2016</v>
      </c>
      <c r="I14">
        <f>VLOOKUP(C14,[1]products!$A:$D,4,FALSE)</f>
        <v>2</v>
      </c>
      <c r="J14" t="str">
        <f>VLOOKUP(I14,[2]categories!$A$1:$B$8,2,FALSE)</f>
        <v>Comfort Bicycles</v>
      </c>
    </row>
    <row r="15" customHeight="1" spans="1:10">
      <c r="A15" s="1">
        <v>6</v>
      </c>
      <c r="B15" s="1">
        <v>1</v>
      </c>
      <c r="C15" s="1">
        <v>18</v>
      </c>
      <c r="D15" s="1">
        <v>1</v>
      </c>
      <c r="E15" s="1">
        <v>449</v>
      </c>
      <c r="F15" s="1">
        <v>0.07</v>
      </c>
      <c r="G15">
        <f t="shared" si="0"/>
        <v>448.93</v>
      </c>
      <c r="H15" t="str">
        <f>VLOOKUP(C15,[1]products!$A:$B,2,FALSE)</f>
        <v>Pure Cycles Western 3-Speed - Women's - 2015/2016</v>
      </c>
      <c r="I15">
        <f>VLOOKUP(C15,[1]products!$A:$D,4,FALSE)</f>
        <v>3</v>
      </c>
      <c r="J15" t="str">
        <f>VLOOKUP(I15,[2]categories!$A$1:$B$8,2,FALSE)</f>
        <v>Cruisers Bicycles</v>
      </c>
    </row>
    <row r="16" customHeight="1" spans="1:10">
      <c r="A16" s="1">
        <v>6</v>
      </c>
      <c r="B16" s="1">
        <v>2</v>
      </c>
      <c r="C16" s="1">
        <v>12</v>
      </c>
      <c r="D16" s="1">
        <v>2</v>
      </c>
      <c r="E16" s="1">
        <v>549.99</v>
      </c>
      <c r="F16" s="1">
        <v>0.05</v>
      </c>
      <c r="G16">
        <f t="shared" si="0"/>
        <v>1099.93</v>
      </c>
      <c r="H16" t="str">
        <f>VLOOKUP(C16,[1]products!$A:$B,2,FALSE)</f>
        <v>Electra Townie Original 21D - 2016</v>
      </c>
      <c r="I16">
        <f>VLOOKUP(C16,[1]products!$A:$D,4,FALSE)</f>
        <v>3</v>
      </c>
      <c r="J16" t="str">
        <f>VLOOKUP(I16,[2]categories!$A$1:$B$8,2,FALSE)</f>
        <v>Cruisers Bicycles</v>
      </c>
    </row>
    <row r="17" customHeight="1" spans="1:10">
      <c r="A17" s="1">
        <v>6</v>
      </c>
      <c r="B17" s="1">
        <v>3</v>
      </c>
      <c r="C17" s="1">
        <v>20</v>
      </c>
      <c r="D17" s="1">
        <v>1</v>
      </c>
      <c r="E17" s="1">
        <v>599.99</v>
      </c>
      <c r="F17" s="1">
        <v>0.1</v>
      </c>
      <c r="G17">
        <f t="shared" si="0"/>
        <v>599.89</v>
      </c>
      <c r="H17" t="str">
        <f>VLOOKUP(C17,[1]products!$A:$B,2,FALSE)</f>
        <v>Electra Townie Original 7D EQ - Women's - 2016</v>
      </c>
      <c r="I17">
        <f>VLOOKUP(C17,[1]products!$A:$D,4,FALSE)</f>
        <v>3</v>
      </c>
      <c r="J17" t="str">
        <f>VLOOKUP(I17,[2]categories!$A$1:$B$8,2,FALSE)</f>
        <v>Cruisers Bicycles</v>
      </c>
    </row>
    <row r="18" customHeight="1" spans="1:10">
      <c r="A18" s="1">
        <v>6</v>
      </c>
      <c r="B18" s="1">
        <v>4</v>
      </c>
      <c r="C18" s="1">
        <v>3</v>
      </c>
      <c r="D18" s="1">
        <v>2</v>
      </c>
      <c r="E18" s="1">
        <v>999.99</v>
      </c>
      <c r="F18" s="1">
        <v>0.07</v>
      </c>
      <c r="G18">
        <f t="shared" si="0"/>
        <v>1999.91</v>
      </c>
      <c r="H18" t="str">
        <f>VLOOKUP(C18,[1]products!$A:$B,2,FALSE)</f>
        <v>Surly Wednesday Frameset - 2016</v>
      </c>
      <c r="I18">
        <f>VLOOKUP(C18,[1]products!$A:$D,4,FALSE)</f>
        <v>6</v>
      </c>
      <c r="J18" t="str">
        <f>VLOOKUP(I18,[2]categories!$A$1:$B$8,2,FALSE)</f>
        <v>Mountain Bikes</v>
      </c>
    </row>
    <row r="19" customHeight="1" spans="1:10">
      <c r="A19" s="1">
        <v>6</v>
      </c>
      <c r="B19" s="1">
        <v>5</v>
      </c>
      <c r="C19" s="1">
        <v>9</v>
      </c>
      <c r="D19" s="1">
        <v>2</v>
      </c>
      <c r="E19" s="1">
        <v>2999.99</v>
      </c>
      <c r="F19" s="1">
        <v>0.07</v>
      </c>
      <c r="G19">
        <f t="shared" si="0"/>
        <v>5999.91</v>
      </c>
      <c r="H19" t="str">
        <f>VLOOKUP(C19,[1]products!$A:$B,2,FALSE)</f>
        <v>Trek Conduit+ - 2016</v>
      </c>
      <c r="I19">
        <f>VLOOKUP(C19,[1]products!$A:$D,4,FALSE)</f>
        <v>5</v>
      </c>
      <c r="J19" t="str">
        <f>VLOOKUP(I19,[2]categories!$A$1:$B$8,2,FALSE)</f>
        <v>Electric Bikes</v>
      </c>
    </row>
    <row r="20" customHeight="1" spans="1:10">
      <c r="A20" s="1">
        <v>7</v>
      </c>
      <c r="B20" s="1">
        <v>1</v>
      </c>
      <c r="C20" s="1">
        <v>15</v>
      </c>
      <c r="D20" s="1">
        <v>1</v>
      </c>
      <c r="E20" s="1">
        <v>529.99</v>
      </c>
      <c r="F20" s="1">
        <v>0.07</v>
      </c>
      <c r="G20">
        <f t="shared" si="0"/>
        <v>529.92</v>
      </c>
      <c r="H20" t="str">
        <f>VLOOKUP(C20,[1]products!$A:$B,2,FALSE)</f>
        <v>Electra Moto 1 - 2016</v>
      </c>
      <c r="I20">
        <f>VLOOKUP(C20,[1]products!$A:$D,4,FALSE)</f>
        <v>3</v>
      </c>
      <c r="J20" t="str">
        <f>VLOOKUP(I20,[2]categories!$A$1:$B$8,2,FALSE)</f>
        <v>Cruisers Bicycles</v>
      </c>
    </row>
    <row r="21" customHeight="1" spans="1:10">
      <c r="A21" s="1">
        <v>7</v>
      </c>
      <c r="B21" s="1">
        <v>2</v>
      </c>
      <c r="C21" s="1">
        <v>3</v>
      </c>
      <c r="D21" s="1">
        <v>1</v>
      </c>
      <c r="E21" s="1">
        <v>999.99</v>
      </c>
      <c r="F21" s="1">
        <v>0.1</v>
      </c>
      <c r="G21">
        <f t="shared" si="0"/>
        <v>999.89</v>
      </c>
      <c r="H21" t="str">
        <f>VLOOKUP(C21,[1]products!$A:$B,2,FALSE)</f>
        <v>Surly Wednesday Frameset - 2016</v>
      </c>
      <c r="I21">
        <f>VLOOKUP(C21,[1]products!$A:$D,4,FALSE)</f>
        <v>6</v>
      </c>
      <c r="J21" t="str">
        <f>VLOOKUP(I21,[2]categories!$A$1:$B$8,2,FALSE)</f>
        <v>Mountain Bikes</v>
      </c>
    </row>
    <row r="22" customHeight="1" spans="1:10">
      <c r="A22" s="1">
        <v>7</v>
      </c>
      <c r="B22" s="1">
        <v>3</v>
      </c>
      <c r="C22" s="1">
        <v>17</v>
      </c>
      <c r="D22" s="1">
        <v>2</v>
      </c>
      <c r="E22" s="1">
        <v>429</v>
      </c>
      <c r="F22" s="1">
        <v>0.1</v>
      </c>
      <c r="G22">
        <f t="shared" si="0"/>
        <v>857.9</v>
      </c>
      <c r="H22" t="str">
        <f>VLOOKUP(C22,[1]products!$A:$B,2,FALSE)</f>
        <v>Pure Cycles Vine 8-Speed - 2016</v>
      </c>
      <c r="I22">
        <f>VLOOKUP(C22,[1]products!$A:$D,4,FALSE)</f>
        <v>3</v>
      </c>
      <c r="J22" t="str">
        <f>VLOOKUP(I22,[2]categories!$A$1:$B$8,2,FALSE)</f>
        <v>Cruisers Bicycles</v>
      </c>
    </row>
    <row r="23" customHeight="1" spans="1:10">
      <c r="A23" s="1">
        <v>8</v>
      </c>
      <c r="B23" s="1">
        <v>1</v>
      </c>
      <c r="C23" s="1">
        <v>22</v>
      </c>
      <c r="D23" s="1">
        <v>1</v>
      </c>
      <c r="E23" s="1">
        <v>269.99</v>
      </c>
      <c r="F23" s="1">
        <v>0.05</v>
      </c>
      <c r="G23">
        <f t="shared" si="0"/>
        <v>269.94</v>
      </c>
      <c r="H23" t="str">
        <f>VLOOKUP(C23,[1]products!$A:$B,2,FALSE)</f>
        <v>Electra Girl's Hawaii 1 (16-inch) - 2015/2016</v>
      </c>
      <c r="I23">
        <f>VLOOKUP(C23,[1]products!$A:$D,4,FALSE)</f>
        <v>1</v>
      </c>
      <c r="J23" t="str">
        <f>VLOOKUP(I23,[2]categories!$A$1:$B$8,2,FALSE)</f>
        <v>Children Bicycles</v>
      </c>
    </row>
    <row r="24" customHeight="1" spans="1:10">
      <c r="A24" s="1">
        <v>8</v>
      </c>
      <c r="B24" s="1">
        <v>2</v>
      </c>
      <c r="C24" s="1">
        <v>20</v>
      </c>
      <c r="D24" s="1">
        <v>2</v>
      </c>
      <c r="E24" s="1">
        <v>599.99</v>
      </c>
      <c r="F24" s="1">
        <v>0.07</v>
      </c>
      <c r="G24">
        <f t="shared" si="0"/>
        <v>1199.91</v>
      </c>
      <c r="H24" t="str">
        <f>VLOOKUP(C24,[1]products!$A:$B,2,FALSE)</f>
        <v>Electra Townie Original 7D EQ - Women's - 2016</v>
      </c>
      <c r="I24">
        <f>VLOOKUP(C24,[1]products!$A:$D,4,FALSE)</f>
        <v>3</v>
      </c>
      <c r="J24" t="str">
        <f>VLOOKUP(I24,[2]categories!$A$1:$B$8,2,FALSE)</f>
        <v>Cruisers Bicycles</v>
      </c>
    </row>
    <row r="25" customHeight="1" spans="1:10">
      <c r="A25" s="1">
        <v>9</v>
      </c>
      <c r="B25" s="1">
        <v>1</v>
      </c>
      <c r="C25" s="1">
        <v>7</v>
      </c>
      <c r="D25" s="1">
        <v>2</v>
      </c>
      <c r="E25" s="1">
        <v>3999.99</v>
      </c>
      <c r="F25" s="1">
        <v>0.1</v>
      </c>
      <c r="G25">
        <f t="shared" si="0"/>
        <v>7999.88</v>
      </c>
      <c r="H25" t="str">
        <f>VLOOKUP(C25,[1]products!$A:$B,2,FALSE)</f>
        <v>Trek Slash 8 27.5 - 2016</v>
      </c>
      <c r="I25">
        <f>VLOOKUP(C25,[1]products!$A:$D,4,FALSE)</f>
        <v>6</v>
      </c>
      <c r="J25" t="str">
        <f>VLOOKUP(I25,[2]categories!$A$1:$B$8,2,FALSE)</f>
        <v>Mountain Bikes</v>
      </c>
    </row>
    <row r="26" customHeight="1" spans="1:10">
      <c r="A26" s="1">
        <v>10</v>
      </c>
      <c r="B26" s="1">
        <v>1</v>
      </c>
      <c r="C26" s="1">
        <v>14</v>
      </c>
      <c r="D26" s="1">
        <v>1</v>
      </c>
      <c r="E26" s="1">
        <v>269.99</v>
      </c>
      <c r="F26" s="1">
        <v>0.1</v>
      </c>
      <c r="G26">
        <f t="shared" si="0"/>
        <v>269.89</v>
      </c>
      <c r="H26" t="str">
        <f>VLOOKUP(C26,[1]products!$A:$B,2,FALSE)</f>
        <v>Electra Girl's Hawaii 1 (16-inch) - 2015/2016</v>
      </c>
      <c r="I26">
        <f>VLOOKUP(C26,[1]products!$A:$D,4,FALSE)</f>
        <v>3</v>
      </c>
      <c r="J26" t="str">
        <f>VLOOKUP(I26,[2]categories!$A$1:$B$8,2,FALSE)</f>
        <v>Cruisers Bicycles</v>
      </c>
    </row>
    <row r="27" customHeight="1" spans="1:10">
      <c r="A27" s="1">
        <v>11</v>
      </c>
      <c r="B27" s="1">
        <v>1</v>
      </c>
      <c r="C27" s="1">
        <v>8</v>
      </c>
      <c r="D27" s="1">
        <v>1</v>
      </c>
      <c r="E27" s="1">
        <v>1799.99</v>
      </c>
      <c r="F27" s="1">
        <v>0.05</v>
      </c>
      <c r="G27">
        <f t="shared" si="0"/>
        <v>1799.94</v>
      </c>
      <c r="H27" t="str">
        <f>VLOOKUP(C27,[1]products!$A:$B,2,FALSE)</f>
        <v>Trek Remedy 29 Carbon Frameset - 2016</v>
      </c>
      <c r="I27">
        <f>VLOOKUP(C27,[1]products!$A:$D,4,FALSE)</f>
        <v>6</v>
      </c>
      <c r="J27" t="str">
        <f>VLOOKUP(I27,[2]categories!$A$1:$B$8,2,FALSE)</f>
        <v>Mountain Bikes</v>
      </c>
    </row>
    <row r="28" customHeight="1" spans="1:10">
      <c r="A28" s="1">
        <v>11</v>
      </c>
      <c r="B28" s="1">
        <v>2</v>
      </c>
      <c r="C28" s="1">
        <v>22</v>
      </c>
      <c r="D28" s="1">
        <v>2</v>
      </c>
      <c r="E28" s="1">
        <v>269.99</v>
      </c>
      <c r="F28" s="1">
        <v>0.1</v>
      </c>
      <c r="G28">
        <f t="shared" si="0"/>
        <v>539.88</v>
      </c>
      <c r="H28" t="str">
        <f>VLOOKUP(C28,[1]products!$A:$B,2,FALSE)</f>
        <v>Electra Girl's Hawaii 1 (16-inch) - 2015/2016</v>
      </c>
      <c r="I28">
        <f>VLOOKUP(C28,[1]products!$A:$D,4,FALSE)</f>
        <v>1</v>
      </c>
      <c r="J28" t="str">
        <f>VLOOKUP(I28,[2]categories!$A$1:$B$8,2,FALSE)</f>
        <v>Children Bicycles</v>
      </c>
    </row>
    <row r="29" customHeight="1" spans="1:10">
      <c r="A29" s="1">
        <v>11</v>
      </c>
      <c r="B29" s="1">
        <v>3</v>
      </c>
      <c r="C29" s="1">
        <v>16</v>
      </c>
      <c r="D29" s="1">
        <v>2</v>
      </c>
      <c r="E29" s="1">
        <v>599.99</v>
      </c>
      <c r="F29" s="1">
        <v>0.2</v>
      </c>
      <c r="G29">
        <f t="shared" si="0"/>
        <v>1199.78</v>
      </c>
      <c r="H29" t="str">
        <f>VLOOKUP(C29,[1]products!$A:$B,2,FALSE)</f>
        <v>Electra Townie Original 7D EQ - 2016</v>
      </c>
      <c r="I29">
        <f>VLOOKUP(C29,[1]products!$A:$D,4,FALSE)</f>
        <v>3</v>
      </c>
      <c r="J29" t="str">
        <f>VLOOKUP(I29,[2]categories!$A$1:$B$8,2,FALSE)</f>
        <v>Cruisers Bicycles</v>
      </c>
    </row>
    <row r="30" customHeight="1" spans="1:10">
      <c r="A30" s="1">
        <v>12</v>
      </c>
      <c r="B30" s="1">
        <v>1</v>
      </c>
      <c r="C30" s="1">
        <v>4</v>
      </c>
      <c r="D30" s="1">
        <v>2</v>
      </c>
      <c r="E30" s="1">
        <v>2899.99</v>
      </c>
      <c r="F30" s="1">
        <v>0.1</v>
      </c>
      <c r="G30">
        <f t="shared" si="0"/>
        <v>5799.88</v>
      </c>
      <c r="H30" t="str">
        <f>VLOOKUP(C30,[1]products!$A:$B,2,FALSE)</f>
        <v>Trek Fuel EX 8 29 - 2016</v>
      </c>
      <c r="I30">
        <f>VLOOKUP(C30,[1]products!$A:$D,4,FALSE)</f>
        <v>6</v>
      </c>
      <c r="J30" t="str">
        <f>VLOOKUP(I30,[2]categories!$A$1:$B$8,2,FALSE)</f>
        <v>Mountain Bikes</v>
      </c>
    </row>
    <row r="31" customHeight="1" spans="1:10">
      <c r="A31" s="1">
        <v>12</v>
      </c>
      <c r="B31" s="1">
        <v>2</v>
      </c>
      <c r="C31" s="1">
        <v>11</v>
      </c>
      <c r="D31" s="1">
        <v>1</v>
      </c>
      <c r="E31" s="1">
        <v>1680.99</v>
      </c>
      <c r="F31" s="1">
        <v>0.05</v>
      </c>
      <c r="G31">
        <f t="shared" si="0"/>
        <v>1680.94</v>
      </c>
      <c r="H31" t="str">
        <f>VLOOKUP(C31,[1]products!$A:$B,2,FALSE)</f>
        <v>Surly Straggler 650b - 2016</v>
      </c>
      <c r="I31">
        <f>VLOOKUP(C31,[1]products!$A:$D,4,FALSE)</f>
        <v>4</v>
      </c>
      <c r="J31" t="str">
        <f>VLOOKUP(I31,[2]categories!$A$1:$B$8,2,FALSE)</f>
        <v>Cyclocross Bicycles</v>
      </c>
    </row>
    <row r="32" customHeight="1" spans="1:10">
      <c r="A32" s="1">
        <v>13</v>
      </c>
      <c r="B32" s="1">
        <v>1</v>
      </c>
      <c r="C32" s="1">
        <v>13</v>
      </c>
      <c r="D32" s="1">
        <v>1</v>
      </c>
      <c r="E32" s="1">
        <v>269.99</v>
      </c>
      <c r="F32" s="1">
        <v>0.1</v>
      </c>
      <c r="G32">
        <f t="shared" si="0"/>
        <v>269.89</v>
      </c>
      <c r="H32" t="str">
        <f>VLOOKUP(C32,[1]products!$A:$B,2,FALSE)</f>
        <v>Electra Cruiser 1 (24-Inch) - 2016</v>
      </c>
      <c r="I32">
        <f>VLOOKUP(C32,[1]products!$A:$D,4,FALSE)</f>
        <v>3</v>
      </c>
      <c r="J32" t="str">
        <f>VLOOKUP(I32,[2]categories!$A$1:$B$8,2,FALSE)</f>
        <v>Cruisers Bicycles</v>
      </c>
    </row>
    <row r="33" customHeight="1" spans="1:10">
      <c r="A33" s="1">
        <v>13</v>
      </c>
      <c r="B33" s="1">
        <v>2</v>
      </c>
      <c r="C33" s="1">
        <v>17</v>
      </c>
      <c r="D33" s="1">
        <v>2</v>
      </c>
      <c r="E33" s="1">
        <v>429</v>
      </c>
      <c r="F33" s="1">
        <v>0.05</v>
      </c>
      <c r="G33">
        <f t="shared" si="0"/>
        <v>857.95</v>
      </c>
      <c r="H33" t="str">
        <f>VLOOKUP(C33,[1]products!$A:$B,2,FALSE)</f>
        <v>Pure Cycles Vine 8-Speed - 2016</v>
      </c>
      <c r="I33">
        <f>VLOOKUP(C33,[1]products!$A:$D,4,FALSE)</f>
        <v>3</v>
      </c>
      <c r="J33" t="str">
        <f>VLOOKUP(I33,[2]categories!$A$1:$B$8,2,FALSE)</f>
        <v>Cruisers Bicycles</v>
      </c>
    </row>
    <row r="34" customHeight="1" spans="1:10">
      <c r="A34" s="1">
        <v>13</v>
      </c>
      <c r="B34" s="1">
        <v>3</v>
      </c>
      <c r="C34" s="1">
        <v>20</v>
      </c>
      <c r="D34" s="1">
        <v>2</v>
      </c>
      <c r="E34" s="1">
        <v>599.99</v>
      </c>
      <c r="F34" s="1">
        <v>0.1</v>
      </c>
      <c r="G34">
        <f t="shared" si="0"/>
        <v>1199.88</v>
      </c>
      <c r="H34" t="str">
        <f>VLOOKUP(C34,[1]products!$A:$B,2,FALSE)</f>
        <v>Electra Townie Original 7D EQ - Women's - 2016</v>
      </c>
      <c r="I34">
        <f>VLOOKUP(C34,[1]products!$A:$D,4,FALSE)</f>
        <v>3</v>
      </c>
      <c r="J34" t="str">
        <f>VLOOKUP(I34,[2]categories!$A$1:$B$8,2,FALSE)</f>
        <v>Cruisers Bicycles</v>
      </c>
    </row>
    <row r="35" customHeight="1" spans="1:10">
      <c r="A35" s="1">
        <v>13</v>
      </c>
      <c r="B35" s="1">
        <v>4</v>
      </c>
      <c r="C35" s="1">
        <v>16</v>
      </c>
      <c r="D35" s="1">
        <v>2</v>
      </c>
      <c r="E35" s="1">
        <v>599.99</v>
      </c>
      <c r="F35" s="1">
        <v>0.05</v>
      </c>
      <c r="G35">
        <f t="shared" si="0"/>
        <v>1199.93</v>
      </c>
      <c r="H35" t="str">
        <f>VLOOKUP(C35,[1]products!$A:$B,2,FALSE)</f>
        <v>Electra Townie Original 7D EQ - 2016</v>
      </c>
      <c r="I35">
        <f>VLOOKUP(C35,[1]products!$A:$D,4,FALSE)</f>
        <v>3</v>
      </c>
      <c r="J35" t="str">
        <f>VLOOKUP(I35,[2]categories!$A$1:$B$8,2,FALSE)</f>
        <v>Cruisers Bicycles</v>
      </c>
    </row>
    <row r="36" customHeight="1" spans="1:10">
      <c r="A36" s="1">
        <v>14</v>
      </c>
      <c r="B36" s="1">
        <v>1</v>
      </c>
      <c r="C36" s="1">
        <v>6</v>
      </c>
      <c r="D36" s="1">
        <v>1</v>
      </c>
      <c r="E36" s="1">
        <v>469.99</v>
      </c>
      <c r="F36" s="1">
        <v>0.07</v>
      </c>
      <c r="G36">
        <f t="shared" si="0"/>
        <v>469.92</v>
      </c>
      <c r="H36" t="str">
        <f>VLOOKUP(C36,[1]products!$A:$B,2,FALSE)</f>
        <v>Surly Ice Cream Truck Frameset - 2016</v>
      </c>
      <c r="I36">
        <f>VLOOKUP(C36,[1]products!$A:$D,4,FALSE)</f>
        <v>6</v>
      </c>
      <c r="J36" t="str">
        <f>VLOOKUP(I36,[2]categories!$A$1:$B$8,2,FALSE)</f>
        <v>Mountain Bikes</v>
      </c>
    </row>
    <row r="37" customHeight="1" spans="1:10">
      <c r="A37" s="1">
        <v>15</v>
      </c>
      <c r="B37" s="1">
        <v>1</v>
      </c>
      <c r="C37" s="1">
        <v>12</v>
      </c>
      <c r="D37" s="1">
        <v>2</v>
      </c>
      <c r="E37" s="1">
        <v>549.99</v>
      </c>
      <c r="F37" s="1">
        <v>0.07</v>
      </c>
      <c r="G37">
        <f t="shared" si="0"/>
        <v>1099.91</v>
      </c>
      <c r="H37" t="str">
        <f>VLOOKUP(C37,[1]products!$A:$B,2,FALSE)</f>
        <v>Electra Townie Original 21D - 2016</v>
      </c>
      <c r="I37">
        <f>VLOOKUP(C37,[1]products!$A:$D,4,FALSE)</f>
        <v>3</v>
      </c>
      <c r="J37" t="str">
        <f>VLOOKUP(I37,[2]categories!$A$1:$B$8,2,FALSE)</f>
        <v>Cruisers Bicycles</v>
      </c>
    </row>
    <row r="38" customHeight="1" spans="1:10">
      <c r="A38" s="1">
        <v>15</v>
      </c>
      <c r="B38" s="1">
        <v>2</v>
      </c>
      <c r="C38" s="1">
        <v>8</v>
      </c>
      <c r="D38" s="1">
        <v>1</v>
      </c>
      <c r="E38" s="1">
        <v>1799.99</v>
      </c>
      <c r="F38" s="1">
        <v>0.07</v>
      </c>
      <c r="G38">
        <f t="shared" si="0"/>
        <v>1799.92</v>
      </c>
      <c r="H38" t="str">
        <f>VLOOKUP(C38,[1]products!$A:$B,2,FALSE)</f>
        <v>Trek Remedy 29 Carbon Frameset - 2016</v>
      </c>
      <c r="I38">
        <f>VLOOKUP(C38,[1]products!$A:$D,4,FALSE)</f>
        <v>6</v>
      </c>
      <c r="J38" t="str">
        <f>VLOOKUP(I38,[2]categories!$A$1:$B$8,2,FALSE)</f>
        <v>Mountain Bikes</v>
      </c>
    </row>
    <row r="39" customHeight="1" spans="1:10">
      <c r="A39" s="1">
        <v>15</v>
      </c>
      <c r="B39" s="1">
        <v>3</v>
      </c>
      <c r="C39" s="1">
        <v>18</v>
      </c>
      <c r="D39" s="1">
        <v>2</v>
      </c>
      <c r="E39" s="1">
        <v>449</v>
      </c>
      <c r="F39" s="1">
        <v>0.05</v>
      </c>
      <c r="G39">
        <f t="shared" si="0"/>
        <v>897.95</v>
      </c>
      <c r="H39" t="str">
        <f>VLOOKUP(C39,[1]products!$A:$B,2,FALSE)</f>
        <v>Pure Cycles Western 3-Speed - Women's - 2015/2016</v>
      </c>
      <c r="I39">
        <f>VLOOKUP(C39,[1]products!$A:$D,4,FALSE)</f>
        <v>3</v>
      </c>
      <c r="J39" t="str">
        <f>VLOOKUP(I39,[2]categories!$A$1:$B$8,2,FALSE)</f>
        <v>Cruisers Bicycles</v>
      </c>
    </row>
    <row r="40" customHeight="1" spans="1:10">
      <c r="A40" s="1">
        <v>15</v>
      </c>
      <c r="B40" s="1">
        <v>4</v>
      </c>
      <c r="C40" s="1">
        <v>23</v>
      </c>
      <c r="D40" s="1">
        <v>2</v>
      </c>
      <c r="E40" s="1">
        <v>299.99</v>
      </c>
      <c r="F40" s="1">
        <v>0.2</v>
      </c>
      <c r="G40">
        <f t="shared" si="0"/>
        <v>599.78</v>
      </c>
      <c r="H40" t="str">
        <f>VLOOKUP(C40,[1]products!$A:$B,2,FALSE)</f>
        <v>Electra Girl's Hawaii 1 (20-inch) - 2015/2016</v>
      </c>
      <c r="I40">
        <f>VLOOKUP(C40,[1]products!$A:$D,4,FALSE)</f>
        <v>1</v>
      </c>
      <c r="J40" t="str">
        <f>VLOOKUP(I40,[2]categories!$A$1:$B$8,2,FALSE)</f>
        <v>Children Bicycles</v>
      </c>
    </row>
    <row r="41" customHeight="1" spans="1:10">
      <c r="A41" s="1">
        <v>16</v>
      </c>
      <c r="B41" s="1">
        <v>1</v>
      </c>
      <c r="C41" s="1">
        <v>8</v>
      </c>
      <c r="D41" s="1">
        <v>1</v>
      </c>
      <c r="E41" s="1">
        <v>1799.99</v>
      </c>
      <c r="F41" s="1">
        <v>0.2</v>
      </c>
      <c r="G41">
        <f t="shared" si="0"/>
        <v>1799.79</v>
      </c>
      <c r="H41" t="str">
        <f>VLOOKUP(C41,[1]products!$A:$B,2,FALSE)</f>
        <v>Trek Remedy 29 Carbon Frameset - 2016</v>
      </c>
      <c r="I41">
        <f>VLOOKUP(C41,[1]products!$A:$D,4,FALSE)</f>
        <v>6</v>
      </c>
      <c r="J41" t="str">
        <f>VLOOKUP(I41,[2]categories!$A$1:$B$8,2,FALSE)</f>
        <v>Mountain Bikes</v>
      </c>
    </row>
    <row r="42" customHeight="1" spans="1:10">
      <c r="A42" s="1">
        <v>16</v>
      </c>
      <c r="B42" s="1">
        <v>2</v>
      </c>
      <c r="C42" s="1">
        <v>21</v>
      </c>
      <c r="D42" s="1">
        <v>1</v>
      </c>
      <c r="E42" s="1">
        <v>269.99</v>
      </c>
      <c r="F42" s="1">
        <v>0.05</v>
      </c>
      <c r="G42">
        <f t="shared" si="0"/>
        <v>269.94</v>
      </c>
      <c r="H42" t="str">
        <f>VLOOKUP(C42,[1]products!$A:$B,2,FALSE)</f>
        <v>Electra Cruiser 1 (24-Inch) - 2016</v>
      </c>
      <c r="I42">
        <f>VLOOKUP(C42,[1]products!$A:$D,4,FALSE)</f>
        <v>1</v>
      </c>
      <c r="J42" t="str">
        <f>VLOOKUP(I42,[2]categories!$A$1:$B$8,2,FALSE)</f>
        <v>Children Bicycles</v>
      </c>
    </row>
    <row r="43" customHeight="1" spans="1:10">
      <c r="A43" s="1">
        <v>16</v>
      </c>
      <c r="B43" s="1">
        <v>3</v>
      </c>
      <c r="C43" s="1">
        <v>13</v>
      </c>
      <c r="D43" s="1">
        <v>2</v>
      </c>
      <c r="E43" s="1">
        <v>269.99</v>
      </c>
      <c r="F43" s="1">
        <v>0.07</v>
      </c>
      <c r="G43">
        <f t="shared" si="0"/>
        <v>539.91</v>
      </c>
      <c r="H43" t="str">
        <f>VLOOKUP(C43,[1]products!$A:$B,2,FALSE)</f>
        <v>Electra Cruiser 1 (24-Inch) - 2016</v>
      </c>
      <c r="I43">
        <f>VLOOKUP(C43,[1]products!$A:$D,4,FALSE)</f>
        <v>3</v>
      </c>
      <c r="J43" t="str">
        <f>VLOOKUP(I43,[2]categories!$A$1:$B$8,2,FALSE)</f>
        <v>Cruisers Bicycles</v>
      </c>
    </row>
    <row r="44" customHeight="1" spans="1:10">
      <c r="A44" s="1">
        <v>16</v>
      </c>
      <c r="B44" s="1">
        <v>4</v>
      </c>
      <c r="C44" s="1">
        <v>14</v>
      </c>
      <c r="D44" s="1">
        <v>1</v>
      </c>
      <c r="E44" s="1">
        <v>269.99</v>
      </c>
      <c r="F44" s="1">
        <v>0.07</v>
      </c>
      <c r="G44">
        <f t="shared" si="0"/>
        <v>269.92</v>
      </c>
      <c r="H44" t="str">
        <f>VLOOKUP(C44,[1]products!$A:$B,2,FALSE)</f>
        <v>Electra Girl's Hawaii 1 (16-inch) - 2015/2016</v>
      </c>
      <c r="I44">
        <f>VLOOKUP(C44,[1]products!$A:$D,4,FALSE)</f>
        <v>3</v>
      </c>
      <c r="J44" t="str">
        <f>VLOOKUP(I44,[2]categories!$A$1:$B$8,2,FALSE)</f>
        <v>Cruisers Bicycles</v>
      </c>
    </row>
    <row r="45" customHeight="1" spans="1:10">
      <c r="A45" s="1">
        <v>17</v>
      </c>
      <c r="B45" s="1">
        <v>1</v>
      </c>
      <c r="C45" s="1">
        <v>8</v>
      </c>
      <c r="D45" s="1">
        <v>1</v>
      </c>
      <c r="E45" s="1">
        <v>1799.99</v>
      </c>
      <c r="F45" s="1">
        <v>0.07</v>
      </c>
      <c r="G45">
        <f t="shared" si="0"/>
        <v>1799.92</v>
      </c>
      <c r="H45" t="str">
        <f>VLOOKUP(C45,[1]products!$A:$B,2,FALSE)</f>
        <v>Trek Remedy 29 Carbon Frameset - 2016</v>
      </c>
      <c r="I45">
        <f>VLOOKUP(C45,[1]products!$A:$D,4,FALSE)</f>
        <v>6</v>
      </c>
      <c r="J45" t="str">
        <f>VLOOKUP(I45,[2]categories!$A$1:$B$8,2,FALSE)</f>
        <v>Mountain Bikes</v>
      </c>
    </row>
    <row r="46" customHeight="1" spans="1:10">
      <c r="A46" s="1">
        <v>17</v>
      </c>
      <c r="B46" s="1">
        <v>2</v>
      </c>
      <c r="C46" s="1">
        <v>23</v>
      </c>
      <c r="D46" s="1">
        <v>1</v>
      </c>
      <c r="E46" s="1">
        <v>299.99</v>
      </c>
      <c r="F46" s="1">
        <v>0.1</v>
      </c>
      <c r="G46">
        <f t="shared" si="0"/>
        <v>299.89</v>
      </c>
      <c r="H46" t="str">
        <f>VLOOKUP(C46,[1]products!$A:$B,2,FALSE)</f>
        <v>Electra Girl's Hawaii 1 (20-inch) - 2015/2016</v>
      </c>
      <c r="I46">
        <f>VLOOKUP(C46,[1]products!$A:$D,4,FALSE)</f>
        <v>1</v>
      </c>
      <c r="J46" t="str">
        <f>VLOOKUP(I46,[2]categories!$A$1:$B$8,2,FALSE)</f>
        <v>Children Bicycles</v>
      </c>
    </row>
    <row r="47" customHeight="1" spans="1:10">
      <c r="A47" s="1">
        <v>17</v>
      </c>
      <c r="B47" s="1">
        <v>3</v>
      </c>
      <c r="C47" s="1">
        <v>5</v>
      </c>
      <c r="D47" s="1">
        <v>1</v>
      </c>
      <c r="E47" s="1">
        <v>1320.99</v>
      </c>
      <c r="F47" s="1">
        <v>0.1</v>
      </c>
      <c r="G47">
        <f t="shared" si="0"/>
        <v>1320.89</v>
      </c>
      <c r="H47" t="str">
        <f>VLOOKUP(C47,[1]products!$A:$B,2,FALSE)</f>
        <v>Heller Shagamaw Frame - 2016</v>
      </c>
      <c r="I47">
        <f>VLOOKUP(C47,[1]products!$A:$D,4,FALSE)</f>
        <v>6</v>
      </c>
      <c r="J47" t="str">
        <f>VLOOKUP(I47,[2]categories!$A$1:$B$8,2,FALSE)</f>
        <v>Mountain Bikes</v>
      </c>
    </row>
    <row r="48" customHeight="1" spans="1:10">
      <c r="A48" s="1">
        <v>17</v>
      </c>
      <c r="B48" s="1">
        <v>4</v>
      </c>
      <c r="C48" s="1">
        <v>20</v>
      </c>
      <c r="D48" s="1">
        <v>2</v>
      </c>
      <c r="E48" s="1">
        <v>599.99</v>
      </c>
      <c r="F48" s="1">
        <v>0.2</v>
      </c>
      <c r="G48">
        <f t="shared" si="0"/>
        <v>1199.78</v>
      </c>
      <c r="H48" t="str">
        <f>VLOOKUP(C48,[1]products!$A:$B,2,FALSE)</f>
        <v>Electra Townie Original 7D EQ - Women's - 2016</v>
      </c>
      <c r="I48">
        <f>VLOOKUP(C48,[1]products!$A:$D,4,FALSE)</f>
        <v>3</v>
      </c>
      <c r="J48" t="str">
        <f>VLOOKUP(I48,[2]categories!$A$1:$B$8,2,FALSE)</f>
        <v>Cruisers Bicycles</v>
      </c>
    </row>
    <row r="49" customHeight="1" spans="1:10">
      <c r="A49" s="1">
        <v>18</v>
      </c>
      <c r="B49" s="1">
        <v>1</v>
      </c>
      <c r="C49" s="1">
        <v>2</v>
      </c>
      <c r="D49" s="1">
        <v>2</v>
      </c>
      <c r="E49" s="1">
        <v>749.99</v>
      </c>
      <c r="F49" s="1">
        <v>0.2</v>
      </c>
      <c r="G49">
        <f t="shared" si="0"/>
        <v>1499.78</v>
      </c>
      <c r="H49" t="str">
        <f>VLOOKUP(C49,[1]products!$A:$B,2,FALSE)</f>
        <v>Ritchey Timberwolf Frameset - 2016</v>
      </c>
      <c r="I49">
        <f>VLOOKUP(C49,[1]products!$A:$D,4,FALSE)</f>
        <v>6</v>
      </c>
      <c r="J49" t="str">
        <f>VLOOKUP(I49,[2]categories!$A$1:$B$8,2,FALSE)</f>
        <v>Mountain Bikes</v>
      </c>
    </row>
    <row r="50" customHeight="1" spans="1:10">
      <c r="A50" s="1">
        <v>18</v>
      </c>
      <c r="B50" s="1">
        <v>2</v>
      </c>
      <c r="C50" s="1">
        <v>22</v>
      </c>
      <c r="D50" s="1">
        <v>1</v>
      </c>
      <c r="E50" s="1">
        <v>269.99</v>
      </c>
      <c r="F50" s="1">
        <v>0.05</v>
      </c>
      <c r="G50">
        <f t="shared" si="0"/>
        <v>269.94</v>
      </c>
      <c r="H50" t="str">
        <f>VLOOKUP(C50,[1]products!$A:$B,2,FALSE)</f>
        <v>Electra Girl's Hawaii 1 (16-inch) - 2015/2016</v>
      </c>
      <c r="I50">
        <f>VLOOKUP(C50,[1]products!$A:$D,4,FALSE)</f>
        <v>1</v>
      </c>
      <c r="J50" t="str">
        <f>VLOOKUP(I50,[2]categories!$A$1:$B$8,2,FALSE)</f>
        <v>Children Bicycles</v>
      </c>
    </row>
    <row r="51" customHeight="1" spans="1:10">
      <c r="A51" s="1">
        <v>18</v>
      </c>
      <c r="B51" s="1">
        <v>3</v>
      </c>
      <c r="C51" s="1">
        <v>7</v>
      </c>
      <c r="D51" s="1">
        <v>1</v>
      </c>
      <c r="E51" s="1">
        <v>3999.99</v>
      </c>
      <c r="F51" s="1">
        <v>0.1</v>
      </c>
      <c r="G51">
        <f t="shared" si="0"/>
        <v>3999.89</v>
      </c>
      <c r="H51" t="str">
        <f>VLOOKUP(C51,[1]products!$A:$B,2,FALSE)</f>
        <v>Trek Slash 8 27.5 - 2016</v>
      </c>
      <c r="I51">
        <f>VLOOKUP(C51,[1]products!$A:$D,4,FALSE)</f>
        <v>6</v>
      </c>
      <c r="J51" t="str">
        <f>VLOOKUP(I51,[2]categories!$A$1:$B$8,2,FALSE)</f>
        <v>Mountain Bikes</v>
      </c>
    </row>
    <row r="52" customHeight="1" spans="1:10">
      <c r="A52" s="1">
        <v>18</v>
      </c>
      <c r="B52" s="1">
        <v>4</v>
      </c>
      <c r="C52" s="1">
        <v>25</v>
      </c>
      <c r="D52" s="1">
        <v>2</v>
      </c>
      <c r="E52" s="1">
        <v>499.99</v>
      </c>
      <c r="F52" s="1">
        <v>0.05</v>
      </c>
      <c r="G52">
        <f t="shared" si="0"/>
        <v>999.93</v>
      </c>
      <c r="H52" t="str">
        <f>VLOOKUP(C52,[1]products!$A:$B,2,FALSE)</f>
        <v>Electra Townie Original 7D - 2015/2016</v>
      </c>
      <c r="I52">
        <f>VLOOKUP(C52,[1]products!$A:$D,4,FALSE)</f>
        <v>2</v>
      </c>
      <c r="J52" t="str">
        <f>VLOOKUP(I52,[2]categories!$A$1:$B$8,2,FALSE)</f>
        <v>Comfort Bicycles</v>
      </c>
    </row>
    <row r="53" customHeight="1" spans="1:10">
      <c r="A53" s="1">
        <v>18</v>
      </c>
      <c r="B53" s="1">
        <v>5</v>
      </c>
      <c r="C53" s="1">
        <v>9</v>
      </c>
      <c r="D53" s="1">
        <v>2</v>
      </c>
      <c r="E53" s="1">
        <v>2999.99</v>
      </c>
      <c r="F53" s="1">
        <v>0.1</v>
      </c>
      <c r="G53">
        <f t="shared" si="0"/>
        <v>5999.88</v>
      </c>
      <c r="H53" t="str">
        <f>VLOOKUP(C53,[1]products!$A:$B,2,FALSE)</f>
        <v>Trek Conduit+ - 2016</v>
      </c>
      <c r="I53">
        <f>VLOOKUP(C53,[1]products!$A:$D,4,FALSE)</f>
        <v>5</v>
      </c>
      <c r="J53" t="str">
        <f>VLOOKUP(I53,[2]categories!$A$1:$B$8,2,FALSE)</f>
        <v>Electric Bikes</v>
      </c>
    </row>
    <row r="54" customHeight="1" spans="1:10">
      <c r="A54" s="1">
        <v>19</v>
      </c>
      <c r="B54" s="1">
        <v>1</v>
      </c>
      <c r="C54" s="1">
        <v>10</v>
      </c>
      <c r="D54" s="1">
        <v>1</v>
      </c>
      <c r="E54" s="1">
        <v>1549</v>
      </c>
      <c r="F54" s="1">
        <v>0.07</v>
      </c>
      <c r="G54">
        <f t="shared" si="0"/>
        <v>1548.93</v>
      </c>
      <c r="H54" t="str">
        <f>VLOOKUP(C54,[1]products!$A:$B,2,FALSE)</f>
        <v>Surly Straggler - 2016</v>
      </c>
      <c r="I54">
        <f>VLOOKUP(C54,[1]products!$A:$D,4,FALSE)</f>
        <v>4</v>
      </c>
      <c r="J54" t="str">
        <f>VLOOKUP(I54,[2]categories!$A$1:$B$8,2,FALSE)</f>
        <v>Cyclocross Bicycles</v>
      </c>
    </row>
    <row r="55" customHeight="1" spans="1:10">
      <c r="A55" s="1">
        <v>19</v>
      </c>
      <c r="B55" s="1">
        <v>2</v>
      </c>
      <c r="C55" s="1">
        <v>9</v>
      </c>
      <c r="D55" s="1">
        <v>2</v>
      </c>
      <c r="E55" s="1">
        <v>2999.99</v>
      </c>
      <c r="F55" s="1">
        <v>0.2</v>
      </c>
      <c r="G55">
        <f t="shared" si="0"/>
        <v>5999.78</v>
      </c>
      <c r="H55" t="str">
        <f>VLOOKUP(C55,[1]products!$A:$B,2,FALSE)</f>
        <v>Trek Conduit+ - 2016</v>
      </c>
      <c r="I55">
        <f>VLOOKUP(C55,[1]products!$A:$D,4,FALSE)</f>
        <v>5</v>
      </c>
      <c r="J55" t="str">
        <f>VLOOKUP(I55,[2]categories!$A$1:$B$8,2,FALSE)</f>
        <v>Electric Bikes</v>
      </c>
    </row>
    <row r="56" customHeight="1" spans="1:10">
      <c r="A56" s="1">
        <v>20</v>
      </c>
      <c r="B56" s="1">
        <v>1</v>
      </c>
      <c r="C56" s="1">
        <v>9</v>
      </c>
      <c r="D56" s="1">
        <v>1</v>
      </c>
      <c r="E56" s="1">
        <v>2999.99</v>
      </c>
      <c r="F56" s="1">
        <v>0.07</v>
      </c>
      <c r="G56">
        <f t="shared" si="0"/>
        <v>2999.92</v>
      </c>
      <c r="H56" t="str">
        <f>VLOOKUP(C56,[1]products!$A:$B,2,FALSE)</f>
        <v>Trek Conduit+ - 2016</v>
      </c>
      <c r="I56">
        <f>VLOOKUP(C56,[1]products!$A:$D,4,FALSE)</f>
        <v>5</v>
      </c>
      <c r="J56" t="str">
        <f>VLOOKUP(I56,[2]categories!$A$1:$B$8,2,FALSE)</f>
        <v>Electric Bikes</v>
      </c>
    </row>
    <row r="57" customHeight="1" spans="1:10">
      <c r="A57" s="1">
        <v>20</v>
      </c>
      <c r="B57" s="1">
        <v>2</v>
      </c>
      <c r="C57" s="1">
        <v>10</v>
      </c>
      <c r="D57" s="1">
        <v>2</v>
      </c>
      <c r="E57" s="1">
        <v>1549</v>
      </c>
      <c r="F57" s="1">
        <v>0.07</v>
      </c>
      <c r="G57">
        <f t="shared" si="0"/>
        <v>3097.93</v>
      </c>
      <c r="H57" t="str">
        <f>VLOOKUP(C57,[1]products!$A:$B,2,FALSE)</f>
        <v>Surly Straggler - 2016</v>
      </c>
      <c r="I57">
        <f>VLOOKUP(C57,[1]products!$A:$D,4,FALSE)</f>
        <v>4</v>
      </c>
      <c r="J57" t="str">
        <f>VLOOKUP(I57,[2]categories!$A$1:$B$8,2,FALSE)</f>
        <v>Cyclocross Bicycles</v>
      </c>
    </row>
    <row r="58" customHeight="1" spans="1:10">
      <c r="A58" s="1">
        <v>21</v>
      </c>
      <c r="B58" s="1">
        <v>1</v>
      </c>
      <c r="C58" s="1">
        <v>14</v>
      </c>
      <c r="D58" s="1">
        <v>1</v>
      </c>
      <c r="E58" s="1">
        <v>269.99</v>
      </c>
      <c r="F58" s="1">
        <v>0.05</v>
      </c>
      <c r="G58">
        <f t="shared" si="0"/>
        <v>269.94</v>
      </c>
      <c r="H58" t="str">
        <f>VLOOKUP(C58,[1]products!$A:$B,2,FALSE)</f>
        <v>Electra Girl's Hawaii 1 (16-inch) - 2015/2016</v>
      </c>
      <c r="I58">
        <f>VLOOKUP(C58,[1]products!$A:$D,4,FALSE)</f>
        <v>3</v>
      </c>
      <c r="J58" t="str">
        <f>VLOOKUP(I58,[2]categories!$A$1:$B$8,2,FALSE)</f>
        <v>Cruisers Bicycles</v>
      </c>
    </row>
    <row r="59" customHeight="1" spans="1:10">
      <c r="A59" s="1">
        <v>21</v>
      </c>
      <c r="B59" s="1">
        <v>2</v>
      </c>
      <c r="C59" s="1">
        <v>17</v>
      </c>
      <c r="D59" s="1">
        <v>1</v>
      </c>
      <c r="E59" s="1">
        <v>429</v>
      </c>
      <c r="F59" s="1">
        <v>0.1</v>
      </c>
      <c r="G59">
        <f t="shared" si="0"/>
        <v>428.9</v>
      </c>
      <c r="H59" t="str">
        <f>VLOOKUP(C59,[1]products!$A:$B,2,FALSE)</f>
        <v>Pure Cycles Vine 8-Speed - 2016</v>
      </c>
      <c r="I59">
        <f>VLOOKUP(C59,[1]products!$A:$D,4,FALSE)</f>
        <v>3</v>
      </c>
      <c r="J59" t="str">
        <f>VLOOKUP(I59,[2]categories!$A$1:$B$8,2,FALSE)</f>
        <v>Cruisers Bicycles</v>
      </c>
    </row>
    <row r="60" customHeight="1" spans="1:10">
      <c r="A60" s="1">
        <v>21</v>
      </c>
      <c r="B60" s="1">
        <v>3</v>
      </c>
      <c r="C60" s="1">
        <v>10</v>
      </c>
      <c r="D60" s="1">
        <v>1</v>
      </c>
      <c r="E60" s="1">
        <v>1549</v>
      </c>
      <c r="F60" s="1">
        <v>0.07</v>
      </c>
      <c r="G60">
        <f t="shared" si="0"/>
        <v>1548.93</v>
      </c>
      <c r="H60" t="str">
        <f>VLOOKUP(C60,[1]products!$A:$B,2,FALSE)</f>
        <v>Surly Straggler - 2016</v>
      </c>
      <c r="I60">
        <f>VLOOKUP(C60,[1]products!$A:$D,4,FALSE)</f>
        <v>4</v>
      </c>
      <c r="J60" t="str">
        <f>VLOOKUP(I60,[2]categories!$A$1:$B$8,2,FALSE)</f>
        <v>Cyclocross Bicycles</v>
      </c>
    </row>
    <row r="61" customHeight="1" spans="1:10">
      <c r="A61" s="1">
        <v>22</v>
      </c>
      <c r="B61" s="1">
        <v>1</v>
      </c>
      <c r="C61" s="1">
        <v>15</v>
      </c>
      <c r="D61" s="1">
        <v>2</v>
      </c>
      <c r="E61" s="1">
        <v>529.99</v>
      </c>
      <c r="F61" s="1">
        <v>0.2</v>
      </c>
      <c r="G61">
        <f t="shared" si="0"/>
        <v>1059.78</v>
      </c>
      <c r="H61" t="str">
        <f>VLOOKUP(C61,[1]products!$A:$B,2,FALSE)</f>
        <v>Electra Moto 1 - 2016</v>
      </c>
      <c r="I61">
        <f>VLOOKUP(C61,[1]products!$A:$D,4,FALSE)</f>
        <v>3</v>
      </c>
      <c r="J61" t="str">
        <f>VLOOKUP(I61,[2]categories!$A$1:$B$8,2,FALSE)</f>
        <v>Cruisers Bicycles</v>
      </c>
    </row>
    <row r="62" customHeight="1" spans="1:10">
      <c r="A62" s="1">
        <v>22</v>
      </c>
      <c r="B62" s="1">
        <v>2</v>
      </c>
      <c r="C62" s="1">
        <v>22</v>
      </c>
      <c r="D62" s="1">
        <v>1</v>
      </c>
      <c r="E62" s="1">
        <v>269.99</v>
      </c>
      <c r="F62" s="1">
        <v>0.05</v>
      </c>
      <c r="G62">
        <f t="shared" si="0"/>
        <v>269.94</v>
      </c>
      <c r="H62" t="str">
        <f>VLOOKUP(C62,[1]products!$A:$B,2,FALSE)</f>
        <v>Electra Girl's Hawaii 1 (16-inch) - 2015/2016</v>
      </c>
      <c r="I62">
        <f>VLOOKUP(C62,[1]products!$A:$D,4,FALSE)</f>
        <v>1</v>
      </c>
      <c r="J62" t="str">
        <f>VLOOKUP(I62,[2]categories!$A$1:$B$8,2,FALSE)</f>
        <v>Children Bicycles</v>
      </c>
    </row>
    <row r="63" customHeight="1" spans="1:10">
      <c r="A63" s="1">
        <v>23</v>
      </c>
      <c r="B63" s="1">
        <v>1</v>
      </c>
      <c r="C63" s="1">
        <v>4</v>
      </c>
      <c r="D63" s="1">
        <v>2</v>
      </c>
      <c r="E63" s="1">
        <v>2899.99</v>
      </c>
      <c r="F63" s="1">
        <v>0.05</v>
      </c>
      <c r="G63">
        <f t="shared" si="0"/>
        <v>5799.93</v>
      </c>
      <c r="H63" t="str">
        <f>VLOOKUP(C63,[1]products!$A:$B,2,FALSE)</f>
        <v>Trek Fuel EX 8 29 - 2016</v>
      </c>
      <c r="I63">
        <f>VLOOKUP(C63,[1]products!$A:$D,4,FALSE)</f>
        <v>6</v>
      </c>
      <c r="J63" t="str">
        <f>VLOOKUP(I63,[2]categories!$A$1:$B$8,2,FALSE)</f>
        <v>Mountain Bikes</v>
      </c>
    </row>
    <row r="64" customHeight="1" spans="1:10">
      <c r="A64" s="1">
        <v>23</v>
      </c>
      <c r="B64" s="1">
        <v>2</v>
      </c>
      <c r="C64" s="1">
        <v>23</v>
      </c>
      <c r="D64" s="1">
        <v>2</v>
      </c>
      <c r="E64" s="1">
        <v>299.99</v>
      </c>
      <c r="F64" s="1">
        <v>0.1</v>
      </c>
      <c r="G64">
        <f t="shared" si="0"/>
        <v>599.88</v>
      </c>
      <c r="H64" t="str">
        <f>VLOOKUP(C64,[1]products!$A:$B,2,FALSE)</f>
        <v>Electra Girl's Hawaii 1 (20-inch) - 2015/2016</v>
      </c>
      <c r="I64">
        <f>VLOOKUP(C64,[1]products!$A:$D,4,FALSE)</f>
        <v>1</v>
      </c>
      <c r="J64" t="str">
        <f>VLOOKUP(I64,[2]categories!$A$1:$B$8,2,FALSE)</f>
        <v>Children Bicycles</v>
      </c>
    </row>
    <row r="65" customHeight="1" spans="1:10">
      <c r="A65" s="1">
        <v>23</v>
      </c>
      <c r="B65" s="1">
        <v>3</v>
      </c>
      <c r="C65" s="1">
        <v>13</v>
      </c>
      <c r="D65" s="1">
        <v>1</v>
      </c>
      <c r="E65" s="1">
        <v>269.99</v>
      </c>
      <c r="F65" s="1">
        <v>0.2</v>
      </c>
      <c r="G65">
        <f t="shared" si="0"/>
        <v>269.79</v>
      </c>
      <c r="H65" t="str">
        <f>VLOOKUP(C65,[1]products!$A:$B,2,FALSE)</f>
        <v>Electra Cruiser 1 (24-Inch) - 2016</v>
      </c>
      <c r="I65">
        <f>VLOOKUP(C65,[1]products!$A:$D,4,FALSE)</f>
        <v>3</v>
      </c>
      <c r="J65" t="str">
        <f>VLOOKUP(I65,[2]categories!$A$1:$B$8,2,FALSE)</f>
        <v>Cruisers Bicycles</v>
      </c>
    </row>
    <row r="66" customHeight="1" spans="1:10">
      <c r="A66" s="1">
        <v>24</v>
      </c>
      <c r="B66" s="1">
        <v>1</v>
      </c>
      <c r="C66" s="1">
        <v>3</v>
      </c>
      <c r="D66" s="1">
        <v>2</v>
      </c>
      <c r="E66" s="1">
        <v>999.99</v>
      </c>
      <c r="F66" s="1">
        <v>0.1</v>
      </c>
      <c r="G66">
        <f t="shared" si="0"/>
        <v>1999.88</v>
      </c>
      <c r="H66" t="str">
        <f>VLOOKUP(C66,[1]products!$A:$B,2,FALSE)</f>
        <v>Surly Wednesday Frameset - 2016</v>
      </c>
      <c r="I66">
        <f>VLOOKUP(C66,[1]products!$A:$D,4,FALSE)</f>
        <v>6</v>
      </c>
      <c r="J66" t="str">
        <f>VLOOKUP(I66,[2]categories!$A$1:$B$8,2,FALSE)</f>
        <v>Mountain Bikes</v>
      </c>
    </row>
    <row r="67" customHeight="1" spans="1:10">
      <c r="A67" s="1">
        <v>24</v>
      </c>
      <c r="B67" s="1">
        <v>2</v>
      </c>
      <c r="C67" s="1">
        <v>18</v>
      </c>
      <c r="D67" s="1">
        <v>2</v>
      </c>
      <c r="E67" s="1">
        <v>449</v>
      </c>
      <c r="F67" s="1">
        <v>0.07</v>
      </c>
      <c r="G67">
        <f t="shared" ref="G67:G130" si="1">(E67*D67)-F67</f>
        <v>897.93</v>
      </c>
      <c r="H67" t="str">
        <f>VLOOKUP(C67,[1]products!$A:$B,2,FALSE)</f>
        <v>Pure Cycles Western 3-Speed - Women's - 2015/2016</v>
      </c>
      <c r="I67">
        <f>VLOOKUP(C67,[1]products!$A:$D,4,FALSE)</f>
        <v>3</v>
      </c>
      <c r="J67" t="str">
        <f>VLOOKUP(I67,[2]categories!$A$1:$B$8,2,FALSE)</f>
        <v>Cruisers Bicycles</v>
      </c>
    </row>
    <row r="68" customHeight="1" spans="1:10">
      <c r="A68" s="1">
        <v>25</v>
      </c>
      <c r="B68" s="1">
        <v>1</v>
      </c>
      <c r="C68" s="1">
        <v>23</v>
      </c>
      <c r="D68" s="1">
        <v>2</v>
      </c>
      <c r="E68" s="1">
        <v>299.99</v>
      </c>
      <c r="F68" s="1">
        <v>0.2</v>
      </c>
      <c r="G68">
        <f t="shared" si="1"/>
        <v>599.78</v>
      </c>
      <c r="H68" t="str">
        <f>VLOOKUP(C68,[1]products!$A:$B,2,FALSE)</f>
        <v>Electra Girl's Hawaii 1 (20-inch) - 2015/2016</v>
      </c>
      <c r="I68">
        <f>VLOOKUP(C68,[1]products!$A:$D,4,FALSE)</f>
        <v>1</v>
      </c>
      <c r="J68" t="str">
        <f>VLOOKUP(I68,[2]categories!$A$1:$B$8,2,FALSE)</f>
        <v>Children Bicycles</v>
      </c>
    </row>
    <row r="69" customHeight="1" spans="1:10">
      <c r="A69" s="1">
        <v>25</v>
      </c>
      <c r="B69" s="1">
        <v>2</v>
      </c>
      <c r="C69" s="1">
        <v>10</v>
      </c>
      <c r="D69" s="1">
        <v>2</v>
      </c>
      <c r="E69" s="1">
        <v>1549</v>
      </c>
      <c r="F69" s="1">
        <v>0.2</v>
      </c>
      <c r="G69">
        <f t="shared" si="1"/>
        <v>3097.8</v>
      </c>
      <c r="H69" t="str">
        <f>VLOOKUP(C69,[1]products!$A:$B,2,FALSE)</f>
        <v>Surly Straggler - 2016</v>
      </c>
      <c r="I69">
        <f>VLOOKUP(C69,[1]products!$A:$D,4,FALSE)</f>
        <v>4</v>
      </c>
      <c r="J69" t="str">
        <f>VLOOKUP(I69,[2]categories!$A$1:$B$8,2,FALSE)</f>
        <v>Cyclocross Bicycles</v>
      </c>
    </row>
    <row r="70" customHeight="1" spans="1:10">
      <c r="A70" s="1">
        <v>25</v>
      </c>
      <c r="B70" s="1">
        <v>3</v>
      </c>
      <c r="C70" s="1">
        <v>22</v>
      </c>
      <c r="D70" s="1">
        <v>1</v>
      </c>
      <c r="E70" s="1">
        <v>269.99</v>
      </c>
      <c r="F70" s="1">
        <v>0.2</v>
      </c>
      <c r="G70">
        <f t="shared" si="1"/>
        <v>269.79</v>
      </c>
      <c r="H70" t="str">
        <f>VLOOKUP(C70,[1]products!$A:$B,2,FALSE)</f>
        <v>Electra Girl's Hawaii 1 (16-inch) - 2015/2016</v>
      </c>
      <c r="I70">
        <f>VLOOKUP(C70,[1]products!$A:$D,4,FALSE)</f>
        <v>1</v>
      </c>
      <c r="J70" t="str">
        <f>VLOOKUP(I70,[2]categories!$A$1:$B$8,2,FALSE)</f>
        <v>Children Bicycles</v>
      </c>
    </row>
    <row r="71" customHeight="1" spans="1:10">
      <c r="A71" s="1">
        <v>25</v>
      </c>
      <c r="B71" s="1">
        <v>4</v>
      </c>
      <c r="C71" s="1">
        <v>14</v>
      </c>
      <c r="D71" s="1">
        <v>1</v>
      </c>
      <c r="E71" s="1">
        <v>269.99</v>
      </c>
      <c r="F71" s="1">
        <v>0.2</v>
      </c>
      <c r="G71">
        <f t="shared" si="1"/>
        <v>269.79</v>
      </c>
      <c r="H71" t="str">
        <f>VLOOKUP(C71,[1]products!$A:$B,2,FALSE)</f>
        <v>Electra Girl's Hawaii 1 (16-inch) - 2015/2016</v>
      </c>
      <c r="I71">
        <f>VLOOKUP(C71,[1]products!$A:$D,4,FALSE)</f>
        <v>3</v>
      </c>
      <c r="J71" t="str">
        <f>VLOOKUP(I71,[2]categories!$A$1:$B$8,2,FALSE)</f>
        <v>Cruisers Bicycles</v>
      </c>
    </row>
    <row r="72" customHeight="1" spans="1:10">
      <c r="A72" s="1">
        <v>25</v>
      </c>
      <c r="B72" s="1">
        <v>5</v>
      </c>
      <c r="C72" s="1">
        <v>21</v>
      </c>
      <c r="D72" s="1">
        <v>1</v>
      </c>
      <c r="E72" s="1">
        <v>269.99</v>
      </c>
      <c r="F72" s="1">
        <v>0.1</v>
      </c>
      <c r="G72">
        <f t="shared" si="1"/>
        <v>269.89</v>
      </c>
      <c r="H72" t="str">
        <f>VLOOKUP(C72,[1]products!$A:$B,2,FALSE)</f>
        <v>Electra Cruiser 1 (24-Inch) - 2016</v>
      </c>
      <c r="I72">
        <f>VLOOKUP(C72,[1]products!$A:$D,4,FALSE)</f>
        <v>1</v>
      </c>
      <c r="J72" t="str">
        <f>VLOOKUP(I72,[2]categories!$A$1:$B$8,2,FALSE)</f>
        <v>Children Bicycles</v>
      </c>
    </row>
    <row r="73" customHeight="1" spans="1:10">
      <c r="A73" s="1">
        <v>26</v>
      </c>
      <c r="B73" s="1">
        <v>1</v>
      </c>
      <c r="C73" s="1">
        <v>7</v>
      </c>
      <c r="D73" s="1">
        <v>1</v>
      </c>
      <c r="E73" s="1">
        <v>3999.99</v>
      </c>
      <c r="F73" s="1">
        <v>0.05</v>
      </c>
      <c r="G73">
        <f t="shared" si="1"/>
        <v>3999.94</v>
      </c>
      <c r="H73" t="str">
        <f>VLOOKUP(C73,[1]products!$A:$B,2,FALSE)</f>
        <v>Trek Slash 8 27.5 - 2016</v>
      </c>
      <c r="I73">
        <f>VLOOKUP(C73,[1]products!$A:$D,4,FALSE)</f>
        <v>6</v>
      </c>
      <c r="J73" t="str">
        <f>VLOOKUP(I73,[2]categories!$A$1:$B$8,2,FALSE)</f>
        <v>Mountain Bikes</v>
      </c>
    </row>
    <row r="74" customHeight="1" spans="1:10">
      <c r="A74" s="1">
        <v>26</v>
      </c>
      <c r="B74" s="1">
        <v>2</v>
      </c>
      <c r="C74" s="1">
        <v>2</v>
      </c>
      <c r="D74" s="1">
        <v>1</v>
      </c>
      <c r="E74" s="1">
        <v>749.99</v>
      </c>
      <c r="F74" s="1">
        <v>0.2</v>
      </c>
      <c r="G74">
        <f t="shared" si="1"/>
        <v>749.79</v>
      </c>
      <c r="H74" t="str">
        <f>VLOOKUP(C74,[1]products!$A:$B,2,FALSE)</f>
        <v>Ritchey Timberwolf Frameset - 2016</v>
      </c>
      <c r="I74">
        <f>VLOOKUP(C74,[1]products!$A:$D,4,FALSE)</f>
        <v>6</v>
      </c>
      <c r="J74" t="str">
        <f>VLOOKUP(I74,[2]categories!$A$1:$B$8,2,FALSE)</f>
        <v>Mountain Bikes</v>
      </c>
    </row>
    <row r="75" customHeight="1" spans="1:10">
      <c r="A75" s="1">
        <v>26</v>
      </c>
      <c r="B75" s="1">
        <v>3</v>
      </c>
      <c r="C75" s="1">
        <v>12</v>
      </c>
      <c r="D75" s="1">
        <v>1</v>
      </c>
      <c r="E75" s="1">
        <v>549.99</v>
      </c>
      <c r="F75" s="1">
        <v>0.2</v>
      </c>
      <c r="G75">
        <f t="shared" si="1"/>
        <v>549.79</v>
      </c>
      <c r="H75" t="str">
        <f>VLOOKUP(C75,[1]products!$A:$B,2,FALSE)</f>
        <v>Electra Townie Original 21D - 2016</v>
      </c>
      <c r="I75">
        <f>VLOOKUP(C75,[1]products!$A:$D,4,FALSE)</f>
        <v>3</v>
      </c>
      <c r="J75" t="str">
        <f>VLOOKUP(I75,[2]categories!$A$1:$B$8,2,FALSE)</f>
        <v>Cruisers Bicycles</v>
      </c>
    </row>
    <row r="76" customHeight="1" spans="1:10">
      <c r="A76" s="1">
        <v>26</v>
      </c>
      <c r="B76" s="1">
        <v>4</v>
      </c>
      <c r="C76" s="1">
        <v>21</v>
      </c>
      <c r="D76" s="1">
        <v>2</v>
      </c>
      <c r="E76" s="1">
        <v>269.99</v>
      </c>
      <c r="F76" s="1">
        <v>0.07</v>
      </c>
      <c r="G76">
        <f t="shared" si="1"/>
        <v>539.91</v>
      </c>
      <c r="H76" t="str">
        <f>VLOOKUP(C76,[1]products!$A:$B,2,FALSE)</f>
        <v>Electra Cruiser 1 (24-Inch) - 2016</v>
      </c>
      <c r="I76">
        <f>VLOOKUP(C76,[1]products!$A:$D,4,FALSE)</f>
        <v>1</v>
      </c>
      <c r="J76" t="str">
        <f>VLOOKUP(I76,[2]categories!$A$1:$B$8,2,FALSE)</f>
        <v>Children Bicycles</v>
      </c>
    </row>
    <row r="77" customHeight="1" spans="1:10">
      <c r="A77" s="1">
        <v>27</v>
      </c>
      <c r="B77" s="1">
        <v>1</v>
      </c>
      <c r="C77" s="1">
        <v>5</v>
      </c>
      <c r="D77" s="1">
        <v>1</v>
      </c>
      <c r="E77" s="1">
        <v>1320.99</v>
      </c>
      <c r="F77" s="1">
        <v>0.2</v>
      </c>
      <c r="G77">
        <f t="shared" si="1"/>
        <v>1320.79</v>
      </c>
      <c r="H77" t="str">
        <f>VLOOKUP(C77,[1]products!$A:$B,2,FALSE)</f>
        <v>Heller Shagamaw Frame - 2016</v>
      </c>
      <c r="I77">
        <f>VLOOKUP(C77,[1]products!$A:$D,4,FALSE)</f>
        <v>6</v>
      </c>
      <c r="J77" t="str">
        <f>VLOOKUP(I77,[2]categories!$A$1:$B$8,2,FALSE)</f>
        <v>Mountain Bikes</v>
      </c>
    </row>
    <row r="78" customHeight="1" spans="1:10">
      <c r="A78" s="1">
        <v>27</v>
      </c>
      <c r="B78" s="1">
        <v>2</v>
      </c>
      <c r="C78" s="1">
        <v>19</v>
      </c>
      <c r="D78" s="1">
        <v>1</v>
      </c>
      <c r="E78" s="1">
        <v>449</v>
      </c>
      <c r="F78" s="1">
        <v>0.2</v>
      </c>
      <c r="G78">
        <f t="shared" si="1"/>
        <v>448.8</v>
      </c>
      <c r="H78" t="str">
        <f>VLOOKUP(C78,[1]products!$A:$B,2,FALSE)</f>
        <v>Pure Cycles William 3-Speed - 2016</v>
      </c>
      <c r="I78">
        <f>VLOOKUP(C78,[1]products!$A:$D,4,FALSE)</f>
        <v>3</v>
      </c>
      <c r="J78" t="str">
        <f>VLOOKUP(I78,[2]categories!$A$1:$B$8,2,FALSE)</f>
        <v>Cruisers Bicycles</v>
      </c>
    </row>
    <row r="79" customHeight="1" spans="1:10">
      <c r="A79" s="1">
        <v>27</v>
      </c>
      <c r="B79" s="1">
        <v>3</v>
      </c>
      <c r="C79" s="1">
        <v>26</v>
      </c>
      <c r="D79" s="1">
        <v>2</v>
      </c>
      <c r="E79" s="1">
        <v>599.99</v>
      </c>
      <c r="F79" s="1">
        <v>0.07</v>
      </c>
      <c r="G79">
        <f t="shared" si="1"/>
        <v>1199.91</v>
      </c>
      <c r="H79" t="str">
        <f>VLOOKUP(C79,[1]products!$A:$B,2,FALSE)</f>
        <v>Electra Townie Original 7D EQ - 2016</v>
      </c>
      <c r="I79">
        <f>VLOOKUP(C79,[1]products!$A:$D,4,FALSE)</f>
        <v>2</v>
      </c>
      <c r="J79" t="str">
        <f>VLOOKUP(I79,[2]categories!$A$1:$B$8,2,FALSE)</f>
        <v>Comfort Bicycles</v>
      </c>
    </row>
    <row r="80" customHeight="1" spans="1:10">
      <c r="A80" s="1">
        <v>27</v>
      </c>
      <c r="B80" s="1">
        <v>4</v>
      </c>
      <c r="C80" s="1">
        <v>8</v>
      </c>
      <c r="D80" s="1">
        <v>1</v>
      </c>
      <c r="E80" s="1">
        <v>1799.99</v>
      </c>
      <c r="F80" s="1">
        <v>0.07</v>
      </c>
      <c r="G80">
        <f t="shared" si="1"/>
        <v>1799.92</v>
      </c>
      <c r="H80" t="str">
        <f>VLOOKUP(C80,[1]products!$A:$B,2,FALSE)</f>
        <v>Trek Remedy 29 Carbon Frameset - 2016</v>
      </c>
      <c r="I80">
        <f>VLOOKUP(C80,[1]products!$A:$D,4,FALSE)</f>
        <v>6</v>
      </c>
      <c r="J80" t="str">
        <f>VLOOKUP(I80,[2]categories!$A$1:$B$8,2,FALSE)</f>
        <v>Mountain Bikes</v>
      </c>
    </row>
    <row r="81" customHeight="1" spans="1:10">
      <c r="A81" s="1">
        <v>28</v>
      </c>
      <c r="B81" s="1">
        <v>1</v>
      </c>
      <c r="C81" s="1">
        <v>5</v>
      </c>
      <c r="D81" s="1">
        <v>1</v>
      </c>
      <c r="E81" s="1">
        <v>1320.99</v>
      </c>
      <c r="F81" s="1">
        <v>0.05</v>
      </c>
      <c r="G81">
        <f t="shared" si="1"/>
        <v>1320.94</v>
      </c>
      <c r="H81" t="str">
        <f>VLOOKUP(C81,[1]products!$A:$B,2,FALSE)</f>
        <v>Heller Shagamaw Frame - 2016</v>
      </c>
      <c r="I81">
        <f>VLOOKUP(C81,[1]products!$A:$D,4,FALSE)</f>
        <v>6</v>
      </c>
      <c r="J81" t="str">
        <f>VLOOKUP(I81,[2]categories!$A$1:$B$8,2,FALSE)</f>
        <v>Mountain Bikes</v>
      </c>
    </row>
    <row r="82" customHeight="1" spans="1:10">
      <c r="A82" s="1">
        <v>28</v>
      </c>
      <c r="B82" s="1">
        <v>2</v>
      </c>
      <c r="C82" s="1">
        <v>7</v>
      </c>
      <c r="D82" s="1">
        <v>2</v>
      </c>
      <c r="E82" s="1">
        <v>3999.99</v>
      </c>
      <c r="F82" s="1">
        <v>0.2</v>
      </c>
      <c r="G82">
        <f t="shared" si="1"/>
        <v>7999.78</v>
      </c>
      <c r="H82" t="str">
        <f>VLOOKUP(C82,[1]products!$A:$B,2,FALSE)</f>
        <v>Trek Slash 8 27.5 - 2016</v>
      </c>
      <c r="I82">
        <f>VLOOKUP(C82,[1]products!$A:$D,4,FALSE)</f>
        <v>6</v>
      </c>
      <c r="J82" t="str">
        <f>VLOOKUP(I82,[2]categories!$A$1:$B$8,2,FALSE)</f>
        <v>Mountain Bikes</v>
      </c>
    </row>
    <row r="83" customHeight="1" spans="1:10">
      <c r="A83" s="1">
        <v>28</v>
      </c>
      <c r="B83" s="1">
        <v>3</v>
      </c>
      <c r="C83" s="1">
        <v>14</v>
      </c>
      <c r="D83" s="1">
        <v>2</v>
      </c>
      <c r="E83" s="1">
        <v>269.99</v>
      </c>
      <c r="F83" s="1">
        <v>0.1</v>
      </c>
      <c r="G83">
        <f t="shared" si="1"/>
        <v>539.88</v>
      </c>
      <c r="H83" t="str">
        <f>VLOOKUP(C83,[1]products!$A:$B,2,FALSE)</f>
        <v>Electra Girl's Hawaii 1 (16-inch) - 2015/2016</v>
      </c>
      <c r="I83">
        <f>VLOOKUP(C83,[1]products!$A:$D,4,FALSE)</f>
        <v>3</v>
      </c>
      <c r="J83" t="str">
        <f>VLOOKUP(I83,[2]categories!$A$1:$B$8,2,FALSE)</f>
        <v>Cruisers Bicycles</v>
      </c>
    </row>
    <row r="84" customHeight="1" spans="1:10">
      <c r="A84" s="1">
        <v>28</v>
      </c>
      <c r="B84" s="1">
        <v>4</v>
      </c>
      <c r="C84" s="1">
        <v>6</v>
      </c>
      <c r="D84" s="1">
        <v>1</v>
      </c>
      <c r="E84" s="1">
        <v>469.99</v>
      </c>
      <c r="F84" s="1">
        <v>0.05</v>
      </c>
      <c r="G84">
        <f t="shared" si="1"/>
        <v>469.94</v>
      </c>
      <c r="H84" t="str">
        <f>VLOOKUP(C84,[1]products!$A:$B,2,FALSE)</f>
        <v>Surly Ice Cream Truck Frameset - 2016</v>
      </c>
      <c r="I84">
        <f>VLOOKUP(C84,[1]products!$A:$D,4,FALSE)</f>
        <v>6</v>
      </c>
      <c r="J84" t="str">
        <f>VLOOKUP(I84,[2]categories!$A$1:$B$8,2,FALSE)</f>
        <v>Mountain Bikes</v>
      </c>
    </row>
    <row r="85" customHeight="1" spans="1:10">
      <c r="A85" s="1">
        <v>29</v>
      </c>
      <c r="B85" s="1">
        <v>1</v>
      </c>
      <c r="C85" s="1">
        <v>24</v>
      </c>
      <c r="D85" s="1">
        <v>2</v>
      </c>
      <c r="E85" s="1">
        <v>549.99</v>
      </c>
      <c r="F85" s="1">
        <v>0.05</v>
      </c>
      <c r="G85">
        <f t="shared" si="1"/>
        <v>1099.93</v>
      </c>
      <c r="H85" t="str">
        <f>VLOOKUP(C85,[1]products!$A:$B,2,FALSE)</f>
        <v>Electra Townie Original 21D - 2016</v>
      </c>
      <c r="I85">
        <f>VLOOKUP(C85,[1]products!$A:$D,4,FALSE)</f>
        <v>2</v>
      </c>
      <c r="J85" t="str">
        <f>VLOOKUP(I85,[2]categories!$A$1:$B$8,2,FALSE)</f>
        <v>Comfort Bicycles</v>
      </c>
    </row>
    <row r="86" customHeight="1" spans="1:10">
      <c r="A86" s="1">
        <v>29</v>
      </c>
      <c r="B86" s="1">
        <v>2</v>
      </c>
      <c r="C86" s="1">
        <v>6</v>
      </c>
      <c r="D86" s="1">
        <v>1</v>
      </c>
      <c r="E86" s="1">
        <v>469.99</v>
      </c>
      <c r="F86" s="1">
        <v>0.2</v>
      </c>
      <c r="G86">
        <f t="shared" si="1"/>
        <v>469.79</v>
      </c>
      <c r="H86" t="str">
        <f>VLOOKUP(C86,[1]products!$A:$B,2,FALSE)</f>
        <v>Surly Ice Cream Truck Frameset - 2016</v>
      </c>
      <c r="I86">
        <f>VLOOKUP(C86,[1]products!$A:$D,4,FALSE)</f>
        <v>6</v>
      </c>
      <c r="J86" t="str">
        <f>VLOOKUP(I86,[2]categories!$A$1:$B$8,2,FALSE)</f>
        <v>Mountain Bikes</v>
      </c>
    </row>
    <row r="87" customHeight="1" spans="1:10">
      <c r="A87" s="1">
        <v>29</v>
      </c>
      <c r="B87" s="1">
        <v>3</v>
      </c>
      <c r="C87" s="1">
        <v>21</v>
      </c>
      <c r="D87" s="1">
        <v>2</v>
      </c>
      <c r="E87" s="1">
        <v>269.99</v>
      </c>
      <c r="F87" s="1">
        <v>0.1</v>
      </c>
      <c r="G87">
        <f t="shared" si="1"/>
        <v>539.88</v>
      </c>
      <c r="H87" t="str">
        <f>VLOOKUP(C87,[1]products!$A:$B,2,FALSE)</f>
        <v>Electra Cruiser 1 (24-Inch) - 2016</v>
      </c>
      <c r="I87">
        <f>VLOOKUP(C87,[1]products!$A:$D,4,FALSE)</f>
        <v>1</v>
      </c>
      <c r="J87" t="str">
        <f>VLOOKUP(I87,[2]categories!$A$1:$B$8,2,FALSE)</f>
        <v>Children Bicycles</v>
      </c>
    </row>
    <row r="88" customHeight="1" spans="1:10">
      <c r="A88" s="1">
        <v>29</v>
      </c>
      <c r="B88" s="1">
        <v>4</v>
      </c>
      <c r="C88" s="1">
        <v>8</v>
      </c>
      <c r="D88" s="1">
        <v>1</v>
      </c>
      <c r="E88" s="1">
        <v>1799.99</v>
      </c>
      <c r="F88" s="1">
        <v>0.2</v>
      </c>
      <c r="G88">
        <f t="shared" si="1"/>
        <v>1799.79</v>
      </c>
      <c r="H88" t="str">
        <f>VLOOKUP(C88,[1]products!$A:$B,2,FALSE)</f>
        <v>Trek Remedy 29 Carbon Frameset - 2016</v>
      </c>
      <c r="I88">
        <f>VLOOKUP(C88,[1]products!$A:$D,4,FALSE)</f>
        <v>6</v>
      </c>
      <c r="J88" t="str">
        <f>VLOOKUP(I88,[2]categories!$A$1:$B$8,2,FALSE)</f>
        <v>Mountain Bikes</v>
      </c>
    </row>
    <row r="89" customHeight="1" spans="1:10">
      <c r="A89" s="1">
        <v>29</v>
      </c>
      <c r="B89" s="1">
        <v>5</v>
      </c>
      <c r="C89" s="1">
        <v>14</v>
      </c>
      <c r="D89" s="1">
        <v>2</v>
      </c>
      <c r="E89" s="1">
        <v>269.99</v>
      </c>
      <c r="F89" s="1">
        <v>0.05</v>
      </c>
      <c r="G89">
        <f t="shared" si="1"/>
        <v>539.93</v>
      </c>
      <c r="H89" t="str">
        <f>VLOOKUP(C89,[1]products!$A:$B,2,FALSE)</f>
        <v>Electra Girl's Hawaii 1 (16-inch) - 2015/2016</v>
      </c>
      <c r="I89">
        <f>VLOOKUP(C89,[1]products!$A:$D,4,FALSE)</f>
        <v>3</v>
      </c>
      <c r="J89" t="str">
        <f>VLOOKUP(I89,[2]categories!$A$1:$B$8,2,FALSE)</f>
        <v>Cruisers Bicycles</v>
      </c>
    </row>
    <row r="90" customHeight="1" spans="1:10">
      <c r="A90" s="1">
        <v>30</v>
      </c>
      <c r="B90" s="1">
        <v>1</v>
      </c>
      <c r="C90" s="1">
        <v>26</v>
      </c>
      <c r="D90" s="1">
        <v>1</v>
      </c>
      <c r="E90" s="1">
        <v>599.99</v>
      </c>
      <c r="F90" s="1">
        <v>0.05</v>
      </c>
      <c r="G90">
        <f t="shared" si="1"/>
        <v>599.94</v>
      </c>
      <c r="H90" t="str">
        <f>VLOOKUP(C90,[1]products!$A:$B,2,FALSE)</f>
        <v>Electra Townie Original 7D EQ - 2016</v>
      </c>
      <c r="I90">
        <f>VLOOKUP(C90,[1]products!$A:$D,4,FALSE)</f>
        <v>2</v>
      </c>
      <c r="J90" t="str">
        <f>VLOOKUP(I90,[2]categories!$A$1:$B$8,2,FALSE)</f>
        <v>Comfort Bicycles</v>
      </c>
    </row>
    <row r="91" customHeight="1" spans="1:10">
      <c r="A91" s="1">
        <v>30</v>
      </c>
      <c r="B91" s="1">
        <v>2</v>
      </c>
      <c r="C91" s="1">
        <v>17</v>
      </c>
      <c r="D91" s="1">
        <v>1</v>
      </c>
      <c r="E91" s="1">
        <v>429</v>
      </c>
      <c r="F91" s="1">
        <v>0.07</v>
      </c>
      <c r="G91">
        <f t="shared" si="1"/>
        <v>428.93</v>
      </c>
      <c r="H91" t="str">
        <f>VLOOKUP(C91,[1]products!$A:$B,2,FALSE)</f>
        <v>Pure Cycles Vine 8-Speed - 2016</v>
      </c>
      <c r="I91">
        <f>VLOOKUP(C91,[1]products!$A:$D,4,FALSE)</f>
        <v>3</v>
      </c>
      <c r="J91" t="str">
        <f>VLOOKUP(I91,[2]categories!$A$1:$B$8,2,FALSE)</f>
        <v>Cruisers Bicycles</v>
      </c>
    </row>
    <row r="92" customHeight="1" spans="1:10">
      <c r="A92" s="1">
        <v>30</v>
      </c>
      <c r="B92" s="1">
        <v>3</v>
      </c>
      <c r="C92" s="1">
        <v>19</v>
      </c>
      <c r="D92" s="1">
        <v>1</v>
      </c>
      <c r="E92" s="1">
        <v>449</v>
      </c>
      <c r="F92" s="1">
        <v>0.1</v>
      </c>
      <c r="G92">
        <f t="shared" si="1"/>
        <v>448.9</v>
      </c>
      <c r="H92" t="str">
        <f>VLOOKUP(C92,[1]products!$A:$B,2,FALSE)</f>
        <v>Pure Cycles William 3-Speed - 2016</v>
      </c>
      <c r="I92">
        <f>VLOOKUP(C92,[1]products!$A:$D,4,FALSE)</f>
        <v>3</v>
      </c>
      <c r="J92" t="str">
        <f>VLOOKUP(I92,[2]categories!$A$1:$B$8,2,FALSE)</f>
        <v>Cruisers Bicycles</v>
      </c>
    </row>
    <row r="93" customHeight="1" spans="1:10">
      <c r="A93" s="1">
        <v>30</v>
      </c>
      <c r="B93" s="1">
        <v>4</v>
      </c>
      <c r="C93" s="1">
        <v>4</v>
      </c>
      <c r="D93" s="1">
        <v>1</v>
      </c>
      <c r="E93" s="1">
        <v>2899.99</v>
      </c>
      <c r="F93" s="1">
        <v>0.1</v>
      </c>
      <c r="G93">
        <f t="shared" si="1"/>
        <v>2899.89</v>
      </c>
      <c r="H93" t="str">
        <f>VLOOKUP(C93,[1]products!$A:$B,2,FALSE)</f>
        <v>Trek Fuel EX 8 29 - 2016</v>
      </c>
      <c r="I93">
        <f>VLOOKUP(C93,[1]products!$A:$D,4,FALSE)</f>
        <v>6</v>
      </c>
      <c r="J93" t="str">
        <f>VLOOKUP(I93,[2]categories!$A$1:$B$8,2,FALSE)</f>
        <v>Mountain Bikes</v>
      </c>
    </row>
    <row r="94" customHeight="1" spans="1:10">
      <c r="A94" s="1">
        <v>30</v>
      </c>
      <c r="B94" s="1">
        <v>5</v>
      </c>
      <c r="C94" s="1">
        <v>7</v>
      </c>
      <c r="D94" s="1">
        <v>2</v>
      </c>
      <c r="E94" s="1">
        <v>3999.99</v>
      </c>
      <c r="F94" s="1">
        <v>0.1</v>
      </c>
      <c r="G94">
        <f t="shared" si="1"/>
        <v>7999.88</v>
      </c>
      <c r="H94" t="str">
        <f>VLOOKUP(C94,[1]products!$A:$B,2,FALSE)</f>
        <v>Trek Slash 8 27.5 - 2016</v>
      </c>
      <c r="I94">
        <f>VLOOKUP(C94,[1]products!$A:$D,4,FALSE)</f>
        <v>6</v>
      </c>
      <c r="J94" t="str">
        <f>VLOOKUP(I94,[2]categories!$A$1:$B$8,2,FALSE)</f>
        <v>Mountain Bikes</v>
      </c>
    </row>
    <row r="95" customHeight="1" spans="1:10">
      <c r="A95" s="1">
        <v>31</v>
      </c>
      <c r="B95" s="1">
        <v>1</v>
      </c>
      <c r="C95" s="1">
        <v>11</v>
      </c>
      <c r="D95" s="1">
        <v>2</v>
      </c>
      <c r="E95" s="1">
        <v>1680.99</v>
      </c>
      <c r="F95" s="1">
        <v>0.05</v>
      </c>
      <c r="G95">
        <f t="shared" si="1"/>
        <v>3361.93</v>
      </c>
      <c r="H95" t="str">
        <f>VLOOKUP(C95,[1]products!$A:$B,2,FALSE)</f>
        <v>Surly Straggler 650b - 2016</v>
      </c>
      <c r="I95">
        <f>VLOOKUP(C95,[1]products!$A:$D,4,FALSE)</f>
        <v>4</v>
      </c>
      <c r="J95" t="str">
        <f>VLOOKUP(I95,[2]categories!$A$1:$B$8,2,FALSE)</f>
        <v>Cyclocross Bicycles</v>
      </c>
    </row>
    <row r="96" customHeight="1" spans="1:10">
      <c r="A96" s="1">
        <v>31</v>
      </c>
      <c r="B96" s="1">
        <v>2</v>
      </c>
      <c r="C96" s="1">
        <v>9</v>
      </c>
      <c r="D96" s="1">
        <v>2</v>
      </c>
      <c r="E96" s="1">
        <v>2999.99</v>
      </c>
      <c r="F96" s="1">
        <v>0.2</v>
      </c>
      <c r="G96">
        <f t="shared" si="1"/>
        <v>5999.78</v>
      </c>
      <c r="H96" t="str">
        <f>VLOOKUP(C96,[1]products!$A:$B,2,FALSE)</f>
        <v>Trek Conduit+ - 2016</v>
      </c>
      <c r="I96">
        <f>VLOOKUP(C96,[1]products!$A:$D,4,FALSE)</f>
        <v>5</v>
      </c>
      <c r="J96" t="str">
        <f>VLOOKUP(I96,[2]categories!$A$1:$B$8,2,FALSE)</f>
        <v>Electric Bikes</v>
      </c>
    </row>
    <row r="97" customHeight="1" spans="1:10">
      <c r="A97" s="1">
        <v>32</v>
      </c>
      <c r="B97" s="1">
        <v>1</v>
      </c>
      <c r="C97" s="1">
        <v>8</v>
      </c>
      <c r="D97" s="1">
        <v>2</v>
      </c>
      <c r="E97" s="1">
        <v>1799.99</v>
      </c>
      <c r="F97" s="1">
        <v>0.07</v>
      </c>
      <c r="G97">
        <f t="shared" si="1"/>
        <v>3599.91</v>
      </c>
      <c r="H97" t="str">
        <f>VLOOKUP(C97,[1]products!$A:$B,2,FALSE)</f>
        <v>Trek Remedy 29 Carbon Frameset - 2016</v>
      </c>
      <c r="I97">
        <f>VLOOKUP(C97,[1]products!$A:$D,4,FALSE)</f>
        <v>6</v>
      </c>
      <c r="J97" t="str">
        <f>VLOOKUP(I97,[2]categories!$A$1:$B$8,2,FALSE)</f>
        <v>Mountain Bikes</v>
      </c>
    </row>
    <row r="98" customHeight="1" spans="1:10">
      <c r="A98" s="1">
        <v>32</v>
      </c>
      <c r="B98" s="1">
        <v>2</v>
      </c>
      <c r="C98" s="1">
        <v>12</v>
      </c>
      <c r="D98" s="1">
        <v>2</v>
      </c>
      <c r="E98" s="1">
        <v>549.99</v>
      </c>
      <c r="F98" s="1">
        <v>0.07</v>
      </c>
      <c r="G98">
        <f t="shared" si="1"/>
        <v>1099.91</v>
      </c>
      <c r="H98" t="str">
        <f>VLOOKUP(C98,[1]products!$A:$B,2,FALSE)</f>
        <v>Electra Townie Original 21D - 2016</v>
      </c>
      <c r="I98">
        <f>VLOOKUP(C98,[1]products!$A:$D,4,FALSE)</f>
        <v>3</v>
      </c>
      <c r="J98" t="str">
        <f>VLOOKUP(I98,[2]categories!$A$1:$B$8,2,FALSE)</f>
        <v>Cruisers Bicycles</v>
      </c>
    </row>
    <row r="99" customHeight="1" spans="1:10">
      <c r="A99" s="1">
        <v>32</v>
      </c>
      <c r="B99" s="1">
        <v>3</v>
      </c>
      <c r="C99" s="1">
        <v>25</v>
      </c>
      <c r="D99" s="1">
        <v>2</v>
      </c>
      <c r="E99" s="1">
        <v>499.99</v>
      </c>
      <c r="F99" s="1">
        <v>0.1</v>
      </c>
      <c r="G99">
        <f t="shared" si="1"/>
        <v>999.88</v>
      </c>
      <c r="H99" t="str">
        <f>VLOOKUP(C99,[1]products!$A:$B,2,FALSE)</f>
        <v>Electra Townie Original 7D - 2015/2016</v>
      </c>
      <c r="I99">
        <f>VLOOKUP(C99,[1]products!$A:$D,4,FALSE)</f>
        <v>2</v>
      </c>
      <c r="J99" t="str">
        <f>VLOOKUP(I99,[2]categories!$A$1:$B$8,2,FALSE)</f>
        <v>Comfort Bicycles</v>
      </c>
    </row>
    <row r="100" customHeight="1" spans="1:10">
      <c r="A100" s="1">
        <v>33</v>
      </c>
      <c r="B100" s="1">
        <v>1</v>
      </c>
      <c r="C100" s="1">
        <v>23</v>
      </c>
      <c r="D100" s="1">
        <v>2</v>
      </c>
      <c r="E100" s="1">
        <v>299.99</v>
      </c>
      <c r="F100" s="1">
        <v>0.07</v>
      </c>
      <c r="G100">
        <f t="shared" si="1"/>
        <v>599.91</v>
      </c>
      <c r="H100" t="str">
        <f>VLOOKUP(C100,[1]products!$A:$B,2,FALSE)</f>
        <v>Electra Girl's Hawaii 1 (20-inch) - 2015/2016</v>
      </c>
      <c r="I100">
        <f>VLOOKUP(C100,[1]products!$A:$D,4,FALSE)</f>
        <v>1</v>
      </c>
      <c r="J100" t="str">
        <f>VLOOKUP(I100,[2]categories!$A$1:$B$8,2,FALSE)</f>
        <v>Children Bicycles</v>
      </c>
    </row>
    <row r="101" customHeight="1" spans="1:10">
      <c r="A101" s="1">
        <v>33</v>
      </c>
      <c r="B101" s="1">
        <v>2</v>
      </c>
      <c r="C101" s="1">
        <v>7</v>
      </c>
      <c r="D101" s="1">
        <v>1</v>
      </c>
      <c r="E101" s="1">
        <v>3999.99</v>
      </c>
      <c r="F101" s="1">
        <v>0.1</v>
      </c>
      <c r="G101">
        <f t="shared" si="1"/>
        <v>3999.89</v>
      </c>
      <c r="H101" t="str">
        <f>VLOOKUP(C101,[1]products!$A:$B,2,FALSE)</f>
        <v>Trek Slash 8 27.5 - 2016</v>
      </c>
      <c r="I101">
        <f>VLOOKUP(C101,[1]products!$A:$D,4,FALSE)</f>
        <v>6</v>
      </c>
      <c r="J101" t="str">
        <f>VLOOKUP(I101,[2]categories!$A$1:$B$8,2,FALSE)</f>
        <v>Mountain Bikes</v>
      </c>
    </row>
    <row r="102" customHeight="1" spans="1:10">
      <c r="A102" s="1">
        <v>34</v>
      </c>
      <c r="B102" s="1">
        <v>1</v>
      </c>
      <c r="C102" s="1">
        <v>8</v>
      </c>
      <c r="D102" s="1">
        <v>2</v>
      </c>
      <c r="E102" s="1">
        <v>1799.99</v>
      </c>
      <c r="F102" s="1">
        <v>0.07</v>
      </c>
      <c r="G102">
        <f t="shared" si="1"/>
        <v>3599.91</v>
      </c>
      <c r="H102" t="str">
        <f>VLOOKUP(C102,[1]products!$A:$B,2,FALSE)</f>
        <v>Trek Remedy 29 Carbon Frameset - 2016</v>
      </c>
      <c r="I102">
        <f>VLOOKUP(C102,[1]products!$A:$D,4,FALSE)</f>
        <v>6</v>
      </c>
      <c r="J102" t="str">
        <f>VLOOKUP(I102,[2]categories!$A$1:$B$8,2,FALSE)</f>
        <v>Mountain Bikes</v>
      </c>
    </row>
    <row r="103" customHeight="1" spans="1:10">
      <c r="A103" s="1">
        <v>34</v>
      </c>
      <c r="B103" s="1">
        <v>2</v>
      </c>
      <c r="C103" s="1">
        <v>10</v>
      </c>
      <c r="D103" s="1">
        <v>2</v>
      </c>
      <c r="E103" s="1">
        <v>1549</v>
      </c>
      <c r="F103" s="1">
        <v>0.1</v>
      </c>
      <c r="G103">
        <f t="shared" si="1"/>
        <v>3097.9</v>
      </c>
      <c r="H103" t="str">
        <f>VLOOKUP(C103,[1]products!$A:$B,2,FALSE)</f>
        <v>Surly Straggler - 2016</v>
      </c>
      <c r="I103">
        <f>VLOOKUP(C103,[1]products!$A:$D,4,FALSE)</f>
        <v>4</v>
      </c>
      <c r="J103" t="str">
        <f>VLOOKUP(I103,[2]categories!$A$1:$B$8,2,FALSE)</f>
        <v>Cyclocross Bicycles</v>
      </c>
    </row>
    <row r="104" customHeight="1" spans="1:10">
      <c r="A104" s="1">
        <v>34</v>
      </c>
      <c r="B104" s="1">
        <v>3</v>
      </c>
      <c r="C104" s="1">
        <v>17</v>
      </c>
      <c r="D104" s="1">
        <v>2</v>
      </c>
      <c r="E104" s="1">
        <v>429</v>
      </c>
      <c r="F104" s="1">
        <v>0.2</v>
      </c>
      <c r="G104">
        <f t="shared" si="1"/>
        <v>857.8</v>
      </c>
      <c r="H104" t="str">
        <f>VLOOKUP(C104,[1]products!$A:$B,2,FALSE)</f>
        <v>Pure Cycles Vine 8-Speed - 2016</v>
      </c>
      <c r="I104">
        <f>VLOOKUP(C104,[1]products!$A:$D,4,FALSE)</f>
        <v>3</v>
      </c>
      <c r="J104" t="str">
        <f>VLOOKUP(I104,[2]categories!$A$1:$B$8,2,FALSE)</f>
        <v>Cruisers Bicycles</v>
      </c>
    </row>
    <row r="105" customHeight="1" spans="1:10">
      <c r="A105" s="1">
        <v>35</v>
      </c>
      <c r="B105" s="1">
        <v>1</v>
      </c>
      <c r="C105" s="1">
        <v>18</v>
      </c>
      <c r="D105" s="1">
        <v>1</v>
      </c>
      <c r="E105" s="1">
        <v>449</v>
      </c>
      <c r="F105" s="1">
        <v>0.05</v>
      </c>
      <c r="G105">
        <f t="shared" si="1"/>
        <v>448.95</v>
      </c>
      <c r="H105" t="str">
        <f>VLOOKUP(C105,[1]products!$A:$B,2,FALSE)</f>
        <v>Pure Cycles Western 3-Speed - Women's - 2015/2016</v>
      </c>
      <c r="I105">
        <f>VLOOKUP(C105,[1]products!$A:$D,4,FALSE)</f>
        <v>3</v>
      </c>
      <c r="J105" t="str">
        <f>VLOOKUP(I105,[2]categories!$A$1:$B$8,2,FALSE)</f>
        <v>Cruisers Bicycles</v>
      </c>
    </row>
    <row r="106" customHeight="1" spans="1:10">
      <c r="A106" s="1">
        <v>35</v>
      </c>
      <c r="B106" s="1">
        <v>2</v>
      </c>
      <c r="C106" s="1">
        <v>20</v>
      </c>
      <c r="D106" s="1">
        <v>2</v>
      </c>
      <c r="E106" s="1">
        <v>599.99</v>
      </c>
      <c r="F106" s="1">
        <v>0.05</v>
      </c>
      <c r="G106">
        <f t="shared" si="1"/>
        <v>1199.93</v>
      </c>
      <c r="H106" t="str">
        <f>VLOOKUP(C106,[1]products!$A:$B,2,FALSE)</f>
        <v>Electra Townie Original 7D EQ - Women's - 2016</v>
      </c>
      <c r="I106">
        <f>VLOOKUP(C106,[1]products!$A:$D,4,FALSE)</f>
        <v>3</v>
      </c>
      <c r="J106" t="str">
        <f>VLOOKUP(I106,[2]categories!$A$1:$B$8,2,FALSE)</f>
        <v>Cruisers Bicycles</v>
      </c>
    </row>
    <row r="107" customHeight="1" spans="1:10">
      <c r="A107" s="1">
        <v>35</v>
      </c>
      <c r="B107" s="1">
        <v>3</v>
      </c>
      <c r="C107" s="1">
        <v>5</v>
      </c>
      <c r="D107" s="1">
        <v>1</v>
      </c>
      <c r="E107" s="1">
        <v>1320.99</v>
      </c>
      <c r="F107" s="1">
        <v>0.2</v>
      </c>
      <c r="G107">
        <f t="shared" si="1"/>
        <v>1320.79</v>
      </c>
      <c r="H107" t="str">
        <f>VLOOKUP(C107,[1]products!$A:$B,2,FALSE)</f>
        <v>Heller Shagamaw Frame - 2016</v>
      </c>
      <c r="I107">
        <f>VLOOKUP(C107,[1]products!$A:$D,4,FALSE)</f>
        <v>6</v>
      </c>
      <c r="J107" t="str">
        <f>VLOOKUP(I107,[2]categories!$A$1:$B$8,2,FALSE)</f>
        <v>Mountain Bikes</v>
      </c>
    </row>
    <row r="108" customHeight="1" spans="1:10">
      <c r="A108" s="1">
        <v>35</v>
      </c>
      <c r="B108" s="1">
        <v>4</v>
      </c>
      <c r="C108" s="1">
        <v>21</v>
      </c>
      <c r="D108" s="1">
        <v>2</v>
      </c>
      <c r="E108" s="1">
        <v>269.99</v>
      </c>
      <c r="F108" s="1">
        <v>0.07</v>
      </c>
      <c r="G108">
        <f t="shared" si="1"/>
        <v>539.91</v>
      </c>
      <c r="H108" t="str">
        <f>VLOOKUP(C108,[1]products!$A:$B,2,FALSE)</f>
        <v>Electra Cruiser 1 (24-Inch) - 2016</v>
      </c>
      <c r="I108">
        <f>VLOOKUP(C108,[1]products!$A:$D,4,FALSE)</f>
        <v>1</v>
      </c>
      <c r="J108" t="str">
        <f>VLOOKUP(I108,[2]categories!$A$1:$B$8,2,FALSE)</f>
        <v>Children Bicycles</v>
      </c>
    </row>
    <row r="109" customHeight="1" spans="1:10">
      <c r="A109" s="1">
        <v>35</v>
      </c>
      <c r="B109" s="1">
        <v>5</v>
      </c>
      <c r="C109" s="1">
        <v>22</v>
      </c>
      <c r="D109" s="1">
        <v>1</v>
      </c>
      <c r="E109" s="1">
        <v>269.99</v>
      </c>
      <c r="F109" s="1">
        <v>0.07</v>
      </c>
      <c r="G109">
        <f t="shared" si="1"/>
        <v>269.92</v>
      </c>
      <c r="H109" t="str">
        <f>VLOOKUP(C109,[1]products!$A:$B,2,FALSE)</f>
        <v>Electra Girl's Hawaii 1 (16-inch) - 2015/2016</v>
      </c>
      <c r="I109">
        <f>VLOOKUP(C109,[1]products!$A:$D,4,FALSE)</f>
        <v>1</v>
      </c>
      <c r="J109" t="str">
        <f>VLOOKUP(I109,[2]categories!$A$1:$B$8,2,FALSE)</f>
        <v>Children Bicycles</v>
      </c>
    </row>
    <row r="110" customHeight="1" spans="1:10">
      <c r="A110" s="1">
        <v>36</v>
      </c>
      <c r="B110" s="1">
        <v>1</v>
      </c>
      <c r="C110" s="1">
        <v>9</v>
      </c>
      <c r="D110" s="1">
        <v>1</v>
      </c>
      <c r="E110" s="1">
        <v>2999.99</v>
      </c>
      <c r="F110" s="1">
        <v>0.07</v>
      </c>
      <c r="G110">
        <f t="shared" si="1"/>
        <v>2999.92</v>
      </c>
      <c r="H110" t="str">
        <f>VLOOKUP(C110,[1]products!$A:$B,2,FALSE)</f>
        <v>Trek Conduit+ - 2016</v>
      </c>
      <c r="I110">
        <f>VLOOKUP(C110,[1]products!$A:$D,4,FALSE)</f>
        <v>5</v>
      </c>
      <c r="J110" t="str">
        <f>VLOOKUP(I110,[2]categories!$A$1:$B$8,2,FALSE)</f>
        <v>Electric Bikes</v>
      </c>
    </row>
    <row r="111" customHeight="1" spans="1:10">
      <c r="A111" s="1">
        <v>36</v>
      </c>
      <c r="B111" s="1">
        <v>2</v>
      </c>
      <c r="C111" s="1">
        <v>5</v>
      </c>
      <c r="D111" s="1">
        <v>1</v>
      </c>
      <c r="E111" s="1">
        <v>1320.99</v>
      </c>
      <c r="F111" s="1">
        <v>0.05</v>
      </c>
      <c r="G111">
        <f t="shared" si="1"/>
        <v>1320.94</v>
      </c>
      <c r="H111" t="str">
        <f>VLOOKUP(C111,[1]products!$A:$B,2,FALSE)</f>
        <v>Heller Shagamaw Frame - 2016</v>
      </c>
      <c r="I111">
        <f>VLOOKUP(C111,[1]products!$A:$D,4,FALSE)</f>
        <v>6</v>
      </c>
      <c r="J111" t="str">
        <f>VLOOKUP(I111,[2]categories!$A$1:$B$8,2,FALSE)</f>
        <v>Mountain Bikes</v>
      </c>
    </row>
    <row r="112" customHeight="1" spans="1:10">
      <c r="A112" s="1">
        <v>36</v>
      </c>
      <c r="B112" s="1">
        <v>3</v>
      </c>
      <c r="C112" s="1">
        <v>3</v>
      </c>
      <c r="D112" s="1">
        <v>2</v>
      </c>
      <c r="E112" s="1">
        <v>999.99</v>
      </c>
      <c r="F112" s="1">
        <v>0.2</v>
      </c>
      <c r="G112">
        <f t="shared" si="1"/>
        <v>1999.78</v>
      </c>
      <c r="H112" t="str">
        <f>VLOOKUP(C112,[1]products!$A:$B,2,FALSE)</f>
        <v>Surly Wednesday Frameset - 2016</v>
      </c>
      <c r="I112">
        <f>VLOOKUP(C112,[1]products!$A:$D,4,FALSE)</f>
        <v>6</v>
      </c>
      <c r="J112" t="str">
        <f>VLOOKUP(I112,[2]categories!$A$1:$B$8,2,FALSE)</f>
        <v>Mountain Bikes</v>
      </c>
    </row>
    <row r="113" customHeight="1" spans="1:10">
      <c r="A113" s="1">
        <v>37</v>
      </c>
      <c r="B113" s="1">
        <v>1</v>
      </c>
      <c r="C113" s="1">
        <v>16</v>
      </c>
      <c r="D113" s="1">
        <v>2</v>
      </c>
      <c r="E113" s="1">
        <v>599.99</v>
      </c>
      <c r="F113" s="1">
        <v>0.05</v>
      </c>
      <c r="G113">
        <f t="shared" si="1"/>
        <v>1199.93</v>
      </c>
      <c r="H113" t="str">
        <f>VLOOKUP(C113,[1]products!$A:$B,2,FALSE)</f>
        <v>Electra Townie Original 7D EQ - 2016</v>
      </c>
      <c r="I113">
        <f>VLOOKUP(C113,[1]products!$A:$D,4,FALSE)</f>
        <v>3</v>
      </c>
      <c r="J113" t="str">
        <f>VLOOKUP(I113,[2]categories!$A$1:$B$8,2,FALSE)</f>
        <v>Cruisers Bicycles</v>
      </c>
    </row>
    <row r="114" customHeight="1" spans="1:10">
      <c r="A114" s="1">
        <v>38</v>
      </c>
      <c r="B114" s="1">
        <v>1</v>
      </c>
      <c r="C114" s="1">
        <v>7</v>
      </c>
      <c r="D114" s="1">
        <v>2</v>
      </c>
      <c r="E114" s="1">
        <v>3999.99</v>
      </c>
      <c r="F114" s="1">
        <v>0.05</v>
      </c>
      <c r="G114">
        <f t="shared" si="1"/>
        <v>7999.93</v>
      </c>
      <c r="H114" t="str">
        <f>VLOOKUP(C114,[1]products!$A:$B,2,FALSE)</f>
        <v>Trek Slash 8 27.5 - 2016</v>
      </c>
      <c r="I114">
        <f>VLOOKUP(C114,[1]products!$A:$D,4,FALSE)</f>
        <v>6</v>
      </c>
      <c r="J114" t="str">
        <f>VLOOKUP(I114,[2]categories!$A$1:$B$8,2,FALSE)</f>
        <v>Mountain Bikes</v>
      </c>
    </row>
    <row r="115" customHeight="1" spans="1:10">
      <c r="A115" s="1">
        <v>38</v>
      </c>
      <c r="B115" s="1">
        <v>2</v>
      </c>
      <c r="C115" s="1">
        <v>23</v>
      </c>
      <c r="D115" s="1">
        <v>1</v>
      </c>
      <c r="E115" s="1">
        <v>299.99</v>
      </c>
      <c r="F115" s="1">
        <v>0.07</v>
      </c>
      <c r="G115">
        <f t="shared" si="1"/>
        <v>299.92</v>
      </c>
      <c r="H115" t="str">
        <f>VLOOKUP(C115,[1]products!$A:$B,2,FALSE)</f>
        <v>Electra Girl's Hawaii 1 (20-inch) - 2015/2016</v>
      </c>
      <c r="I115">
        <f>VLOOKUP(C115,[1]products!$A:$D,4,FALSE)</f>
        <v>1</v>
      </c>
      <c r="J115" t="str">
        <f>VLOOKUP(I115,[2]categories!$A$1:$B$8,2,FALSE)</f>
        <v>Children Bicycles</v>
      </c>
    </row>
    <row r="116" customHeight="1" spans="1:10">
      <c r="A116" s="1">
        <v>38</v>
      </c>
      <c r="B116" s="1">
        <v>3</v>
      </c>
      <c r="C116" s="1">
        <v>25</v>
      </c>
      <c r="D116" s="1">
        <v>1</v>
      </c>
      <c r="E116" s="1">
        <v>499.99</v>
      </c>
      <c r="F116" s="1">
        <v>0.2</v>
      </c>
      <c r="G116">
        <f t="shared" si="1"/>
        <v>499.79</v>
      </c>
      <c r="H116" t="str">
        <f>VLOOKUP(C116,[1]products!$A:$B,2,FALSE)</f>
        <v>Electra Townie Original 7D - 2015/2016</v>
      </c>
      <c r="I116">
        <f>VLOOKUP(C116,[1]products!$A:$D,4,FALSE)</f>
        <v>2</v>
      </c>
      <c r="J116" t="str">
        <f>VLOOKUP(I116,[2]categories!$A$1:$B$8,2,FALSE)</f>
        <v>Comfort Bicycles</v>
      </c>
    </row>
    <row r="117" customHeight="1" spans="1:10">
      <c r="A117" s="1">
        <v>38</v>
      </c>
      <c r="B117" s="1">
        <v>4</v>
      </c>
      <c r="C117" s="1">
        <v>10</v>
      </c>
      <c r="D117" s="1">
        <v>2</v>
      </c>
      <c r="E117" s="1">
        <v>1549</v>
      </c>
      <c r="F117" s="1">
        <v>0.1</v>
      </c>
      <c r="G117">
        <f t="shared" si="1"/>
        <v>3097.9</v>
      </c>
      <c r="H117" t="str">
        <f>VLOOKUP(C117,[1]products!$A:$B,2,FALSE)</f>
        <v>Surly Straggler - 2016</v>
      </c>
      <c r="I117">
        <f>VLOOKUP(C117,[1]products!$A:$D,4,FALSE)</f>
        <v>4</v>
      </c>
      <c r="J117" t="str">
        <f>VLOOKUP(I117,[2]categories!$A$1:$B$8,2,FALSE)</f>
        <v>Cyclocross Bicycles</v>
      </c>
    </row>
    <row r="118" customHeight="1" spans="1:10">
      <c r="A118" s="1">
        <v>38</v>
      </c>
      <c r="B118" s="1">
        <v>5</v>
      </c>
      <c r="C118" s="1">
        <v>24</v>
      </c>
      <c r="D118" s="1">
        <v>1</v>
      </c>
      <c r="E118" s="1">
        <v>549.99</v>
      </c>
      <c r="F118" s="1">
        <v>0.07</v>
      </c>
      <c r="G118">
        <f t="shared" si="1"/>
        <v>549.92</v>
      </c>
      <c r="H118" t="str">
        <f>VLOOKUP(C118,[1]products!$A:$B,2,FALSE)</f>
        <v>Electra Townie Original 21D - 2016</v>
      </c>
      <c r="I118">
        <f>VLOOKUP(C118,[1]products!$A:$D,4,FALSE)</f>
        <v>2</v>
      </c>
      <c r="J118" t="str">
        <f>VLOOKUP(I118,[2]categories!$A$1:$B$8,2,FALSE)</f>
        <v>Comfort Bicycles</v>
      </c>
    </row>
    <row r="119" customHeight="1" spans="1:10">
      <c r="A119" s="1">
        <v>39</v>
      </c>
      <c r="B119" s="1">
        <v>1</v>
      </c>
      <c r="C119" s="1">
        <v>22</v>
      </c>
      <c r="D119" s="1">
        <v>2</v>
      </c>
      <c r="E119" s="1">
        <v>269.99</v>
      </c>
      <c r="F119" s="1">
        <v>0.2</v>
      </c>
      <c r="G119">
        <f t="shared" si="1"/>
        <v>539.78</v>
      </c>
      <c r="H119" t="str">
        <f>VLOOKUP(C119,[1]products!$A:$B,2,FALSE)</f>
        <v>Electra Girl's Hawaii 1 (16-inch) - 2015/2016</v>
      </c>
      <c r="I119">
        <f>VLOOKUP(C119,[1]products!$A:$D,4,FALSE)</f>
        <v>1</v>
      </c>
      <c r="J119" t="str">
        <f>VLOOKUP(I119,[2]categories!$A$1:$B$8,2,FALSE)</f>
        <v>Children Bicycles</v>
      </c>
    </row>
    <row r="120" customHeight="1" spans="1:10">
      <c r="A120" s="1">
        <v>39</v>
      </c>
      <c r="B120" s="1">
        <v>2</v>
      </c>
      <c r="C120" s="1">
        <v>16</v>
      </c>
      <c r="D120" s="1">
        <v>2</v>
      </c>
      <c r="E120" s="1">
        <v>599.99</v>
      </c>
      <c r="F120" s="1">
        <v>0.2</v>
      </c>
      <c r="G120">
        <f t="shared" si="1"/>
        <v>1199.78</v>
      </c>
      <c r="H120" t="str">
        <f>VLOOKUP(C120,[1]products!$A:$B,2,FALSE)</f>
        <v>Electra Townie Original 7D EQ - 2016</v>
      </c>
      <c r="I120">
        <f>VLOOKUP(C120,[1]products!$A:$D,4,FALSE)</f>
        <v>3</v>
      </c>
      <c r="J120" t="str">
        <f>VLOOKUP(I120,[2]categories!$A$1:$B$8,2,FALSE)</f>
        <v>Cruisers Bicycles</v>
      </c>
    </row>
    <row r="121" customHeight="1" spans="1:10">
      <c r="A121" s="1">
        <v>39</v>
      </c>
      <c r="B121" s="1">
        <v>3</v>
      </c>
      <c r="C121" s="1">
        <v>3</v>
      </c>
      <c r="D121" s="1">
        <v>2</v>
      </c>
      <c r="E121" s="1">
        <v>999.99</v>
      </c>
      <c r="F121" s="1">
        <v>0.05</v>
      </c>
      <c r="G121">
        <f t="shared" si="1"/>
        <v>1999.93</v>
      </c>
      <c r="H121" t="str">
        <f>VLOOKUP(C121,[1]products!$A:$B,2,FALSE)</f>
        <v>Surly Wednesday Frameset - 2016</v>
      </c>
      <c r="I121">
        <f>VLOOKUP(C121,[1]products!$A:$D,4,FALSE)</f>
        <v>6</v>
      </c>
      <c r="J121" t="str">
        <f>VLOOKUP(I121,[2]categories!$A$1:$B$8,2,FALSE)</f>
        <v>Mountain Bikes</v>
      </c>
    </row>
    <row r="122" customHeight="1" spans="1:10">
      <c r="A122" s="1">
        <v>39</v>
      </c>
      <c r="B122" s="1">
        <v>4</v>
      </c>
      <c r="C122" s="1">
        <v>15</v>
      </c>
      <c r="D122" s="1">
        <v>1</v>
      </c>
      <c r="E122" s="1">
        <v>529.99</v>
      </c>
      <c r="F122" s="1">
        <v>0.1</v>
      </c>
      <c r="G122">
        <f t="shared" si="1"/>
        <v>529.89</v>
      </c>
      <c r="H122" t="str">
        <f>VLOOKUP(C122,[1]products!$A:$B,2,FALSE)</f>
        <v>Electra Moto 1 - 2016</v>
      </c>
      <c r="I122">
        <f>VLOOKUP(C122,[1]products!$A:$D,4,FALSE)</f>
        <v>3</v>
      </c>
      <c r="J122" t="str">
        <f>VLOOKUP(I122,[2]categories!$A$1:$B$8,2,FALSE)</f>
        <v>Cruisers Bicycles</v>
      </c>
    </row>
    <row r="123" customHeight="1" spans="1:10">
      <c r="A123" s="1">
        <v>40</v>
      </c>
      <c r="B123" s="1">
        <v>1</v>
      </c>
      <c r="C123" s="1">
        <v>17</v>
      </c>
      <c r="D123" s="1">
        <v>1</v>
      </c>
      <c r="E123" s="1">
        <v>429</v>
      </c>
      <c r="F123" s="1">
        <v>0.2</v>
      </c>
      <c r="G123">
        <f t="shared" si="1"/>
        <v>428.8</v>
      </c>
      <c r="H123" t="str">
        <f>VLOOKUP(C123,[1]products!$A:$B,2,FALSE)</f>
        <v>Pure Cycles Vine 8-Speed - 2016</v>
      </c>
      <c r="I123">
        <f>VLOOKUP(C123,[1]products!$A:$D,4,FALSE)</f>
        <v>3</v>
      </c>
      <c r="J123" t="str">
        <f>VLOOKUP(I123,[2]categories!$A$1:$B$8,2,FALSE)</f>
        <v>Cruisers Bicycles</v>
      </c>
    </row>
    <row r="124" customHeight="1" spans="1:10">
      <c r="A124" s="1">
        <v>40</v>
      </c>
      <c r="B124" s="1">
        <v>2</v>
      </c>
      <c r="C124" s="1">
        <v>8</v>
      </c>
      <c r="D124" s="1">
        <v>2</v>
      </c>
      <c r="E124" s="1">
        <v>1799.99</v>
      </c>
      <c r="F124" s="1">
        <v>0.2</v>
      </c>
      <c r="G124">
        <f t="shared" si="1"/>
        <v>3599.78</v>
      </c>
      <c r="H124" t="str">
        <f>VLOOKUP(C124,[1]products!$A:$B,2,FALSE)</f>
        <v>Trek Remedy 29 Carbon Frameset - 2016</v>
      </c>
      <c r="I124">
        <f>VLOOKUP(C124,[1]products!$A:$D,4,FALSE)</f>
        <v>6</v>
      </c>
      <c r="J124" t="str">
        <f>VLOOKUP(I124,[2]categories!$A$1:$B$8,2,FALSE)</f>
        <v>Mountain Bikes</v>
      </c>
    </row>
    <row r="125" customHeight="1" spans="1:10">
      <c r="A125" s="1">
        <v>41</v>
      </c>
      <c r="B125" s="1">
        <v>1</v>
      </c>
      <c r="C125" s="1">
        <v>5</v>
      </c>
      <c r="D125" s="1">
        <v>1</v>
      </c>
      <c r="E125" s="1">
        <v>1320.99</v>
      </c>
      <c r="F125" s="1">
        <v>0.1</v>
      </c>
      <c r="G125">
        <f t="shared" si="1"/>
        <v>1320.89</v>
      </c>
      <c r="H125" t="str">
        <f>VLOOKUP(C125,[1]products!$A:$B,2,FALSE)</f>
        <v>Heller Shagamaw Frame - 2016</v>
      </c>
      <c r="I125">
        <f>VLOOKUP(C125,[1]products!$A:$D,4,FALSE)</f>
        <v>6</v>
      </c>
      <c r="J125" t="str">
        <f>VLOOKUP(I125,[2]categories!$A$1:$B$8,2,FALSE)</f>
        <v>Mountain Bikes</v>
      </c>
    </row>
    <row r="126" customHeight="1" spans="1:10">
      <c r="A126" s="1">
        <v>41</v>
      </c>
      <c r="B126" s="1">
        <v>2</v>
      </c>
      <c r="C126" s="1">
        <v>19</v>
      </c>
      <c r="D126" s="1">
        <v>2</v>
      </c>
      <c r="E126" s="1">
        <v>449</v>
      </c>
      <c r="F126" s="1">
        <v>0.2</v>
      </c>
      <c r="G126">
        <f t="shared" si="1"/>
        <v>897.8</v>
      </c>
      <c r="H126" t="str">
        <f>VLOOKUP(C126,[1]products!$A:$B,2,FALSE)</f>
        <v>Pure Cycles William 3-Speed - 2016</v>
      </c>
      <c r="I126">
        <f>VLOOKUP(C126,[1]products!$A:$D,4,FALSE)</f>
        <v>3</v>
      </c>
      <c r="J126" t="str">
        <f>VLOOKUP(I126,[2]categories!$A$1:$B$8,2,FALSE)</f>
        <v>Cruisers Bicycles</v>
      </c>
    </row>
    <row r="127" customHeight="1" spans="1:10">
      <c r="A127" s="1">
        <v>41</v>
      </c>
      <c r="B127" s="1">
        <v>3</v>
      </c>
      <c r="C127" s="1">
        <v>26</v>
      </c>
      <c r="D127" s="1">
        <v>2</v>
      </c>
      <c r="E127" s="1">
        <v>599.99</v>
      </c>
      <c r="F127" s="1">
        <v>0.2</v>
      </c>
      <c r="G127">
        <f t="shared" si="1"/>
        <v>1199.78</v>
      </c>
      <c r="H127" t="str">
        <f>VLOOKUP(C127,[1]products!$A:$B,2,FALSE)</f>
        <v>Electra Townie Original 7D EQ - 2016</v>
      </c>
      <c r="I127">
        <f>VLOOKUP(C127,[1]products!$A:$D,4,FALSE)</f>
        <v>2</v>
      </c>
      <c r="J127" t="str">
        <f>VLOOKUP(I127,[2]categories!$A$1:$B$8,2,FALSE)</f>
        <v>Comfort Bicycles</v>
      </c>
    </row>
    <row r="128" customHeight="1" spans="1:10">
      <c r="A128" s="1">
        <v>42</v>
      </c>
      <c r="B128" s="1">
        <v>1</v>
      </c>
      <c r="C128" s="1">
        <v>19</v>
      </c>
      <c r="D128" s="1">
        <v>1</v>
      </c>
      <c r="E128" s="1">
        <v>449</v>
      </c>
      <c r="F128" s="1">
        <v>0.05</v>
      </c>
      <c r="G128">
        <f t="shared" si="1"/>
        <v>448.95</v>
      </c>
      <c r="H128" t="str">
        <f>VLOOKUP(C128,[1]products!$A:$B,2,FALSE)</f>
        <v>Pure Cycles William 3-Speed - 2016</v>
      </c>
      <c r="I128">
        <f>VLOOKUP(C128,[1]products!$A:$D,4,FALSE)</f>
        <v>3</v>
      </c>
      <c r="J128" t="str">
        <f>VLOOKUP(I128,[2]categories!$A$1:$B$8,2,FALSE)</f>
        <v>Cruisers Bicycles</v>
      </c>
    </row>
    <row r="129" customHeight="1" spans="1:10">
      <c r="A129" s="1">
        <v>43</v>
      </c>
      <c r="B129" s="1">
        <v>1</v>
      </c>
      <c r="C129" s="1">
        <v>13</v>
      </c>
      <c r="D129" s="1">
        <v>2</v>
      </c>
      <c r="E129" s="1">
        <v>269.99</v>
      </c>
      <c r="F129" s="1">
        <v>0.1</v>
      </c>
      <c r="G129">
        <f t="shared" si="1"/>
        <v>539.88</v>
      </c>
      <c r="H129" t="str">
        <f>VLOOKUP(C129,[1]products!$A:$B,2,FALSE)</f>
        <v>Electra Cruiser 1 (24-Inch) - 2016</v>
      </c>
      <c r="I129">
        <f>VLOOKUP(C129,[1]products!$A:$D,4,FALSE)</f>
        <v>3</v>
      </c>
      <c r="J129" t="str">
        <f>VLOOKUP(I129,[2]categories!$A$1:$B$8,2,FALSE)</f>
        <v>Cruisers Bicycles</v>
      </c>
    </row>
    <row r="130" customHeight="1" spans="1:10">
      <c r="A130" s="1">
        <v>43</v>
      </c>
      <c r="B130" s="1">
        <v>2</v>
      </c>
      <c r="C130" s="1">
        <v>12</v>
      </c>
      <c r="D130" s="1">
        <v>2</v>
      </c>
      <c r="E130" s="1">
        <v>549.99</v>
      </c>
      <c r="F130" s="1">
        <v>0.05</v>
      </c>
      <c r="G130">
        <f t="shared" si="1"/>
        <v>1099.93</v>
      </c>
      <c r="H130" t="str">
        <f>VLOOKUP(C130,[1]products!$A:$B,2,FALSE)</f>
        <v>Electra Townie Original 21D - 2016</v>
      </c>
      <c r="I130">
        <f>VLOOKUP(C130,[1]products!$A:$D,4,FALSE)</f>
        <v>3</v>
      </c>
      <c r="J130" t="str">
        <f>VLOOKUP(I130,[2]categories!$A$1:$B$8,2,FALSE)</f>
        <v>Cruisers Bicycles</v>
      </c>
    </row>
    <row r="131" customHeight="1" spans="1:10">
      <c r="A131" s="1">
        <v>44</v>
      </c>
      <c r="B131" s="1">
        <v>1</v>
      </c>
      <c r="C131" s="1">
        <v>7</v>
      </c>
      <c r="D131" s="1">
        <v>1</v>
      </c>
      <c r="E131" s="1">
        <v>3999.99</v>
      </c>
      <c r="F131" s="1">
        <v>0.1</v>
      </c>
      <c r="G131">
        <f t="shared" ref="G131:G194" si="2">(E131*D131)-F131</f>
        <v>3999.89</v>
      </c>
      <c r="H131" t="str">
        <f>VLOOKUP(C131,[1]products!$A:$B,2,FALSE)</f>
        <v>Trek Slash 8 27.5 - 2016</v>
      </c>
      <c r="I131">
        <f>VLOOKUP(C131,[1]products!$A:$D,4,FALSE)</f>
        <v>6</v>
      </c>
      <c r="J131" t="str">
        <f>VLOOKUP(I131,[2]categories!$A$1:$B$8,2,FALSE)</f>
        <v>Mountain Bikes</v>
      </c>
    </row>
    <row r="132" customHeight="1" spans="1:10">
      <c r="A132" s="1">
        <v>44</v>
      </c>
      <c r="B132" s="1">
        <v>2</v>
      </c>
      <c r="C132" s="1">
        <v>16</v>
      </c>
      <c r="D132" s="1">
        <v>1</v>
      </c>
      <c r="E132" s="1">
        <v>599.99</v>
      </c>
      <c r="F132" s="1">
        <v>0.05</v>
      </c>
      <c r="G132">
        <f t="shared" si="2"/>
        <v>599.94</v>
      </c>
      <c r="H132" t="str">
        <f>VLOOKUP(C132,[1]products!$A:$B,2,FALSE)</f>
        <v>Electra Townie Original 7D EQ - 2016</v>
      </c>
      <c r="I132">
        <f>VLOOKUP(C132,[1]products!$A:$D,4,FALSE)</f>
        <v>3</v>
      </c>
      <c r="J132" t="str">
        <f>VLOOKUP(I132,[2]categories!$A$1:$B$8,2,FALSE)</f>
        <v>Cruisers Bicycles</v>
      </c>
    </row>
    <row r="133" customHeight="1" spans="1:10">
      <c r="A133" s="1">
        <v>45</v>
      </c>
      <c r="B133" s="1">
        <v>1</v>
      </c>
      <c r="C133" s="1">
        <v>4</v>
      </c>
      <c r="D133" s="1">
        <v>2</v>
      </c>
      <c r="E133" s="1">
        <v>2899.99</v>
      </c>
      <c r="F133" s="1">
        <v>0.2</v>
      </c>
      <c r="G133">
        <f t="shared" si="2"/>
        <v>5799.78</v>
      </c>
      <c r="H133" t="str">
        <f>VLOOKUP(C133,[1]products!$A:$B,2,FALSE)</f>
        <v>Trek Fuel EX 8 29 - 2016</v>
      </c>
      <c r="I133">
        <f>VLOOKUP(C133,[1]products!$A:$D,4,FALSE)</f>
        <v>6</v>
      </c>
      <c r="J133" t="str">
        <f>VLOOKUP(I133,[2]categories!$A$1:$B$8,2,FALSE)</f>
        <v>Mountain Bikes</v>
      </c>
    </row>
    <row r="134" customHeight="1" spans="1:10">
      <c r="A134" s="1">
        <v>45</v>
      </c>
      <c r="B134" s="1">
        <v>2</v>
      </c>
      <c r="C134" s="1">
        <v>22</v>
      </c>
      <c r="D134" s="1">
        <v>1</v>
      </c>
      <c r="E134" s="1">
        <v>269.99</v>
      </c>
      <c r="F134" s="1">
        <v>0.07</v>
      </c>
      <c r="G134">
        <f t="shared" si="2"/>
        <v>269.92</v>
      </c>
      <c r="H134" t="str">
        <f>VLOOKUP(C134,[1]products!$A:$B,2,FALSE)</f>
        <v>Electra Girl's Hawaii 1 (16-inch) - 2015/2016</v>
      </c>
      <c r="I134">
        <f>VLOOKUP(C134,[1]products!$A:$D,4,FALSE)</f>
        <v>1</v>
      </c>
      <c r="J134" t="str">
        <f>VLOOKUP(I134,[2]categories!$A$1:$B$8,2,FALSE)</f>
        <v>Children Bicycles</v>
      </c>
    </row>
    <row r="135" customHeight="1" spans="1:10">
      <c r="A135" s="1">
        <v>45</v>
      </c>
      <c r="B135" s="1">
        <v>3</v>
      </c>
      <c r="C135" s="1">
        <v>21</v>
      </c>
      <c r="D135" s="1">
        <v>2</v>
      </c>
      <c r="E135" s="1">
        <v>269.99</v>
      </c>
      <c r="F135" s="1">
        <v>0.05</v>
      </c>
      <c r="G135">
        <f t="shared" si="2"/>
        <v>539.93</v>
      </c>
      <c r="H135" t="str">
        <f>VLOOKUP(C135,[1]products!$A:$B,2,FALSE)</f>
        <v>Electra Cruiser 1 (24-Inch) - 2016</v>
      </c>
      <c r="I135">
        <f>VLOOKUP(C135,[1]products!$A:$D,4,FALSE)</f>
        <v>1</v>
      </c>
      <c r="J135" t="str">
        <f>VLOOKUP(I135,[2]categories!$A$1:$B$8,2,FALSE)</f>
        <v>Children Bicycles</v>
      </c>
    </row>
    <row r="136" customHeight="1" spans="1:10">
      <c r="A136" s="1">
        <v>46</v>
      </c>
      <c r="B136" s="1">
        <v>1</v>
      </c>
      <c r="C136" s="1">
        <v>17</v>
      </c>
      <c r="D136" s="1">
        <v>1</v>
      </c>
      <c r="E136" s="1">
        <v>429</v>
      </c>
      <c r="F136" s="1">
        <v>0.1</v>
      </c>
      <c r="G136">
        <f t="shared" si="2"/>
        <v>428.9</v>
      </c>
      <c r="H136" t="str">
        <f>VLOOKUP(C136,[1]products!$A:$B,2,FALSE)</f>
        <v>Pure Cycles Vine 8-Speed - 2016</v>
      </c>
      <c r="I136">
        <f>VLOOKUP(C136,[1]products!$A:$D,4,FALSE)</f>
        <v>3</v>
      </c>
      <c r="J136" t="str">
        <f>VLOOKUP(I136,[2]categories!$A$1:$B$8,2,FALSE)</f>
        <v>Cruisers Bicycles</v>
      </c>
    </row>
    <row r="137" customHeight="1" spans="1:10">
      <c r="A137" s="1">
        <v>47</v>
      </c>
      <c r="B137" s="1">
        <v>1</v>
      </c>
      <c r="C137" s="1">
        <v>6</v>
      </c>
      <c r="D137" s="1">
        <v>1</v>
      </c>
      <c r="E137" s="1">
        <v>469.99</v>
      </c>
      <c r="F137" s="1">
        <v>0.05</v>
      </c>
      <c r="G137">
        <f t="shared" si="2"/>
        <v>469.94</v>
      </c>
      <c r="H137" t="str">
        <f>VLOOKUP(C137,[1]products!$A:$B,2,FALSE)</f>
        <v>Surly Ice Cream Truck Frameset - 2016</v>
      </c>
      <c r="I137">
        <f>VLOOKUP(C137,[1]products!$A:$D,4,FALSE)</f>
        <v>6</v>
      </c>
      <c r="J137" t="str">
        <f>VLOOKUP(I137,[2]categories!$A$1:$B$8,2,FALSE)</f>
        <v>Mountain Bikes</v>
      </c>
    </row>
    <row r="138" customHeight="1" spans="1:10">
      <c r="A138" s="1">
        <v>47</v>
      </c>
      <c r="B138" s="1">
        <v>2</v>
      </c>
      <c r="C138" s="1">
        <v>15</v>
      </c>
      <c r="D138" s="1">
        <v>1</v>
      </c>
      <c r="E138" s="1">
        <v>529.99</v>
      </c>
      <c r="F138" s="1">
        <v>0.1</v>
      </c>
      <c r="G138">
        <f t="shared" si="2"/>
        <v>529.89</v>
      </c>
      <c r="H138" t="str">
        <f>VLOOKUP(C138,[1]products!$A:$B,2,FALSE)</f>
        <v>Electra Moto 1 - 2016</v>
      </c>
      <c r="I138">
        <f>VLOOKUP(C138,[1]products!$A:$D,4,FALSE)</f>
        <v>3</v>
      </c>
      <c r="J138" t="str">
        <f>VLOOKUP(I138,[2]categories!$A$1:$B$8,2,FALSE)</f>
        <v>Cruisers Bicycles</v>
      </c>
    </row>
    <row r="139" customHeight="1" spans="1:10">
      <c r="A139" s="1">
        <v>47</v>
      </c>
      <c r="B139" s="1">
        <v>3</v>
      </c>
      <c r="C139" s="1">
        <v>25</v>
      </c>
      <c r="D139" s="1">
        <v>2</v>
      </c>
      <c r="E139" s="1">
        <v>499.99</v>
      </c>
      <c r="F139" s="1">
        <v>0.07</v>
      </c>
      <c r="G139">
        <f t="shared" si="2"/>
        <v>999.91</v>
      </c>
      <c r="H139" t="str">
        <f>VLOOKUP(C139,[1]products!$A:$B,2,FALSE)</f>
        <v>Electra Townie Original 7D - 2015/2016</v>
      </c>
      <c r="I139">
        <f>VLOOKUP(C139,[1]products!$A:$D,4,FALSE)</f>
        <v>2</v>
      </c>
      <c r="J139" t="str">
        <f>VLOOKUP(I139,[2]categories!$A$1:$B$8,2,FALSE)</f>
        <v>Comfort Bicycles</v>
      </c>
    </row>
    <row r="140" customHeight="1" spans="1:10">
      <c r="A140" s="1">
        <v>47</v>
      </c>
      <c r="B140" s="1">
        <v>4</v>
      </c>
      <c r="C140" s="1">
        <v>13</v>
      </c>
      <c r="D140" s="1">
        <v>1</v>
      </c>
      <c r="E140" s="1">
        <v>269.99</v>
      </c>
      <c r="F140" s="1">
        <v>0.2</v>
      </c>
      <c r="G140">
        <f t="shared" si="2"/>
        <v>269.79</v>
      </c>
      <c r="H140" t="str">
        <f>VLOOKUP(C140,[1]products!$A:$B,2,FALSE)</f>
        <v>Electra Cruiser 1 (24-Inch) - 2016</v>
      </c>
      <c r="I140">
        <f>VLOOKUP(C140,[1]products!$A:$D,4,FALSE)</f>
        <v>3</v>
      </c>
      <c r="J140" t="str">
        <f>VLOOKUP(I140,[2]categories!$A$1:$B$8,2,FALSE)</f>
        <v>Cruisers Bicycles</v>
      </c>
    </row>
    <row r="141" customHeight="1" spans="1:10">
      <c r="A141" s="1">
        <v>48</v>
      </c>
      <c r="B141" s="1">
        <v>1</v>
      </c>
      <c r="C141" s="1">
        <v>11</v>
      </c>
      <c r="D141" s="1">
        <v>1</v>
      </c>
      <c r="E141" s="1">
        <v>1680.99</v>
      </c>
      <c r="F141" s="1">
        <v>0.1</v>
      </c>
      <c r="G141">
        <f t="shared" si="2"/>
        <v>1680.89</v>
      </c>
      <c r="H141" t="str">
        <f>VLOOKUP(C141,[1]products!$A:$B,2,FALSE)</f>
        <v>Surly Straggler 650b - 2016</v>
      </c>
      <c r="I141">
        <f>VLOOKUP(C141,[1]products!$A:$D,4,FALSE)</f>
        <v>4</v>
      </c>
      <c r="J141" t="str">
        <f>VLOOKUP(I141,[2]categories!$A$1:$B$8,2,FALSE)</f>
        <v>Cyclocross Bicycles</v>
      </c>
    </row>
    <row r="142" customHeight="1" spans="1:10">
      <c r="A142" s="1">
        <v>48</v>
      </c>
      <c r="B142" s="1">
        <v>2</v>
      </c>
      <c r="C142" s="1">
        <v>4</v>
      </c>
      <c r="D142" s="1">
        <v>1</v>
      </c>
      <c r="E142" s="1">
        <v>2899.99</v>
      </c>
      <c r="F142" s="1">
        <v>0.2</v>
      </c>
      <c r="G142">
        <f t="shared" si="2"/>
        <v>2899.79</v>
      </c>
      <c r="H142" t="str">
        <f>VLOOKUP(C142,[1]products!$A:$B,2,FALSE)</f>
        <v>Trek Fuel EX 8 29 - 2016</v>
      </c>
      <c r="I142">
        <f>VLOOKUP(C142,[1]products!$A:$D,4,FALSE)</f>
        <v>6</v>
      </c>
      <c r="J142" t="str">
        <f>VLOOKUP(I142,[2]categories!$A$1:$B$8,2,FALSE)</f>
        <v>Mountain Bikes</v>
      </c>
    </row>
    <row r="143" customHeight="1" spans="1:10">
      <c r="A143" s="1">
        <v>48</v>
      </c>
      <c r="B143" s="1">
        <v>3</v>
      </c>
      <c r="C143" s="1">
        <v>5</v>
      </c>
      <c r="D143" s="1">
        <v>2</v>
      </c>
      <c r="E143" s="1">
        <v>1320.99</v>
      </c>
      <c r="F143" s="1">
        <v>0.1</v>
      </c>
      <c r="G143">
        <f t="shared" si="2"/>
        <v>2641.88</v>
      </c>
      <c r="H143" t="str">
        <f>VLOOKUP(C143,[1]products!$A:$B,2,FALSE)</f>
        <v>Heller Shagamaw Frame - 2016</v>
      </c>
      <c r="I143">
        <f>VLOOKUP(C143,[1]products!$A:$D,4,FALSE)</f>
        <v>6</v>
      </c>
      <c r="J143" t="str">
        <f>VLOOKUP(I143,[2]categories!$A$1:$B$8,2,FALSE)</f>
        <v>Mountain Bikes</v>
      </c>
    </row>
    <row r="144" customHeight="1" spans="1:10">
      <c r="A144" s="1">
        <v>48</v>
      </c>
      <c r="B144" s="1">
        <v>4</v>
      </c>
      <c r="C144" s="1">
        <v>14</v>
      </c>
      <c r="D144" s="1">
        <v>2</v>
      </c>
      <c r="E144" s="1">
        <v>269.99</v>
      </c>
      <c r="F144" s="1">
        <v>0.07</v>
      </c>
      <c r="G144">
        <f t="shared" si="2"/>
        <v>539.91</v>
      </c>
      <c r="H144" t="str">
        <f>VLOOKUP(C144,[1]products!$A:$B,2,FALSE)</f>
        <v>Electra Girl's Hawaii 1 (16-inch) - 2015/2016</v>
      </c>
      <c r="I144">
        <f>VLOOKUP(C144,[1]products!$A:$D,4,FALSE)</f>
        <v>3</v>
      </c>
      <c r="J144" t="str">
        <f>VLOOKUP(I144,[2]categories!$A$1:$B$8,2,FALSE)</f>
        <v>Cruisers Bicycles</v>
      </c>
    </row>
    <row r="145" customHeight="1" spans="1:10">
      <c r="A145" s="1">
        <v>49</v>
      </c>
      <c r="B145" s="1">
        <v>1</v>
      </c>
      <c r="C145" s="1">
        <v>13</v>
      </c>
      <c r="D145" s="1">
        <v>2</v>
      </c>
      <c r="E145" s="1">
        <v>269.99</v>
      </c>
      <c r="F145" s="1">
        <v>0.07</v>
      </c>
      <c r="G145">
        <f t="shared" si="2"/>
        <v>539.91</v>
      </c>
      <c r="H145" t="str">
        <f>VLOOKUP(C145,[1]products!$A:$B,2,FALSE)</f>
        <v>Electra Cruiser 1 (24-Inch) - 2016</v>
      </c>
      <c r="I145">
        <f>VLOOKUP(C145,[1]products!$A:$D,4,FALSE)</f>
        <v>3</v>
      </c>
      <c r="J145" t="str">
        <f>VLOOKUP(I145,[2]categories!$A$1:$B$8,2,FALSE)</f>
        <v>Cruisers Bicycles</v>
      </c>
    </row>
    <row r="146" customHeight="1" spans="1:10">
      <c r="A146" s="1">
        <v>50</v>
      </c>
      <c r="B146" s="1">
        <v>1</v>
      </c>
      <c r="C146" s="1">
        <v>3</v>
      </c>
      <c r="D146" s="1">
        <v>1</v>
      </c>
      <c r="E146" s="1">
        <v>999.99</v>
      </c>
      <c r="F146" s="1">
        <v>0.05</v>
      </c>
      <c r="G146">
        <f t="shared" si="2"/>
        <v>999.94</v>
      </c>
      <c r="H146" t="str">
        <f>VLOOKUP(C146,[1]products!$A:$B,2,FALSE)</f>
        <v>Surly Wednesday Frameset - 2016</v>
      </c>
      <c r="I146">
        <f>VLOOKUP(C146,[1]products!$A:$D,4,FALSE)</f>
        <v>6</v>
      </c>
      <c r="J146" t="str">
        <f>VLOOKUP(I146,[2]categories!$A$1:$B$8,2,FALSE)</f>
        <v>Mountain Bikes</v>
      </c>
    </row>
    <row r="147" customHeight="1" spans="1:10">
      <c r="A147" s="1">
        <v>50</v>
      </c>
      <c r="B147" s="1">
        <v>2</v>
      </c>
      <c r="C147" s="1">
        <v>26</v>
      </c>
      <c r="D147" s="1">
        <v>2</v>
      </c>
      <c r="E147" s="1">
        <v>599.99</v>
      </c>
      <c r="F147" s="1">
        <v>0.07</v>
      </c>
      <c r="G147">
        <f t="shared" si="2"/>
        <v>1199.91</v>
      </c>
      <c r="H147" t="str">
        <f>VLOOKUP(C147,[1]products!$A:$B,2,FALSE)</f>
        <v>Electra Townie Original 7D EQ - 2016</v>
      </c>
      <c r="I147">
        <f>VLOOKUP(C147,[1]products!$A:$D,4,FALSE)</f>
        <v>2</v>
      </c>
      <c r="J147" t="str">
        <f>VLOOKUP(I147,[2]categories!$A$1:$B$8,2,FALSE)</f>
        <v>Comfort Bicycles</v>
      </c>
    </row>
    <row r="148" customHeight="1" spans="1:10">
      <c r="A148" s="1">
        <v>50</v>
      </c>
      <c r="B148" s="1">
        <v>3</v>
      </c>
      <c r="C148" s="1">
        <v>13</v>
      </c>
      <c r="D148" s="1">
        <v>2</v>
      </c>
      <c r="E148" s="1">
        <v>269.99</v>
      </c>
      <c r="F148" s="1">
        <v>0.2</v>
      </c>
      <c r="G148">
        <f t="shared" si="2"/>
        <v>539.78</v>
      </c>
      <c r="H148" t="str">
        <f>VLOOKUP(C148,[1]products!$A:$B,2,FALSE)</f>
        <v>Electra Cruiser 1 (24-Inch) - 2016</v>
      </c>
      <c r="I148">
        <f>VLOOKUP(C148,[1]products!$A:$D,4,FALSE)</f>
        <v>3</v>
      </c>
      <c r="J148" t="str">
        <f>VLOOKUP(I148,[2]categories!$A$1:$B$8,2,FALSE)</f>
        <v>Cruisers Bicycles</v>
      </c>
    </row>
    <row r="149" customHeight="1" spans="1:10">
      <c r="A149" s="1">
        <v>51</v>
      </c>
      <c r="B149" s="1">
        <v>1</v>
      </c>
      <c r="C149" s="1">
        <v>13</v>
      </c>
      <c r="D149" s="1">
        <v>1</v>
      </c>
      <c r="E149" s="1">
        <v>269.99</v>
      </c>
      <c r="F149" s="1">
        <v>0.05</v>
      </c>
      <c r="G149">
        <f t="shared" si="2"/>
        <v>269.94</v>
      </c>
      <c r="H149" t="str">
        <f>VLOOKUP(C149,[1]products!$A:$B,2,FALSE)</f>
        <v>Electra Cruiser 1 (24-Inch) - 2016</v>
      </c>
      <c r="I149">
        <f>VLOOKUP(C149,[1]products!$A:$D,4,FALSE)</f>
        <v>3</v>
      </c>
      <c r="J149" t="str">
        <f>VLOOKUP(I149,[2]categories!$A$1:$B$8,2,FALSE)</f>
        <v>Cruisers Bicycles</v>
      </c>
    </row>
    <row r="150" customHeight="1" spans="1:10">
      <c r="A150" s="1">
        <v>51</v>
      </c>
      <c r="B150" s="1">
        <v>2</v>
      </c>
      <c r="C150" s="1">
        <v>20</v>
      </c>
      <c r="D150" s="1">
        <v>1</v>
      </c>
      <c r="E150" s="1">
        <v>599.99</v>
      </c>
      <c r="F150" s="1">
        <v>0.05</v>
      </c>
      <c r="G150">
        <f t="shared" si="2"/>
        <v>599.94</v>
      </c>
      <c r="H150" t="str">
        <f>VLOOKUP(C150,[1]products!$A:$B,2,FALSE)</f>
        <v>Electra Townie Original 7D EQ - Women's - 2016</v>
      </c>
      <c r="I150">
        <f>VLOOKUP(C150,[1]products!$A:$D,4,FALSE)</f>
        <v>3</v>
      </c>
      <c r="J150" t="str">
        <f>VLOOKUP(I150,[2]categories!$A$1:$B$8,2,FALSE)</f>
        <v>Cruisers Bicycles</v>
      </c>
    </row>
    <row r="151" customHeight="1" spans="1:10">
      <c r="A151" s="1">
        <v>51</v>
      </c>
      <c r="B151" s="1">
        <v>3</v>
      </c>
      <c r="C151" s="1">
        <v>26</v>
      </c>
      <c r="D151" s="1">
        <v>2</v>
      </c>
      <c r="E151" s="1">
        <v>599.99</v>
      </c>
      <c r="F151" s="1">
        <v>0.2</v>
      </c>
      <c r="G151">
        <f t="shared" si="2"/>
        <v>1199.78</v>
      </c>
      <c r="H151" t="str">
        <f>VLOOKUP(C151,[1]products!$A:$B,2,FALSE)</f>
        <v>Electra Townie Original 7D EQ - 2016</v>
      </c>
      <c r="I151">
        <f>VLOOKUP(C151,[1]products!$A:$D,4,FALSE)</f>
        <v>2</v>
      </c>
      <c r="J151" t="str">
        <f>VLOOKUP(I151,[2]categories!$A$1:$B$8,2,FALSE)</f>
        <v>Comfort Bicycles</v>
      </c>
    </row>
    <row r="152" customHeight="1" spans="1:10">
      <c r="A152" s="1">
        <v>52</v>
      </c>
      <c r="B152" s="1">
        <v>1</v>
      </c>
      <c r="C152" s="1">
        <v>25</v>
      </c>
      <c r="D152" s="1">
        <v>1</v>
      </c>
      <c r="E152" s="1">
        <v>499.99</v>
      </c>
      <c r="F152" s="1">
        <v>0.07</v>
      </c>
      <c r="G152">
        <f t="shared" si="2"/>
        <v>499.92</v>
      </c>
      <c r="H152" t="str">
        <f>VLOOKUP(C152,[1]products!$A:$B,2,FALSE)</f>
        <v>Electra Townie Original 7D - 2015/2016</v>
      </c>
      <c r="I152">
        <f>VLOOKUP(C152,[1]products!$A:$D,4,FALSE)</f>
        <v>2</v>
      </c>
      <c r="J152" t="str">
        <f>VLOOKUP(I152,[2]categories!$A$1:$B$8,2,FALSE)</f>
        <v>Comfort Bicycles</v>
      </c>
    </row>
    <row r="153" customHeight="1" spans="1:10">
      <c r="A153" s="1">
        <v>53</v>
      </c>
      <c r="B153" s="1">
        <v>1</v>
      </c>
      <c r="C153" s="1">
        <v>8</v>
      </c>
      <c r="D153" s="1">
        <v>2</v>
      </c>
      <c r="E153" s="1">
        <v>1799.99</v>
      </c>
      <c r="F153" s="1">
        <v>0.2</v>
      </c>
      <c r="G153">
        <f t="shared" si="2"/>
        <v>3599.78</v>
      </c>
      <c r="H153" t="str">
        <f>VLOOKUP(C153,[1]products!$A:$B,2,FALSE)</f>
        <v>Trek Remedy 29 Carbon Frameset - 2016</v>
      </c>
      <c r="I153">
        <f>VLOOKUP(C153,[1]products!$A:$D,4,FALSE)</f>
        <v>6</v>
      </c>
      <c r="J153" t="str">
        <f>VLOOKUP(I153,[2]categories!$A$1:$B$8,2,FALSE)</f>
        <v>Mountain Bikes</v>
      </c>
    </row>
    <row r="154" customHeight="1" spans="1:10">
      <c r="A154" s="1">
        <v>53</v>
      </c>
      <c r="B154" s="1">
        <v>2</v>
      </c>
      <c r="C154" s="1">
        <v>23</v>
      </c>
      <c r="D154" s="1">
        <v>2</v>
      </c>
      <c r="E154" s="1">
        <v>299.99</v>
      </c>
      <c r="F154" s="1">
        <v>0.05</v>
      </c>
      <c r="G154">
        <f t="shared" si="2"/>
        <v>599.93</v>
      </c>
      <c r="H154" t="str">
        <f>VLOOKUP(C154,[1]products!$A:$B,2,FALSE)</f>
        <v>Electra Girl's Hawaii 1 (20-inch) - 2015/2016</v>
      </c>
      <c r="I154">
        <f>VLOOKUP(C154,[1]products!$A:$D,4,FALSE)</f>
        <v>1</v>
      </c>
      <c r="J154" t="str">
        <f>VLOOKUP(I154,[2]categories!$A$1:$B$8,2,FALSE)</f>
        <v>Children Bicycles</v>
      </c>
    </row>
    <row r="155" customHeight="1" spans="1:10">
      <c r="A155" s="1">
        <v>53</v>
      </c>
      <c r="B155" s="1">
        <v>3</v>
      </c>
      <c r="C155" s="1">
        <v>14</v>
      </c>
      <c r="D155" s="1">
        <v>2</v>
      </c>
      <c r="E155" s="1">
        <v>269.99</v>
      </c>
      <c r="F155" s="1">
        <v>0.2</v>
      </c>
      <c r="G155">
        <f t="shared" si="2"/>
        <v>539.78</v>
      </c>
      <c r="H155" t="str">
        <f>VLOOKUP(C155,[1]products!$A:$B,2,FALSE)</f>
        <v>Electra Girl's Hawaii 1 (16-inch) - 2015/2016</v>
      </c>
      <c r="I155">
        <f>VLOOKUP(C155,[1]products!$A:$D,4,FALSE)</f>
        <v>3</v>
      </c>
      <c r="J155" t="str">
        <f>VLOOKUP(I155,[2]categories!$A$1:$B$8,2,FALSE)</f>
        <v>Cruisers Bicycles</v>
      </c>
    </row>
    <row r="156" customHeight="1" spans="1:10">
      <c r="A156" s="1">
        <v>53</v>
      </c>
      <c r="B156" s="1">
        <v>4</v>
      </c>
      <c r="C156" s="1">
        <v>25</v>
      </c>
      <c r="D156" s="1">
        <v>2</v>
      </c>
      <c r="E156" s="1">
        <v>499.99</v>
      </c>
      <c r="F156" s="1">
        <v>0.1</v>
      </c>
      <c r="G156">
        <f t="shared" si="2"/>
        <v>999.88</v>
      </c>
      <c r="H156" t="str">
        <f>VLOOKUP(C156,[1]products!$A:$B,2,FALSE)</f>
        <v>Electra Townie Original 7D - 2015/2016</v>
      </c>
      <c r="I156">
        <f>VLOOKUP(C156,[1]products!$A:$D,4,FALSE)</f>
        <v>2</v>
      </c>
      <c r="J156" t="str">
        <f>VLOOKUP(I156,[2]categories!$A$1:$B$8,2,FALSE)</f>
        <v>Comfort Bicycles</v>
      </c>
    </row>
    <row r="157" customHeight="1" spans="1:10">
      <c r="A157" s="1">
        <v>54</v>
      </c>
      <c r="B157" s="1">
        <v>1</v>
      </c>
      <c r="C157" s="1">
        <v>26</v>
      </c>
      <c r="D157" s="1">
        <v>2</v>
      </c>
      <c r="E157" s="1">
        <v>599.99</v>
      </c>
      <c r="F157" s="1">
        <v>0.2</v>
      </c>
      <c r="G157">
        <f t="shared" si="2"/>
        <v>1199.78</v>
      </c>
      <c r="H157" t="str">
        <f>VLOOKUP(C157,[1]products!$A:$B,2,FALSE)</f>
        <v>Electra Townie Original 7D EQ - 2016</v>
      </c>
      <c r="I157">
        <f>VLOOKUP(C157,[1]products!$A:$D,4,FALSE)</f>
        <v>2</v>
      </c>
      <c r="J157" t="str">
        <f>VLOOKUP(I157,[2]categories!$A$1:$B$8,2,FALSE)</f>
        <v>Comfort Bicycles</v>
      </c>
    </row>
    <row r="158" customHeight="1" spans="1:10">
      <c r="A158" s="1">
        <v>54</v>
      </c>
      <c r="B158" s="1">
        <v>2</v>
      </c>
      <c r="C158" s="1">
        <v>3</v>
      </c>
      <c r="D158" s="1">
        <v>1</v>
      </c>
      <c r="E158" s="1">
        <v>999.99</v>
      </c>
      <c r="F158" s="1">
        <v>0.2</v>
      </c>
      <c r="G158">
        <f t="shared" si="2"/>
        <v>999.79</v>
      </c>
      <c r="H158" t="str">
        <f>VLOOKUP(C158,[1]products!$A:$B,2,FALSE)</f>
        <v>Surly Wednesday Frameset - 2016</v>
      </c>
      <c r="I158">
        <f>VLOOKUP(C158,[1]products!$A:$D,4,FALSE)</f>
        <v>6</v>
      </c>
      <c r="J158" t="str">
        <f>VLOOKUP(I158,[2]categories!$A$1:$B$8,2,FALSE)</f>
        <v>Mountain Bikes</v>
      </c>
    </row>
    <row r="159" customHeight="1" spans="1:10">
      <c r="A159" s="1">
        <v>55</v>
      </c>
      <c r="B159" s="1">
        <v>1</v>
      </c>
      <c r="C159" s="1">
        <v>21</v>
      </c>
      <c r="D159" s="1">
        <v>1</v>
      </c>
      <c r="E159" s="1">
        <v>269.99</v>
      </c>
      <c r="F159" s="1">
        <v>0.05</v>
      </c>
      <c r="G159">
        <f t="shared" si="2"/>
        <v>269.94</v>
      </c>
      <c r="H159" t="str">
        <f>VLOOKUP(C159,[1]products!$A:$B,2,FALSE)</f>
        <v>Electra Cruiser 1 (24-Inch) - 2016</v>
      </c>
      <c r="I159">
        <f>VLOOKUP(C159,[1]products!$A:$D,4,FALSE)</f>
        <v>1</v>
      </c>
      <c r="J159" t="str">
        <f>VLOOKUP(I159,[2]categories!$A$1:$B$8,2,FALSE)</f>
        <v>Children Bicycles</v>
      </c>
    </row>
    <row r="160" customHeight="1" spans="1:10">
      <c r="A160" s="1">
        <v>55</v>
      </c>
      <c r="B160" s="1">
        <v>2</v>
      </c>
      <c r="C160" s="1">
        <v>25</v>
      </c>
      <c r="D160" s="1">
        <v>2</v>
      </c>
      <c r="E160" s="1">
        <v>499.99</v>
      </c>
      <c r="F160" s="1">
        <v>0.2</v>
      </c>
      <c r="G160">
        <f t="shared" si="2"/>
        <v>999.78</v>
      </c>
      <c r="H160" t="str">
        <f>VLOOKUP(C160,[1]products!$A:$B,2,FALSE)</f>
        <v>Electra Townie Original 7D - 2015/2016</v>
      </c>
      <c r="I160">
        <f>VLOOKUP(C160,[1]products!$A:$D,4,FALSE)</f>
        <v>2</v>
      </c>
      <c r="J160" t="str">
        <f>VLOOKUP(I160,[2]categories!$A$1:$B$8,2,FALSE)</f>
        <v>Comfort Bicycles</v>
      </c>
    </row>
    <row r="161" customHeight="1" spans="1:10">
      <c r="A161" s="1">
        <v>55</v>
      </c>
      <c r="B161" s="1">
        <v>3</v>
      </c>
      <c r="C161" s="1">
        <v>15</v>
      </c>
      <c r="D161" s="1">
        <v>2</v>
      </c>
      <c r="E161" s="1">
        <v>529.99</v>
      </c>
      <c r="F161" s="1">
        <v>0.2</v>
      </c>
      <c r="G161">
        <f t="shared" si="2"/>
        <v>1059.78</v>
      </c>
      <c r="H161" t="str">
        <f>VLOOKUP(C161,[1]products!$A:$B,2,FALSE)</f>
        <v>Electra Moto 1 - 2016</v>
      </c>
      <c r="I161">
        <f>VLOOKUP(C161,[1]products!$A:$D,4,FALSE)</f>
        <v>3</v>
      </c>
      <c r="J161" t="str">
        <f>VLOOKUP(I161,[2]categories!$A$1:$B$8,2,FALSE)</f>
        <v>Cruisers Bicycles</v>
      </c>
    </row>
    <row r="162" customHeight="1" spans="1:10">
      <c r="A162" s="1">
        <v>56</v>
      </c>
      <c r="B162" s="1">
        <v>1</v>
      </c>
      <c r="C162" s="1">
        <v>20</v>
      </c>
      <c r="D162" s="1">
        <v>2</v>
      </c>
      <c r="E162" s="1">
        <v>599.99</v>
      </c>
      <c r="F162" s="1">
        <v>0.07</v>
      </c>
      <c r="G162">
        <f t="shared" si="2"/>
        <v>1199.91</v>
      </c>
      <c r="H162" t="str">
        <f>VLOOKUP(C162,[1]products!$A:$B,2,FALSE)</f>
        <v>Electra Townie Original 7D EQ - Women's - 2016</v>
      </c>
      <c r="I162">
        <f>VLOOKUP(C162,[1]products!$A:$D,4,FALSE)</f>
        <v>3</v>
      </c>
      <c r="J162" t="str">
        <f>VLOOKUP(I162,[2]categories!$A$1:$B$8,2,FALSE)</f>
        <v>Cruisers Bicycles</v>
      </c>
    </row>
    <row r="163" customHeight="1" spans="1:10">
      <c r="A163" s="1">
        <v>57</v>
      </c>
      <c r="B163" s="1">
        <v>1</v>
      </c>
      <c r="C163" s="1">
        <v>23</v>
      </c>
      <c r="D163" s="1">
        <v>2</v>
      </c>
      <c r="E163" s="1">
        <v>299.99</v>
      </c>
      <c r="F163" s="1">
        <v>0.1</v>
      </c>
      <c r="G163">
        <f t="shared" si="2"/>
        <v>599.88</v>
      </c>
      <c r="H163" t="str">
        <f>VLOOKUP(C163,[1]products!$A:$B,2,FALSE)</f>
        <v>Electra Girl's Hawaii 1 (20-inch) - 2015/2016</v>
      </c>
      <c r="I163">
        <f>VLOOKUP(C163,[1]products!$A:$D,4,FALSE)</f>
        <v>1</v>
      </c>
      <c r="J163" t="str">
        <f>VLOOKUP(I163,[2]categories!$A$1:$B$8,2,FALSE)</f>
        <v>Children Bicycles</v>
      </c>
    </row>
    <row r="164" customHeight="1" spans="1:10">
      <c r="A164" s="1">
        <v>57</v>
      </c>
      <c r="B164" s="1">
        <v>2</v>
      </c>
      <c r="C164" s="1">
        <v>19</v>
      </c>
      <c r="D164" s="1">
        <v>2</v>
      </c>
      <c r="E164" s="1">
        <v>449</v>
      </c>
      <c r="F164" s="1">
        <v>0.2</v>
      </c>
      <c r="G164">
        <f t="shared" si="2"/>
        <v>897.8</v>
      </c>
      <c r="H164" t="str">
        <f>VLOOKUP(C164,[1]products!$A:$B,2,FALSE)</f>
        <v>Pure Cycles William 3-Speed - 2016</v>
      </c>
      <c r="I164">
        <f>VLOOKUP(C164,[1]products!$A:$D,4,FALSE)</f>
        <v>3</v>
      </c>
      <c r="J164" t="str">
        <f>VLOOKUP(I164,[2]categories!$A$1:$B$8,2,FALSE)</f>
        <v>Cruisers Bicycles</v>
      </c>
    </row>
    <row r="165" customHeight="1" spans="1:10">
      <c r="A165" s="1">
        <v>57</v>
      </c>
      <c r="B165" s="1">
        <v>3</v>
      </c>
      <c r="C165" s="1">
        <v>13</v>
      </c>
      <c r="D165" s="1">
        <v>1</v>
      </c>
      <c r="E165" s="1">
        <v>269.99</v>
      </c>
      <c r="F165" s="1">
        <v>0.07</v>
      </c>
      <c r="G165">
        <f t="shared" si="2"/>
        <v>269.92</v>
      </c>
      <c r="H165" t="str">
        <f>VLOOKUP(C165,[1]products!$A:$B,2,FALSE)</f>
        <v>Electra Cruiser 1 (24-Inch) - 2016</v>
      </c>
      <c r="I165">
        <f>VLOOKUP(C165,[1]products!$A:$D,4,FALSE)</f>
        <v>3</v>
      </c>
      <c r="J165" t="str">
        <f>VLOOKUP(I165,[2]categories!$A$1:$B$8,2,FALSE)</f>
        <v>Cruisers Bicycles</v>
      </c>
    </row>
    <row r="166" customHeight="1" spans="1:10">
      <c r="A166" s="1">
        <v>58</v>
      </c>
      <c r="B166" s="1">
        <v>1</v>
      </c>
      <c r="C166" s="1">
        <v>14</v>
      </c>
      <c r="D166" s="1">
        <v>2</v>
      </c>
      <c r="E166" s="1">
        <v>269.99</v>
      </c>
      <c r="F166" s="1">
        <v>0.05</v>
      </c>
      <c r="G166">
        <f t="shared" si="2"/>
        <v>539.93</v>
      </c>
      <c r="H166" t="str">
        <f>VLOOKUP(C166,[1]products!$A:$B,2,FALSE)</f>
        <v>Electra Girl's Hawaii 1 (16-inch) - 2015/2016</v>
      </c>
      <c r="I166">
        <f>VLOOKUP(C166,[1]products!$A:$D,4,FALSE)</f>
        <v>3</v>
      </c>
      <c r="J166" t="str">
        <f>VLOOKUP(I166,[2]categories!$A$1:$B$8,2,FALSE)</f>
        <v>Cruisers Bicycles</v>
      </c>
    </row>
    <row r="167" customHeight="1" spans="1:10">
      <c r="A167" s="1">
        <v>58</v>
      </c>
      <c r="B167" s="1">
        <v>2</v>
      </c>
      <c r="C167" s="1">
        <v>18</v>
      </c>
      <c r="D167" s="1">
        <v>1</v>
      </c>
      <c r="E167" s="1">
        <v>449</v>
      </c>
      <c r="F167" s="1">
        <v>0.07</v>
      </c>
      <c r="G167">
        <f t="shared" si="2"/>
        <v>448.93</v>
      </c>
      <c r="H167" t="str">
        <f>VLOOKUP(C167,[1]products!$A:$B,2,FALSE)</f>
        <v>Pure Cycles Western 3-Speed - Women's - 2015/2016</v>
      </c>
      <c r="I167">
        <f>VLOOKUP(C167,[1]products!$A:$D,4,FALSE)</f>
        <v>3</v>
      </c>
      <c r="J167" t="str">
        <f>VLOOKUP(I167,[2]categories!$A$1:$B$8,2,FALSE)</f>
        <v>Cruisers Bicycles</v>
      </c>
    </row>
    <row r="168" customHeight="1" spans="1:10">
      <c r="A168" s="1">
        <v>58</v>
      </c>
      <c r="B168" s="1">
        <v>3</v>
      </c>
      <c r="C168" s="1">
        <v>23</v>
      </c>
      <c r="D168" s="1">
        <v>1</v>
      </c>
      <c r="E168" s="1">
        <v>299.99</v>
      </c>
      <c r="F168" s="1">
        <v>0.1</v>
      </c>
      <c r="G168">
        <f t="shared" si="2"/>
        <v>299.89</v>
      </c>
      <c r="H168" t="str">
        <f>VLOOKUP(C168,[1]products!$A:$B,2,FALSE)</f>
        <v>Electra Girl's Hawaii 1 (20-inch) - 2015/2016</v>
      </c>
      <c r="I168">
        <f>VLOOKUP(C168,[1]products!$A:$D,4,FALSE)</f>
        <v>1</v>
      </c>
      <c r="J168" t="str">
        <f>VLOOKUP(I168,[2]categories!$A$1:$B$8,2,FALSE)</f>
        <v>Children Bicycles</v>
      </c>
    </row>
    <row r="169" customHeight="1" spans="1:10">
      <c r="A169" s="1">
        <v>59</v>
      </c>
      <c r="B169" s="1">
        <v>1</v>
      </c>
      <c r="C169" s="1">
        <v>21</v>
      </c>
      <c r="D169" s="1">
        <v>1</v>
      </c>
      <c r="E169" s="1">
        <v>269.99</v>
      </c>
      <c r="F169" s="1">
        <v>0.05</v>
      </c>
      <c r="G169">
        <f t="shared" si="2"/>
        <v>269.94</v>
      </c>
      <c r="H169" t="str">
        <f>VLOOKUP(C169,[1]products!$A:$B,2,FALSE)</f>
        <v>Electra Cruiser 1 (24-Inch) - 2016</v>
      </c>
      <c r="I169">
        <f>VLOOKUP(C169,[1]products!$A:$D,4,FALSE)</f>
        <v>1</v>
      </c>
      <c r="J169" t="str">
        <f>VLOOKUP(I169,[2]categories!$A$1:$B$8,2,FALSE)</f>
        <v>Children Bicycles</v>
      </c>
    </row>
    <row r="170" customHeight="1" spans="1:10">
      <c r="A170" s="1">
        <v>59</v>
      </c>
      <c r="B170" s="1">
        <v>2</v>
      </c>
      <c r="C170" s="1">
        <v>2</v>
      </c>
      <c r="D170" s="1">
        <v>1</v>
      </c>
      <c r="E170" s="1">
        <v>749.99</v>
      </c>
      <c r="F170" s="1">
        <v>0.1</v>
      </c>
      <c r="G170">
        <f t="shared" si="2"/>
        <v>749.89</v>
      </c>
      <c r="H170" t="str">
        <f>VLOOKUP(C170,[1]products!$A:$B,2,FALSE)</f>
        <v>Ritchey Timberwolf Frameset - 2016</v>
      </c>
      <c r="I170">
        <f>VLOOKUP(C170,[1]products!$A:$D,4,FALSE)</f>
        <v>6</v>
      </c>
      <c r="J170" t="str">
        <f>VLOOKUP(I170,[2]categories!$A$1:$B$8,2,FALSE)</f>
        <v>Mountain Bikes</v>
      </c>
    </row>
    <row r="171" customHeight="1" spans="1:10">
      <c r="A171" s="1">
        <v>59</v>
      </c>
      <c r="B171" s="1">
        <v>3</v>
      </c>
      <c r="C171" s="1">
        <v>17</v>
      </c>
      <c r="D171" s="1">
        <v>2</v>
      </c>
      <c r="E171" s="1">
        <v>429</v>
      </c>
      <c r="F171" s="1">
        <v>0.1</v>
      </c>
      <c r="G171">
        <f t="shared" si="2"/>
        <v>857.9</v>
      </c>
      <c r="H171" t="str">
        <f>VLOOKUP(C171,[1]products!$A:$B,2,FALSE)</f>
        <v>Pure Cycles Vine 8-Speed - 2016</v>
      </c>
      <c r="I171">
        <f>VLOOKUP(C171,[1]products!$A:$D,4,FALSE)</f>
        <v>3</v>
      </c>
      <c r="J171" t="str">
        <f>VLOOKUP(I171,[2]categories!$A$1:$B$8,2,FALSE)</f>
        <v>Cruisers Bicycles</v>
      </c>
    </row>
    <row r="172" customHeight="1" spans="1:10">
      <c r="A172" s="1">
        <v>60</v>
      </c>
      <c r="B172" s="1">
        <v>1</v>
      </c>
      <c r="C172" s="1">
        <v>14</v>
      </c>
      <c r="D172" s="1">
        <v>2</v>
      </c>
      <c r="E172" s="1">
        <v>269.99</v>
      </c>
      <c r="F172" s="1">
        <v>0.05</v>
      </c>
      <c r="G172">
        <f t="shared" si="2"/>
        <v>539.93</v>
      </c>
      <c r="H172" t="str">
        <f>VLOOKUP(C172,[1]products!$A:$B,2,FALSE)</f>
        <v>Electra Girl's Hawaii 1 (16-inch) - 2015/2016</v>
      </c>
      <c r="I172">
        <f>VLOOKUP(C172,[1]products!$A:$D,4,FALSE)</f>
        <v>3</v>
      </c>
      <c r="J172" t="str">
        <f>VLOOKUP(I172,[2]categories!$A$1:$B$8,2,FALSE)</f>
        <v>Cruisers Bicycles</v>
      </c>
    </row>
    <row r="173" customHeight="1" spans="1:10">
      <c r="A173" s="1">
        <v>60</v>
      </c>
      <c r="B173" s="1">
        <v>2</v>
      </c>
      <c r="C173" s="1">
        <v>4</v>
      </c>
      <c r="D173" s="1">
        <v>1</v>
      </c>
      <c r="E173" s="1">
        <v>2899.99</v>
      </c>
      <c r="F173" s="1">
        <v>0.1</v>
      </c>
      <c r="G173">
        <f t="shared" si="2"/>
        <v>2899.89</v>
      </c>
      <c r="H173" t="str">
        <f>VLOOKUP(C173,[1]products!$A:$B,2,FALSE)</f>
        <v>Trek Fuel EX 8 29 - 2016</v>
      </c>
      <c r="I173">
        <f>VLOOKUP(C173,[1]products!$A:$D,4,FALSE)</f>
        <v>6</v>
      </c>
      <c r="J173" t="str">
        <f>VLOOKUP(I173,[2]categories!$A$1:$B$8,2,FALSE)</f>
        <v>Mountain Bikes</v>
      </c>
    </row>
    <row r="174" customHeight="1" spans="1:10">
      <c r="A174" s="1">
        <v>60</v>
      </c>
      <c r="B174" s="1">
        <v>3</v>
      </c>
      <c r="C174" s="1">
        <v>15</v>
      </c>
      <c r="D174" s="1">
        <v>1</v>
      </c>
      <c r="E174" s="1">
        <v>529.99</v>
      </c>
      <c r="F174" s="1">
        <v>0.07</v>
      </c>
      <c r="G174">
        <f t="shared" si="2"/>
        <v>529.92</v>
      </c>
      <c r="H174" t="str">
        <f>VLOOKUP(C174,[1]products!$A:$B,2,FALSE)</f>
        <v>Electra Moto 1 - 2016</v>
      </c>
      <c r="I174">
        <f>VLOOKUP(C174,[1]products!$A:$D,4,FALSE)</f>
        <v>3</v>
      </c>
      <c r="J174" t="str">
        <f>VLOOKUP(I174,[2]categories!$A$1:$B$8,2,FALSE)</f>
        <v>Cruisers Bicycles</v>
      </c>
    </row>
    <row r="175" customHeight="1" spans="1:10">
      <c r="A175" s="1">
        <v>60</v>
      </c>
      <c r="B175" s="1">
        <v>4</v>
      </c>
      <c r="C175" s="1">
        <v>22</v>
      </c>
      <c r="D175" s="1">
        <v>1</v>
      </c>
      <c r="E175" s="1">
        <v>269.99</v>
      </c>
      <c r="F175" s="1">
        <v>0.2</v>
      </c>
      <c r="G175">
        <f t="shared" si="2"/>
        <v>269.79</v>
      </c>
      <c r="H175" t="str">
        <f>VLOOKUP(C175,[1]products!$A:$B,2,FALSE)</f>
        <v>Electra Girl's Hawaii 1 (16-inch) - 2015/2016</v>
      </c>
      <c r="I175">
        <f>VLOOKUP(C175,[1]products!$A:$D,4,FALSE)</f>
        <v>1</v>
      </c>
      <c r="J175" t="str">
        <f>VLOOKUP(I175,[2]categories!$A$1:$B$8,2,FALSE)</f>
        <v>Children Bicycles</v>
      </c>
    </row>
    <row r="176" customHeight="1" spans="1:10">
      <c r="A176" s="1">
        <v>61</v>
      </c>
      <c r="B176" s="1">
        <v>1</v>
      </c>
      <c r="C176" s="1">
        <v>25</v>
      </c>
      <c r="D176" s="1">
        <v>1</v>
      </c>
      <c r="E176" s="1">
        <v>499.99</v>
      </c>
      <c r="F176" s="1">
        <v>0.1</v>
      </c>
      <c r="G176">
        <f t="shared" si="2"/>
        <v>499.89</v>
      </c>
      <c r="H176" t="str">
        <f>VLOOKUP(C176,[1]products!$A:$B,2,FALSE)</f>
        <v>Electra Townie Original 7D - 2015/2016</v>
      </c>
      <c r="I176">
        <f>VLOOKUP(C176,[1]products!$A:$D,4,FALSE)</f>
        <v>2</v>
      </c>
      <c r="J176" t="str">
        <f>VLOOKUP(I176,[2]categories!$A$1:$B$8,2,FALSE)</f>
        <v>Comfort Bicycles</v>
      </c>
    </row>
    <row r="177" customHeight="1" spans="1:10">
      <c r="A177" s="1">
        <v>61</v>
      </c>
      <c r="B177" s="1">
        <v>2</v>
      </c>
      <c r="C177" s="1">
        <v>15</v>
      </c>
      <c r="D177" s="1">
        <v>2</v>
      </c>
      <c r="E177" s="1">
        <v>529.99</v>
      </c>
      <c r="F177" s="1">
        <v>0.05</v>
      </c>
      <c r="G177">
        <f t="shared" si="2"/>
        <v>1059.93</v>
      </c>
      <c r="H177" t="str">
        <f>VLOOKUP(C177,[1]products!$A:$B,2,FALSE)</f>
        <v>Electra Moto 1 - 2016</v>
      </c>
      <c r="I177">
        <f>VLOOKUP(C177,[1]products!$A:$D,4,FALSE)</f>
        <v>3</v>
      </c>
      <c r="J177" t="str">
        <f>VLOOKUP(I177,[2]categories!$A$1:$B$8,2,FALSE)</f>
        <v>Cruisers Bicycles</v>
      </c>
    </row>
    <row r="178" customHeight="1" spans="1:10">
      <c r="A178" s="1">
        <v>61</v>
      </c>
      <c r="B178" s="1">
        <v>3</v>
      </c>
      <c r="C178" s="1">
        <v>5</v>
      </c>
      <c r="D178" s="1">
        <v>2</v>
      </c>
      <c r="E178" s="1">
        <v>1320.99</v>
      </c>
      <c r="F178" s="1">
        <v>0.2</v>
      </c>
      <c r="G178">
        <f t="shared" si="2"/>
        <v>2641.78</v>
      </c>
      <c r="H178" t="str">
        <f>VLOOKUP(C178,[1]products!$A:$B,2,FALSE)</f>
        <v>Heller Shagamaw Frame - 2016</v>
      </c>
      <c r="I178">
        <f>VLOOKUP(C178,[1]products!$A:$D,4,FALSE)</f>
        <v>6</v>
      </c>
      <c r="J178" t="str">
        <f>VLOOKUP(I178,[2]categories!$A$1:$B$8,2,FALSE)</f>
        <v>Mountain Bikes</v>
      </c>
    </row>
    <row r="179" customHeight="1" spans="1:10">
      <c r="A179" s="1">
        <v>62</v>
      </c>
      <c r="B179" s="1">
        <v>1</v>
      </c>
      <c r="C179" s="1">
        <v>14</v>
      </c>
      <c r="D179" s="1">
        <v>1</v>
      </c>
      <c r="E179" s="1">
        <v>269.99</v>
      </c>
      <c r="F179" s="1">
        <v>0.07</v>
      </c>
      <c r="G179">
        <f t="shared" si="2"/>
        <v>269.92</v>
      </c>
      <c r="H179" t="str">
        <f>VLOOKUP(C179,[1]products!$A:$B,2,FALSE)</f>
        <v>Electra Girl's Hawaii 1 (16-inch) - 2015/2016</v>
      </c>
      <c r="I179">
        <f>VLOOKUP(C179,[1]products!$A:$D,4,FALSE)</f>
        <v>3</v>
      </c>
      <c r="J179" t="str">
        <f>VLOOKUP(I179,[2]categories!$A$1:$B$8,2,FALSE)</f>
        <v>Cruisers Bicycles</v>
      </c>
    </row>
    <row r="180" customHeight="1" spans="1:10">
      <c r="A180" s="1">
        <v>62</v>
      </c>
      <c r="B180" s="1">
        <v>2</v>
      </c>
      <c r="C180" s="1">
        <v>8</v>
      </c>
      <c r="D180" s="1">
        <v>2</v>
      </c>
      <c r="E180" s="1">
        <v>1799.99</v>
      </c>
      <c r="F180" s="1">
        <v>0.1</v>
      </c>
      <c r="G180">
        <f t="shared" si="2"/>
        <v>3599.88</v>
      </c>
      <c r="H180" t="str">
        <f>VLOOKUP(C180,[1]products!$A:$B,2,FALSE)</f>
        <v>Trek Remedy 29 Carbon Frameset - 2016</v>
      </c>
      <c r="I180">
        <f>VLOOKUP(C180,[1]products!$A:$D,4,FALSE)</f>
        <v>6</v>
      </c>
      <c r="J180" t="str">
        <f>VLOOKUP(I180,[2]categories!$A$1:$B$8,2,FALSE)</f>
        <v>Mountain Bikes</v>
      </c>
    </row>
    <row r="181" customHeight="1" spans="1:10">
      <c r="A181" s="1">
        <v>62</v>
      </c>
      <c r="B181" s="1">
        <v>3</v>
      </c>
      <c r="C181" s="1">
        <v>22</v>
      </c>
      <c r="D181" s="1">
        <v>2</v>
      </c>
      <c r="E181" s="1">
        <v>269.99</v>
      </c>
      <c r="F181" s="1">
        <v>0.1</v>
      </c>
      <c r="G181">
        <f t="shared" si="2"/>
        <v>539.88</v>
      </c>
      <c r="H181" t="str">
        <f>VLOOKUP(C181,[1]products!$A:$B,2,FALSE)</f>
        <v>Electra Girl's Hawaii 1 (16-inch) - 2015/2016</v>
      </c>
      <c r="I181">
        <f>VLOOKUP(C181,[1]products!$A:$D,4,FALSE)</f>
        <v>1</v>
      </c>
      <c r="J181" t="str">
        <f>VLOOKUP(I181,[2]categories!$A$1:$B$8,2,FALSE)</f>
        <v>Children Bicycles</v>
      </c>
    </row>
    <row r="182" customHeight="1" spans="1:10">
      <c r="A182" s="1">
        <v>63</v>
      </c>
      <c r="B182" s="1">
        <v>1</v>
      </c>
      <c r="C182" s="1">
        <v>25</v>
      </c>
      <c r="D182" s="1">
        <v>2</v>
      </c>
      <c r="E182" s="1">
        <v>499.99</v>
      </c>
      <c r="F182" s="1">
        <v>0.1</v>
      </c>
      <c r="G182">
        <f t="shared" si="2"/>
        <v>999.88</v>
      </c>
      <c r="H182" t="str">
        <f>VLOOKUP(C182,[1]products!$A:$B,2,FALSE)</f>
        <v>Electra Townie Original 7D - 2015/2016</v>
      </c>
      <c r="I182">
        <f>VLOOKUP(C182,[1]products!$A:$D,4,FALSE)</f>
        <v>2</v>
      </c>
      <c r="J182" t="str">
        <f>VLOOKUP(I182,[2]categories!$A$1:$B$8,2,FALSE)</f>
        <v>Comfort Bicycles</v>
      </c>
    </row>
    <row r="183" customHeight="1" spans="1:10">
      <c r="A183" s="1">
        <v>63</v>
      </c>
      <c r="B183" s="1">
        <v>2</v>
      </c>
      <c r="C183" s="1">
        <v>19</v>
      </c>
      <c r="D183" s="1">
        <v>2</v>
      </c>
      <c r="E183" s="1">
        <v>449</v>
      </c>
      <c r="F183" s="1">
        <v>0.05</v>
      </c>
      <c r="G183">
        <f t="shared" si="2"/>
        <v>897.95</v>
      </c>
      <c r="H183" t="str">
        <f>VLOOKUP(C183,[1]products!$A:$B,2,FALSE)</f>
        <v>Pure Cycles William 3-Speed - 2016</v>
      </c>
      <c r="I183">
        <f>VLOOKUP(C183,[1]products!$A:$D,4,FALSE)</f>
        <v>3</v>
      </c>
      <c r="J183" t="str">
        <f>VLOOKUP(I183,[2]categories!$A$1:$B$8,2,FALSE)</f>
        <v>Cruisers Bicycles</v>
      </c>
    </row>
    <row r="184" customHeight="1" spans="1:10">
      <c r="A184" s="1">
        <v>63</v>
      </c>
      <c r="B184" s="1">
        <v>3</v>
      </c>
      <c r="C184" s="1">
        <v>3</v>
      </c>
      <c r="D184" s="1">
        <v>1</v>
      </c>
      <c r="E184" s="1">
        <v>999.99</v>
      </c>
      <c r="F184" s="1">
        <v>0.1</v>
      </c>
      <c r="G184">
        <f t="shared" si="2"/>
        <v>999.89</v>
      </c>
      <c r="H184" t="str">
        <f>VLOOKUP(C184,[1]products!$A:$B,2,FALSE)</f>
        <v>Surly Wednesday Frameset - 2016</v>
      </c>
      <c r="I184">
        <f>VLOOKUP(C184,[1]products!$A:$D,4,FALSE)</f>
        <v>6</v>
      </c>
      <c r="J184" t="str">
        <f>VLOOKUP(I184,[2]categories!$A$1:$B$8,2,FALSE)</f>
        <v>Mountain Bikes</v>
      </c>
    </row>
    <row r="185" customHeight="1" spans="1:10">
      <c r="A185" s="1">
        <v>64</v>
      </c>
      <c r="B185" s="1">
        <v>1</v>
      </c>
      <c r="C185" s="1">
        <v>25</v>
      </c>
      <c r="D185" s="1">
        <v>2</v>
      </c>
      <c r="E185" s="1">
        <v>499.99</v>
      </c>
      <c r="F185" s="1">
        <v>0.1</v>
      </c>
      <c r="G185">
        <f t="shared" si="2"/>
        <v>999.88</v>
      </c>
      <c r="H185" t="str">
        <f>VLOOKUP(C185,[1]products!$A:$B,2,FALSE)</f>
        <v>Electra Townie Original 7D - 2015/2016</v>
      </c>
      <c r="I185">
        <f>VLOOKUP(C185,[1]products!$A:$D,4,FALSE)</f>
        <v>2</v>
      </c>
      <c r="J185" t="str">
        <f>VLOOKUP(I185,[2]categories!$A$1:$B$8,2,FALSE)</f>
        <v>Comfort Bicycles</v>
      </c>
    </row>
    <row r="186" customHeight="1" spans="1:10">
      <c r="A186" s="1">
        <v>64</v>
      </c>
      <c r="B186" s="1">
        <v>2</v>
      </c>
      <c r="C186" s="1">
        <v>22</v>
      </c>
      <c r="D186" s="1">
        <v>2</v>
      </c>
      <c r="E186" s="1">
        <v>269.99</v>
      </c>
      <c r="F186" s="1">
        <v>0.2</v>
      </c>
      <c r="G186">
        <f t="shared" si="2"/>
        <v>539.78</v>
      </c>
      <c r="H186" t="str">
        <f>VLOOKUP(C186,[1]products!$A:$B,2,FALSE)</f>
        <v>Electra Girl's Hawaii 1 (16-inch) - 2015/2016</v>
      </c>
      <c r="I186">
        <f>VLOOKUP(C186,[1]products!$A:$D,4,FALSE)</f>
        <v>1</v>
      </c>
      <c r="J186" t="str">
        <f>VLOOKUP(I186,[2]categories!$A$1:$B$8,2,FALSE)</f>
        <v>Children Bicycles</v>
      </c>
    </row>
    <row r="187" customHeight="1" spans="1:10">
      <c r="A187" s="1">
        <v>64</v>
      </c>
      <c r="B187" s="1">
        <v>3</v>
      </c>
      <c r="C187" s="1">
        <v>23</v>
      </c>
      <c r="D187" s="1">
        <v>2</v>
      </c>
      <c r="E187" s="1">
        <v>299.99</v>
      </c>
      <c r="F187" s="1">
        <v>0.2</v>
      </c>
      <c r="G187">
        <f t="shared" si="2"/>
        <v>599.78</v>
      </c>
      <c r="H187" t="str">
        <f>VLOOKUP(C187,[1]products!$A:$B,2,FALSE)</f>
        <v>Electra Girl's Hawaii 1 (20-inch) - 2015/2016</v>
      </c>
      <c r="I187">
        <f>VLOOKUP(C187,[1]products!$A:$D,4,FALSE)</f>
        <v>1</v>
      </c>
      <c r="J187" t="str">
        <f>VLOOKUP(I187,[2]categories!$A$1:$B$8,2,FALSE)</f>
        <v>Children Bicycles</v>
      </c>
    </row>
    <row r="188" customHeight="1" spans="1:10">
      <c r="A188" s="1">
        <v>64</v>
      </c>
      <c r="B188" s="1">
        <v>4</v>
      </c>
      <c r="C188" s="1">
        <v>24</v>
      </c>
      <c r="D188" s="1">
        <v>2</v>
      </c>
      <c r="E188" s="1">
        <v>549.99</v>
      </c>
      <c r="F188" s="1">
        <v>0.1</v>
      </c>
      <c r="G188">
        <f t="shared" si="2"/>
        <v>1099.88</v>
      </c>
      <c r="H188" t="str">
        <f>VLOOKUP(C188,[1]products!$A:$B,2,FALSE)</f>
        <v>Electra Townie Original 21D - 2016</v>
      </c>
      <c r="I188">
        <f>VLOOKUP(C188,[1]products!$A:$D,4,FALSE)</f>
        <v>2</v>
      </c>
      <c r="J188" t="str">
        <f>VLOOKUP(I188,[2]categories!$A$1:$B$8,2,FALSE)</f>
        <v>Comfort Bicycles</v>
      </c>
    </row>
    <row r="189" customHeight="1" spans="1:10">
      <c r="A189" s="1">
        <v>65</v>
      </c>
      <c r="B189" s="1">
        <v>1</v>
      </c>
      <c r="C189" s="1">
        <v>12</v>
      </c>
      <c r="D189" s="1">
        <v>1</v>
      </c>
      <c r="E189" s="1">
        <v>549.99</v>
      </c>
      <c r="F189" s="1">
        <v>0.1</v>
      </c>
      <c r="G189">
        <f t="shared" si="2"/>
        <v>549.89</v>
      </c>
      <c r="H189" t="str">
        <f>VLOOKUP(C189,[1]products!$A:$B,2,FALSE)</f>
        <v>Electra Townie Original 21D - 2016</v>
      </c>
      <c r="I189">
        <f>VLOOKUP(C189,[1]products!$A:$D,4,FALSE)</f>
        <v>3</v>
      </c>
      <c r="J189" t="str">
        <f>VLOOKUP(I189,[2]categories!$A$1:$B$8,2,FALSE)</f>
        <v>Cruisers Bicycles</v>
      </c>
    </row>
    <row r="190" customHeight="1" spans="1:10">
      <c r="A190" s="1">
        <v>66</v>
      </c>
      <c r="B190" s="1">
        <v>1</v>
      </c>
      <c r="C190" s="1">
        <v>2</v>
      </c>
      <c r="D190" s="1">
        <v>1</v>
      </c>
      <c r="E190" s="1">
        <v>749.99</v>
      </c>
      <c r="F190" s="1">
        <v>0.2</v>
      </c>
      <c r="G190">
        <f t="shared" si="2"/>
        <v>749.79</v>
      </c>
      <c r="H190" t="str">
        <f>VLOOKUP(C190,[1]products!$A:$B,2,FALSE)</f>
        <v>Ritchey Timberwolf Frameset - 2016</v>
      </c>
      <c r="I190">
        <f>VLOOKUP(C190,[1]products!$A:$D,4,FALSE)</f>
        <v>6</v>
      </c>
      <c r="J190" t="str">
        <f>VLOOKUP(I190,[2]categories!$A$1:$B$8,2,FALSE)</f>
        <v>Mountain Bikes</v>
      </c>
    </row>
    <row r="191" customHeight="1" spans="1:10">
      <c r="A191" s="1">
        <v>66</v>
      </c>
      <c r="B191" s="1">
        <v>2</v>
      </c>
      <c r="C191" s="1">
        <v>23</v>
      </c>
      <c r="D191" s="1">
        <v>1</v>
      </c>
      <c r="E191" s="1">
        <v>299.99</v>
      </c>
      <c r="F191" s="1">
        <v>0.07</v>
      </c>
      <c r="G191">
        <f t="shared" si="2"/>
        <v>299.92</v>
      </c>
      <c r="H191" t="str">
        <f>VLOOKUP(C191,[1]products!$A:$B,2,FALSE)</f>
        <v>Electra Girl's Hawaii 1 (20-inch) - 2015/2016</v>
      </c>
      <c r="I191">
        <f>VLOOKUP(C191,[1]products!$A:$D,4,FALSE)</f>
        <v>1</v>
      </c>
      <c r="J191" t="str">
        <f>VLOOKUP(I191,[2]categories!$A$1:$B$8,2,FALSE)</f>
        <v>Children Bicycles</v>
      </c>
    </row>
    <row r="192" customHeight="1" spans="1:10">
      <c r="A192" s="1">
        <v>66</v>
      </c>
      <c r="B192" s="1">
        <v>3</v>
      </c>
      <c r="C192" s="1">
        <v>12</v>
      </c>
      <c r="D192" s="1">
        <v>1</v>
      </c>
      <c r="E192" s="1">
        <v>549.99</v>
      </c>
      <c r="F192" s="1">
        <v>0.07</v>
      </c>
      <c r="G192">
        <f t="shared" si="2"/>
        <v>549.92</v>
      </c>
      <c r="H192" t="str">
        <f>VLOOKUP(C192,[1]products!$A:$B,2,FALSE)</f>
        <v>Electra Townie Original 21D - 2016</v>
      </c>
      <c r="I192">
        <f>VLOOKUP(C192,[1]products!$A:$D,4,FALSE)</f>
        <v>3</v>
      </c>
      <c r="J192" t="str">
        <f>VLOOKUP(I192,[2]categories!$A$1:$B$8,2,FALSE)</f>
        <v>Cruisers Bicycles</v>
      </c>
    </row>
    <row r="193" customHeight="1" spans="1:10">
      <c r="A193" s="1">
        <v>67</v>
      </c>
      <c r="B193" s="1">
        <v>1</v>
      </c>
      <c r="C193" s="1">
        <v>23</v>
      </c>
      <c r="D193" s="1">
        <v>2</v>
      </c>
      <c r="E193" s="1">
        <v>299.99</v>
      </c>
      <c r="F193" s="1">
        <v>0.2</v>
      </c>
      <c r="G193">
        <f t="shared" si="2"/>
        <v>599.78</v>
      </c>
      <c r="H193" t="str">
        <f>VLOOKUP(C193,[1]products!$A:$B,2,FALSE)</f>
        <v>Electra Girl's Hawaii 1 (20-inch) - 2015/2016</v>
      </c>
      <c r="I193">
        <f>VLOOKUP(C193,[1]products!$A:$D,4,FALSE)</f>
        <v>1</v>
      </c>
      <c r="J193" t="str">
        <f>VLOOKUP(I193,[2]categories!$A$1:$B$8,2,FALSE)</f>
        <v>Children Bicycles</v>
      </c>
    </row>
    <row r="194" customHeight="1" spans="1:10">
      <c r="A194" s="1">
        <v>67</v>
      </c>
      <c r="B194" s="1">
        <v>2</v>
      </c>
      <c r="C194" s="1">
        <v>12</v>
      </c>
      <c r="D194" s="1">
        <v>2</v>
      </c>
      <c r="E194" s="1">
        <v>549.99</v>
      </c>
      <c r="F194" s="1">
        <v>0.1</v>
      </c>
      <c r="G194">
        <f t="shared" si="2"/>
        <v>1099.88</v>
      </c>
      <c r="H194" t="str">
        <f>VLOOKUP(C194,[1]products!$A:$B,2,FALSE)</f>
        <v>Electra Townie Original 21D - 2016</v>
      </c>
      <c r="I194">
        <f>VLOOKUP(C194,[1]products!$A:$D,4,FALSE)</f>
        <v>3</v>
      </c>
      <c r="J194" t="str">
        <f>VLOOKUP(I194,[2]categories!$A$1:$B$8,2,FALSE)</f>
        <v>Cruisers Bicycles</v>
      </c>
    </row>
    <row r="195" customHeight="1" spans="1:10">
      <c r="A195" s="1">
        <v>67</v>
      </c>
      <c r="B195" s="1">
        <v>3</v>
      </c>
      <c r="C195" s="1">
        <v>21</v>
      </c>
      <c r="D195" s="1">
        <v>1</v>
      </c>
      <c r="E195" s="1">
        <v>269.99</v>
      </c>
      <c r="F195" s="1">
        <v>0.2</v>
      </c>
      <c r="G195">
        <f t="shared" ref="G195:G258" si="3">(E195*D195)-F195</f>
        <v>269.79</v>
      </c>
      <c r="H195" t="str">
        <f>VLOOKUP(C195,[1]products!$A:$B,2,FALSE)</f>
        <v>Electra Cruiser 1 (24-Inch) - 2016</v>
      </c>
      <c r="I195">
        <f>VLOOKUP(C195,[1]products!$A:$D,4,FALSE)</f>
        <v>1</v>
      </c>
      <c r="J195" t="str">
        <f>VLOOKUP(I195,[2]categories!$A$1:$B$8,2,FALSE)</f>
        <v>Children Bicycles</v>
      </c>
    </row>
    <row r="196" customHeight="1" spans="1:10">
      <c r="A196" s="1">
        <v>67</v>
      </c>
      <c r="B196" s="1">
        <v>4</v>
      </c>
      <c r="C196" s="1">
        <v>5</v>
      </c>
      <c r="D196" s="1">
        <v>2</v>
      </c>
      <c r="E196" s="1">
        <v>1320.99</v>
      </c>
      <c r="F196" s="1">
        <v>0.1</v>
      </c>
      <c r="G196">
        <f t="shared" si="3"/>
        <v>2641.88</v>
      </c>
      <c r="H196" t="str">
        <f>VLOOKUP(C196,[1]products!$A:$B,2,FALSE)</f>
        <v>Heller Shagamaw Frame - 2016</v>
      </c>
      <c r="I196">
        <f>VLOOKUP(C196,[1]products!$A:$D,4,FALSE)</f>
        <v>6</v>
      </c>
      <c r="J196" t="str">
        <f>VLOOKUP(I196,[2]categories!$A$1:$B$8,2,FALSE)</f>
        <v>Mountain Bikes</v>
      </c>
    </row>
    <row r="197" customHeight="1" spans="1:10">
      <c r="A197" s="1">
        <v>67</v>
      </c>
      <c r="B197" s="1">
        <v>5</v>
      </c>
      <c r="C197" s="1">
        <v>19</v>
      </c>
      <c r="D197" s="1">
        <v>1</v>
      </c>
      <c r="E197" s="1">
        <v>449</v>
      </c>
      <c r="F197" s="1">
        <v>0.2</v>
      </c>
      <c r="G197">
        <f t="shared" si="3"/>
        <v>448.8</v>
      </c>
      <c r="H197" t="str">
        <f>VLOOKUP(C197,[1]products!$A:$B,2,FALSE)</f>
        <v>Pure Cycles William 3-Speed - 2016</v>
      </c>
      <c r="I197">
        <f>VLOOKUP(C197,[1]products!$A:$D,4,FALSE)</f>
        <v>3</v>
      </c>
      <c r="J197" t="str">
        <f>VLOOKUP(I197,[2]categories!$A$1:$B$8,2,FALSE)</f>
        <v>Cruisers Bicycles</v>
      </c>
    </row>
    <row r="198" customHeight="1" spans="1:10">
      <c r="A198" s="1">
        <v>68</v>
      </c>
      <c r="B198" s="1">
        <v>1</v>
      </c>
      <c r="C198" s="1">
        <v>13</v>
      </c>
      <c r="D198" s="1">
        <v>2</v>
      </c>
      <c r="E198" s="1">
        <v>269.99</v>
      </c>
      <c r="F198" s="1">
        <v>0.07</v>
      </c>
      <c r="G198">
        <f t="shared" si="3"/>
        <v>539.91</v>
      </c>
      <c r="H198" t="str">
        <f>VLOOKUP(C198,[1]products!$A:$B,2,FALSE)</f>
        <v>Electra Cruiser 1 (24-Inch) - 2016</v>
      </c>
      <c r="I198">
        <f>VLOOKUP(C198,[1]products!$A:$D,4,FALSE)</f>
        <v>3</v>
      </c>
      <c r="J198" t="str">
        <f>VLOOKUP(I198,[2]categories!$A$1:$B$8,2,FALSE)</f>
        <v>Cruisers Bicycles</v>
      </c>
    </row>
    <row r="199" customHeight="1" spans="1:10">
      <c r="A199" s="1">
        <v>68</v>
      </c>
      <c r="B199" s="1">
        <v>2</v>
      </c>
      <c r="C199" s="1">
        <v>17</v>
      </c>
      <c r="D199" s="1">
        <v>1</v>
      </c>
      <c r="E199" s="1">
        <v>429</v>
      </c>
      <c r="F199" s="1">
        <v>0.1</v>
      </c>
      <c r="G199">
        <f t="shared" si="3"/>
        <v>428.9</v>
      </c>
      <c r="H199" t="str">
        <f>VLOOKUP(C199,[1]products!$A:$B,2,FALSE)</f>
        <v>Pure Cycles Vine 8-Speed - 2016</v>
      </c>
      <c r="I199">
        <f>VLOOKUP(C199,[1]products!$A:$D,4,FALSE)</f>
        <v>3</v>
      </c>
      <c r="J199" t="str">
        <f>VLOOKUP(I199,[2]categories!$A$1:$B$8,2,FALSE)</f>
        <v>Cruisers Bicycles</v>
      </c>
    </row>
    <row r="200" customHeight="1" spans="1:10">
      <c r="A200" s="1">
        <v>69</v>
      </c>
      <c r="B200" s="1">
        <v>1</v>
      </c>
      <c r="C200" s="1">
        <v>22</v>
      </c>
      <c r="D200" s="1">
        <v>2</v>
      </c>
      <c r="E200" s="1">
        <v>269.99</v>
      </c>
      <c r="F200" s="1">
        <v>0.1</v>
      </c>
      <c r="G200">
        <f t="shared" si="3"/>
        <v>539.88</v>
      </c>
      <c r="H200" t="str">
        <f>VLOOKUP(C200,[1]products!$A:$B,2,FALSE)</f>
        <v>Electra Girl's Hawaii 1 (16-inch) - 2015/2016</v>
      </c>
      <c r="I200">
        <f>VLOOKUP(C200,[1]products!$A:$D,4,FALSE)</f>
        <v>1</v>
      </c>
      <c r="J200" t="str">
        <f>VLOOKUP(I200,[2]categories!$A$1:$B$8,2,FALSE)</f>
        <v>Children Bicycles</v>
      </c>
    </row>
    <row r="201" customHeight="1" spans="1:10">
      <c r="A201" s="1">
        <v>69</v>
      </c>
      <c r="B201" s="1">
        <v>2</v>
      </c>
      <c r="C201" s="1">
        <v>5</v>
      </c>
      <c r="D201" s="1">
        <v>1</v>
      </c>
      <c r="E201" s="1">
        <v>1320.99</v>
      </c>
      <c r="F201" s="1">
        <v>0.2</v>
      </c>
      <c r="G201">
        <f t="shared" si="3"/>
        <v>1320.79</v>
      </c>
      <c r="H201" t="str">
        <f>VLOOKUP(C201,[1]products!$A:$B,2,FALSE)</f>
        <v>Heller Shagamaw Frame - 2016</v>
      </c>
      <c r="I201">
        <f>VLOOKUP(C201,[1]products!$A:$D,4,FALSE)</f>
        <v>6</v>
      </c>
      <c r="J201" t="str">
        <f>VLOOKUP(I201,[2]categories!$A$1:$B$8,2,FALSE)</f>
        <v>Mountain Bikes</v>
      </c>
    </row>
    <row r="202" customHeight="1" spans="1:10">
      <c r="A202" s="1">
        <v>69</v>
      </c>
      <c r="B202" s="1">
        <v>3</v>
      </c>
      <c r="C202" s="1">
        <v>10</v>
      </c>
      <c r="D202" s="1">
        <v>1</v>
      </c>
      <c r="E202" s="1">
        <v>1549</v>
      </c>
      <c r="F202" s="1">
        <v>0.05</v>
      </c>
      <c r="G202">
        <f t="shared" si="3"/>
        <v>1548.95</v>
      </c>
      <c r="H202" t="str">
        <f>VLOOKUP(C202,[1]products!$A:$B,2,FALSE)</f>
        <v>Surly Straggler - 2016</v>
      </c>
      <c r="I202">
        <f>VLOOKUP(C202,[1]products!$A:$D,4,FALSE)</f>
        <v>4</v>
      </c>
      <c r="J202" t="str">
        <f>VLOOKUP(I202,[2]categories!$A$1:$B$8,2,FALSE)</f>
        <v>Cyclocross Bicycles</v>
      </c>
    </row>
    <row r="203" customHeight="1" spans="1:10">
      <c r="A203" s="1">
        <v>70</v>
      </c>
      <c r="B203" s="1">
        <v>1</v>
      </c>
      <c r="C203" s="1">
        <v>3</v>
      </c>
      <c r="D203" s="1">
        <v>2</v>
      </c>
      <c r="E203" s="1">
        <v>999.99</v>
      </c>
      <c r="F203" s="1">
        <v>0.05</v>
      </c>
      <c r="G203">
        <f t="shared" si="3"/>
        <v>1999.93</v>
      </c>
      <c r="H203" t="str">
        <f>VLOOKUP(C203,[1]products!$A:$B,2,FALSE)</f>
        <v>Surly Wednesday Frameset - 2016</v>
      </c>
      <c r="I203">
        <f>VLOOKUP(C203,[1]products!$A:$D,4,FALSE)</f>
        <v>6</v>
      </c>
      <c r="J203" t="str">
        <f>VLOOKUP(I203,[2]categories!$A$1:$B$8,2,FALSE)</f>
        <v>Mountain Bikes</v>
      </c>
    </row>
    <row r="204" customHeight="1" spans="1:10">
      <c r="A204" s="1">
        <v>70</v>
      </c>
      <c r="B204" s="1">
        <v>2</v>
      </c>
      <c r="C204" s="1">
        <v>18</v>
      </c>
      <c r="D204" s="1">
        <v>1</v>
      </c>
      <c r="E204" s="1">
        <v>449</v>
      </c>
      <c r="F204" s="1">
        <v>0.2</v>
      </c>
      <c r="G204">
        <f t="shared" si="3"/>
        <v>448.8</v>
      </c>
      <c r="H204" t="str">
        <f>VLOOKUP(C204,[1]products!$A:$B,2,FALSE)</f>
        <v>Pure Cycles Western 3-Speed - Women's - 2015/2016</v>
      </c>
      <c r="I204">
        <f>VLOOKUP(C204,[1]products!$A:$D,4,FALSE)</f>
        <v>3</v>
      </c>
      <c r="J204" t="str">
        <f>VLOOKUP(I204,[2]categories!$A$1:$B$8,2,FALSE)</f>
        <v>Cruisers Bicycles</v>
      </c>
    </row>
    <row r="205" customHeight="1" spans="1:10">
      <c r="A205" s="1">
        <v>70</v>
      </c>
      <c r="B205" s="1">
        <v>3</v>
      </c>
      <c r="C205" s="1">
        <v>20</v>
      </c>
      <c r="D205" s="1">
        <v>1</v>
      </c>
      <c r="E205" s="1">
        <v>599.99</v>
      </c>
      <c r="F205" s="1">
        <v>0.05</v>
      </c>
      <c r="G205">
        <f t="shared" si="3"/>
        <v>599.94</v>
      </c>
      <c r="H205" t="str">
        <f>VLOOKUP(C205,[1]products!$A:$B,2,FALSE)</f>
        <v>Electra Townie Original 7D EQ - Women's - 2016</v>
      </c>
      <c r="I205">
        <f>VLOOKUP(C205,[1]products!$A:$D,4,FALSE)</f>
        <v>3</v>
      </c>
      <c r="J205" t="str">
        <f>VLOOKUP(I205,[2]categories!$A$1:$B$8,2,FALSE)</f>
        <v>Cruisers Bicycles</v>
      </c>
    </row>
    <row r="206" customHeight="1" spans="1:10">
      <c r="A206" s="1">
        <v>71</v>
      </c>
      <c r="B206" s="1">
        <v>1</v>
      </c>
      <c r="C206" s="1">
        <v>26</v>
      </c>
      <c r="D206" s="1">
        <v>2</v>
      </c>
      <c r="E206" s="1">
        <v>599.99</v>
      </c>
      <c r="F206" s="1">
        <v>0.05</v>
      </c>
      <c r="G206">
        <f t="shared" si="3"/>
        <v>1199.93</v>
      </c>
      <c r="H206" t="str">
        <f>VLOOKUP(C206,[1]products!$A:$B,2,FALSE)</f>
        <v>Electra Townie Original 7D EQ - 2016</v>
      </c>
      <c r="I206">
        <f>VLOOKUP(C206,[1]products!$A:$D,4,FALSE)</f>
        <v>2</v>
      </c>
      <c r="J206" t="str">
        <f>VLOOKUP(I206,[2]categories!$A$1:$B$8,2,FALSE)</f>
        <v>Comfort Bicycles</v>
      </c>
    </row>
    <row r="207" customHeight="1" spans="1:10">
      <c r="A207" s="1">
        <v>71</v>
      </c>
      <c r="B207" s="1">
        <v>2</v>
      </c>
      <c r="C207" s="1">
        <v>24</v>
      </c>
      <c r="D207" s="1">
        <v>1</v>
      </c>
      <c r="E207" s="1">
        <v>549.99</v>
      </c>
      <c r="F207" s="1">
        <v>0.2</v>
      </c>
      <c r="G207">
        <f t="shared" si="3"/>
        <v>549.79</v>
      </c>
      <c r="H207" t="str">
        <f>VLOOKUP(C207,[1]products!$A:$B,2,FALSE)</f>
        <v>Electra Townie Original 21D - 2016</v>
      </c>
      <c r="I207">
        <f>VLOOKUP(C207,[1]products!$A:$D,4,FALSE)</f>
        <v>2</v>
      </c>
      <c r="J207" t="str">
        <f>VLOOKUP(I207,[2]categories!$A$1:$B$8,2,FALSE)</f>
        <v>Comfort Bicycles</v>
      </c>
    </row>
    <row r="208" customHeight="1" spans="1:10">
      <c r="A208" s="1">
        <v>71</v>
      </c>
      <c r="B208" s="1">
        <v>3</v>
      </c>
      <c r="C208" s="1">
        <v>18</v>
      </c>
      <c r="D208" s="1">
        <v>1</v>
      </c>
      <c r="E208" s="1">
        <v>449</v>
      </c>
      <c r="F208" s="1">
        <v>0.1</v>
      </c>
      <c r="G208">
        <f t="shared" si="3"/>
        <v>448.9</v>
      </c>
      <c r="H208" t="str">
        <f>VLOOKUP(C208,[1]products!$A:$B,2,FALSE)</f>
        <v>Pure Cycles Western 3-Speed - Women's - 2015/2016</v>
      </c>
      <c r="I208">
        <f>VLOOKUP(C208,[1]products!$A:$D,4,FALSE)</f>
        <v>3</v>
      </c>
      <c r="J208" t="str">
        <f>VLOOKUP(I208,[2]categories!$A$1:$B$8,2,FALSE)</f>
        <v>Cruisers Bicycles</v>
      </c>
    </row>
    <row r="209" customHeight="1" spans="1:10">
      <c r="A209" s="1">
        <v>72</v>
      </c>
      <c r="B209" s="1">
        <v>1</v>
      </c>
      <c r="C209" s="1">
        <v>17</v>
      </c>
      <c r="D209" s="1">
        <v>2</v>
      </c>
      <c r="E209" s="1">
        <v>429</v>
      </c>
      <c r="F209" s="1">
        <v>0.07</v>
      </c>
      <c r="G209">
        <f t="shared" si="3"/>
        <v>857.93</v>
      </c>
      <c r="H209" t="str">
        <f>VLOOKUP(C209,[1]products!$A:$B,2,FALSE)</f>
        <v>Pure Cycles Vine 8-Speed - 2016</v>
      </c>
      <c r="I209">
        <f>VLOOKUP(C209,[1]products!$A:$D,4,FALSE)</f>
        <v>3</v>
      </c>
      <c r="J209" t="str">
        <f>VLOOKUP(I209,[2]categories!$A$1:$B$8,2,FALSE)</f>
        <v>Cruisers Bicycles</v>
      </c>
    </row>
    <row r="210" customHeight="1" spans="1:10">
      <c r="A210" s="1">
        <v>72</v>
      </c>
      <c r="B210" s="1">
        <v>2</v>
      </c>
      <c r="C210" s="1">
        <v>12</v>
      </c>
      <c r="D210" s="1">
        <v>1</v>
      </c>
      <c r="E210" s="1">
        <v>549.99</v>
      </c>
      <c r="F210" s="1">
        <v>0.05</v>
      </c>
      <c r="G210">
        <f t="shared" si="3"/>
        <v>549.94</v>
      </c>
      <c r="H210" t="str">
        <f>VLOOKUP(C210,[1]products!$A:$B,2,FALSE)</f>
        <v>Electra Townie Original 21D - 2016</v>
      </c>
      <c r="I210">
        <f>VLOOKUP(C210,[1]products!$A:$D,4,FALSE)</f>
        <v>3</v>
      </c>
      <c r="J210" t="str">
        <f>VLOOKUP(I210,[2]categories!$A$1:$B$8,2,FALSE)</f>
        <v>Cruisers Bicycles</v>
      </c>
    </row>
    <row r="211" customHeight="1" spans="1:10">
      <c r="A211" s="1">
        <v>72</v>
      </c>
      <c r="B211" s="1">
        <v>3</v>
      </c>
      <c r="C211" s="1">
        <v>13</v>
      </c>
      <c r="D211" s="1">
        <v>2</v>
      </c>
      <c r="E211" s="1">
        <v>269.99</v>
      </c>
      <c r="F211" s="1">
        <v>0.1</v>
      </c>
      <c r="G211">
        <f t="shared" si="3"/>
        <v>539.88</v>
      </c>
      <c r="H211" t="str">
        <f>VLOOKUP(C211,[1]products!$A:$B,2,FALSE)</f>
        <v>Electra Cruiser 1 (24-Inch) - 2016</v>
      </c>
      <c r="I211">
        <f>VLOOKUP(C211,[1]products!$A:$D,4,FALSE)</f>
        <v>3</v>
      </c>
      <c r="J211" t="str">
        <f>VLOOKUP(I211,[2]categories!$A$1:$B$8,2,FALSE)</f>
        <v>Cruisers Bicycles</v>
      </c>
    </row>
    <row r="212" customHeight="1" spans="1:10">
      <c r="A212" s="1">
        <v>73</v>
      </c>
      <c r="B212" s="1">
        <v>1</v>
      </c>
      <c r="C212" s="1">
        <v>22</v>
      </c>
      <c r="D212" s="1">
        <v>1</v>
      </c>
      <c r="E212" s="1">
        <v>269.99</v>
      </c>
      <c r="F212" s="1">
        <v>0.07</v>
      </c>
      <c r="G212">
        <f t="shared" si="3"/>
        <v>269.92</v>
      </c>
      <c r="H212" t="str">
        <f>VLOOKUP(C212,[1]products!$A:$B,2,FALSE)</f>
        <v>Electra Girl's Hawaii 1 (16-inch) - 2015/2016</v>
      </c>
      <c r="I212">
        <f>VLOOKUP(C212,[1]products!$A:$D,4,FALSE)</f>
        <v>1</v>
      </c>
      <c r="J212" t="str">
        <f>VLOOKUP(I212,[2]categories!$A$1:$B$8,2,FALSE)</f>
        <v>Children Bicycles</v>
      </c>
    </row>
    <row r="213" customHeight="1" spans="1:10">
      <c r="A213" s="1">
        <v>73</v>
      </c>
      <c r="B213" s="1">
        <v>2</v>
      </c>
      <c r="C213" s="1">
        <v>26</v>
      </c>
      <c r="D213" s="1">
        <v>2</v>
      </c>
      <c r="E213" s="1">
        <v>599.99</v>
      </c>
      <c r="F213" s="1">
        <v>0.05</v>
      </c>
      <c r="G213">
        <f t="shared" si="3"/>
        <v>1199.93</v>
      </c>
      <c r="H213" t="str">
        <f>VLOOKUP(C213,[1]products!$A:$B,2,FALSE)</f>
        <v>Electra Townie Original 7D EQ - 2016</v>
      </c>
      <c r="I213">
        <f>VLOOKUP(C213,[1]products!$A:$D,4,FALSE)</f>
        <v>2</v>
      </c>
      <c r="J213" t="str">
        <f>VLOOKUP(I213,[2]categories!$A$1:$B$8,2,FALSE)</f>
        <v>Comfort Bicycles</v>
      </c>
    </row>
    <row r="214" customHeight="1" spans="1:10">
      <c r="A214" s="1">
        <v>73</v>
      </c>
      <c r="B214" s="1">
        <v>3</v>
      </c>
      <c r="C214" s="1">
        <v>3</v>
      </c>
      <c r="D214" s="1">
        <v>2</v>
      </c>
      <c r="E214" s="1">
        <v>999.99</v>
      </c>
      <c r="F214" s="1">
        <v>0.07</v>
      </c>
      <c r="G214">
        <f t="shared" si="3"/>
        <v>1999.91</v>
      </c>
      <c r="H214" t="str">
        <f>VLOOKUP(C214,[1]products!$A:$B,2,FALSE)</f>
        <v>Surly Wednesday Frameset - 2016</v>
      </c>
      <c r="I214">
        <f>VLOOKUP(C214,[1]products!$A:$D,4,FALSE)</f>
        <v>6</v>
      </c>
      <c r="J214" t="str">
        <f>VLOOKUP(I214,[2]categories!$A$1:$B$8,2,FALSE)</f>
        <v>Mountain Bikes</v>
      </c>
    </row>
    <row r="215" customHeight="1" spans="1:10">
      <c r="A215" s="1">
        <v>73</v>
      </c>
      <c r="B215" s="1">
        <v>4</v>
      </c>
      <c r="C215" s="1">
        <v>25</v>
      </c>
      <c r="D215" s="1">
        <v>1</v>
      </c>
      <c r="E215" s="1">
        <v>499.99</v>
      </c>
      <c r="F215" s="1">
        <v>0.07</v>
      </c>
      <c r="G215">
        <f t="shared" si="3"/>
        <v>499.92</v>
      </c>
      <c r="H215" t="str">
        <f>VLOOKUP(C215,[1]products!$A:$B,2,FALSE)</f>
        <v>Electra Townie Original 7D - 2015/2016</v>
      </c>
      <c r="I215">
        <f>VLOOKUP(C215,[1]products!$A:$D,4,FALSE)</f>
        <v>2</v>
      </c>
      <c r="J215" t="str">
        <f>VLOOKUP(I215,[2]categories!$A$1:$B$8,2,FALSE)</f>
        <v>Comfort Bicycles</v>
      </c>
    </row>
    <row r="216" customHeight="1" spans="1:10">
      <c r="A216" s="1">
        <v>73</v>
      </c>
      <c r="B216" s="1">
        <v>5</v>
      </c>
      <c r="C216" s="1">
        <v>23</v>
      </c>
      <c r="D216" s="1">
        <v>2</v>
      </c>
      <c r="E216" s="1">
        <v>299.99</v>
      </c>
      <c r="F216" s="1">
        <v>0.2</v>
      </c>
      <c r="G216">
        <f t="shared" si="3"/>
        <v>599.78</v>
      </c>
      <c r="H216" t="str">
        <f>VLOOKUP(C216,[1]products!$A:$B,2,FALSE)</f>
        <v>Electra Girl's Hawaii 1 (20-inch) - 2015/2016</v>
      </c>
      <c r="I216">
        <f>VLOOKUP(C216,[1]products!$A:$D,4,FALSE)</f>
        <v>1</v>
      </c>
      <c r="J216" t="str">
        <f>VLOOKUP(I216,[2]categories!$A$1:$B$8,2,FALSE)</f>
        <v>Children Bicycles</v>
      </c>
    </row>
    <row r="217" customHeight="1" spans="1:10">
      <c r="A217" s="1">
        <v>74</v>
      </c>
      <c r="B217" s="1">
        <v>1</v>
      </c>
      <c r="C217" s="1">
        <v>16</v>
      </c>
      <c r="D217" s="1">
        <v>2</v>
      </c>
      <c r="E217" s="1">
        <v>599.99</v>
      </c>
      <c r="F217" s="1">
        <v>0.05</v>
      </c>
      <c r="G217">
        <f t="shared" si="3"/>
        <v>1199.93</v>
      </c>
      <c r="H217" t="str">
        <f>VLOOKUP(C217,[1]products!$A:$B,2,FALSE)</f>
        <v>Electra Townie Original 7D EQ - 2016</v>
      </c>
      <c r="I217">
        <f>VLOOKUP(C217,[1]products!$A:$D,4,FALSE)</f>
        <v>3</v>
      </c>
      <c r="J217" t="str">
        <f>VLOOKUP(I217,[2]categories!$A$1:$B$8,2,FALSE)</f>
        <v>Cruisers Bicycles</v>
      </c>
    </row>
    <row r="218" customHeight="1" spans="1:10">
      <c r="A218" s="1">
        <v>74</v>
      </c>
      <c r="B218" s="1">
        <v>2</v>
      </c>
      <c r="C218" s="1">
        <v>6</v>
      </c>
      <c r="D218" s="1">
        <v>1</v>
      </c>
      <c r="E218" s="1">
        <v>469.99</v>
      </c>
      <c r="F218" s="1">
        <v>0.07</v>
      </c>
      <c r="G218">
        <f t="shared" si="3"/>
        <v>469.92</v>
      </c>
      <c r="H218" t="str">
        <f>VLOOKUP(C218,[1]products!$A:$B,2,FALSE)</f>
        <v>Surly Ice Cream Truck Frameset - 2016</v>
      </c>
      <c r="I218">
        <f>VLOOKUP(C218,[1]products!$A:$D,4,FALSE)</f>
        <v>6</v>
      </c>
      <c r="J218" t="str">
        <f>VLOOKUP(I218,[2]categories!$A$1:$B$8,2,FALSE)</f>
        <v>Mountain Bikes</v>
      </c>
    </row>
    <row r="219" customHeight="1" spans="1:10">
      <c r="A219" s="1">
        <v>75</v>
      </c>
      <c r="B219" s="1">
        <v>1</v>
      </c>
      <c r="C219" s="1">
        <v>3</v>
      </c>
      <c r="D219" s="1">
        <v>1</v>
      </c>
      <c r="E219" s="1">
        <v>999.99</v>
      </c>
      <c r="F219" s="1">
        <v>0.1</v>
      </c>
      <c r="G219">
        <f t="shared" si="3"/>
        <v>999.89</v>
      </c>
      <c r="H219" t="str">
        <f>VLOOKUP(C219,[1]products!$A:$B,2,FALSE)</f>
        <v>Surly Wednesday Frameset - 2016</v>
      </c>
      <c r="I219">
        <f>VLOOKUP(C219,[1]products!$A:$D,4,FALSE)</f>
        <v>6</v>
      </c>
      <c r="J219" t="str">
        <f>VLOOKUP(I219,[2]categories!$A$1:$B$8,2,FALSE)</f>
        <v>Mountain Bikes</v>
      </c>
    </row>
    <row r="220" customHeight="1" spans="1:10">
      <c r="A220" s="1">
        <v>75</v>
      </c>
      <c r="B220" s="1">
        <v>2</v>
      </c>
      <c r="C220" s="1">
        <v>7</v>
      </c>
      <c r="D220" s="1">
        <v>2</v>
      </c>
      <c r="E220" s="1">
        <v>3999.99</v>
      </c>
      <c r="F220" s="1">
        <v>0.07</v>
      </c>
      <c r="G220">
        <f t="shared" si="3"/>
        <v>7999.91</v>
      </c>
      <c r="H220" t="str">
        <f>VLOOKUP(C220,[1]products!$A:$B,2,FALSE)</f>
        <v>Trek Slash 8 27.5 - 2016</v>
      </c>
      <c r="I220">
        <f>VLOOKUP(C220,[1]products!$A:$D,4,FALSE)</f>
        <v>6</v>
      </c>
      <c r="J220" t="str">
        <f>VLOOKUP(I220,[2]categories!$A$1:$B$8,2,FALSE)</f>
        <v>Mountain Bikes</v>
      </c>
    </row>
    <row r="221" customHeight="1" spans="1:10">
      <c r="A221" s="1">
        <v>75</v>
      </c>
      <c r="B221" s="1">
        <v>3</v>
      </c>
      <c r="C221" s="1">
        <v>15</v>
      </c>
      <c r="D221" s="1">
        <v>1</v>
      </c>
      <c r="E221" s="1">
        <v>529.99</v>
      </c>
      <c r="F221" s="1">
        <v>0.2</v>
      </c>
      <c r="G221">
        <f t="shared" si="3"/>
        <v>529.79</v>
      </c>
      <c r="H221" t="str">
        <f>VLOOKUP(C221,[1]products!$A:$B,2,FALSE)</f>
        <v>Electra Moto 1 - 2016</v>
      </c>
      <c r="I221">
        <f>VLOOKUP(C221,[1]products!$A:$D,4,FALSE)</f>
        <v>3</v>
      </c>
      <c r="J221" t="str">
        <f>VLOOKUP(I221,[2]categories!$A$1:$B$8,2,FALSE)</f>
        <v>Cruisers Bicycles</v>
      </c>
    </row>
    <row r="222" customHeight="1" spans="1:10">
      <c r="A222" s="1">
        <v>76</v>
      </c>
      <c r="B222" s="1">
        <v>1</v>
      </c>
      <c r="C222" s="1">
        <v>12</v>
      </c>
      <c r="D222" s="1">
        <v>1</v>
      </c>
      <c r="E222" s="1">
        <v>549.99</v>
      </c>
      <c r="F222" s="1">
        <v>0.05</v>
      </c>
      <c r="G222">
        <f t="shared" si="3"/>
        <v>549.94</v>
      </c>
      <c r="H222" t="str">
        <f>VLOOKUP(C222,[1]products!$A:$B,2,FALSE)</f>
        <v>Electra Townie Original 21D - 2016</v>
      </c>
      <c r="I222">
        <f>VLOOKUP(C222,[1]products!$A:$D,4,FALSE)</f>
        <v>3</v>
      </c>
      <c r="J222" t="str">
        <f>VLOOKUP(I222,[2]categories!$A$1:$B$8,2,FALSE)</f>
        <v>Cruisers Bicycles</v>
      </c>
    </row>
    <row r="223" customHeight="1" spans="1:10">
      <c r="A223" s="1">
        <v>76</v>
      </c>
      <c r="B223" s="1">
        <v>2</v>
      </c>
      <c r="C223" s="1">
        <v>11</v>
      </c>
      <c r="D223" s="1">
        <v>2</v>
      </c>
      <c r="E223" s="1">
        <v>1680.99</v>
      </c>
      <c r="F223" s="1">
        <v>0.1</v>
      </c>
      <c r="G223">
        <f t="shared" si="3"/>
        <v>3361.88</v>
      </c>
      <c r="H223" t="str">
        <f>VLOOKUP(C223,[1]products!$A:$B,2,FALSE)</f>
        <v>Surly Straggler 650b - 2016</v>
      </c>
      <c r="I223">
        <f>VLOOKUP(C223,[1]products!$A:$D,4,FALSE)</f>
        <v>4</v>
      </c>
      <c r="J223" t="str">
        <f>VLOOKUP(I223,[2]categories!$A$1:$B$8,2,FALSE)</f>
        <v>Cyclocross Bicycles</v>
      </c>
    </row>
    <row r="224" customHeight="1" spans="1:10">
      <c r="A224" s="1">
        <v>76</v>
      </c>
      <c r="B224" s="1">
        <v>3</v>
      </c>
      <c r="C224" s="1">
        <v>5</v>
      </c>
      <c r="D224" s="1">
        <v>1</v>
      </c>
      <c r="E224" s="1">
        <v>1320.99</v>
      </c>
      <c r="F224" s="1">
        <v>0.07</v>
      </c>
      <c r="G224">
        <f t="shared" si="3"/>
        <v>1320.92</v>
      </c>
      <c r="H224" t="str">
        <f>VLOOKUP(C224,[1]products!$A:$B,2,FALSE)</f>
        <v>Heller Shagamaw Frame - 2016</v>
      </c>
      <c r="I224">
        <f>VLOOKUP(C224,[1]products!$A:$D,4,FALSE)</f>
        <v>6</v>
      </c>
      <c r="J224" t="str">
        <f>VLOOKUP(I224,[2]categories!$A$1:$B$8,2,FALSE)</f>
        <v>Mountain Bikes</v>
      </c>
    </row>
    <row r="225" customHeight="1" spans="1:10">
      <c r="A225" s="1">
        <v>77</v>
      </c>
      <c r="B225" s="1">
        <v>1</v>
      </c>
      <c r="C225" s="1">
        <v>20</v>
      </c>
      <c r="D225" s="1">
        <v>1</v>
      </c>
      <c r="E225" s="1">
        <v>599.99</v>
      </c>
      <c r="F225" s="1">
        <v>0.07</v>
      </c>
      <c r="G225">
        <f t="shared" si="3"/>
        <v>599.92</v>
      </c>
      <c r="H225" t="str">
        <f>VLOOKUP(C225,[1]products!$A:$B,2,FALSE)</f>
        <v>Electra Townie Original 7D EQ - Women's - 2016</v>
      </c>
      <c r="I225">
        <f>VLOOKUP(C225,[1]products!$A:$D,4,FALSE)</f>
        <v>3</v>
      </c>
      <c r="J225" t="str">
        <f>VLOOKUP(I225,[2]categories!$A$1:$B$8,2,FALSE)</f>
        <v>Cruisers Bicycles</v>
      </c>
    </row>
    <row r="226" customHeight="1" spans="1:10">
      <c r="A226" s="1">
        <v>77</v>
      </c>
      <c r="B226" s="1">
        <v>2</v>
      </c>
      <c r="C226" s="1">
        <v>24</v>
      </c>
      <c r="D226" s="1">
        <v>2</v>
      </c>
      <c r="E226" s="1">
        <v>549.99</v>
      </c>
      <c r="F226" s="1">
        <v>0.1</v>
      </c>
      <c r="G226">
        <f t="shared" si="3"/>
        <v>1099.88</v>
      </c>
      <c r="H226" t="str">
        <f>VLOOKUP(C226,[1]products!$A:$B,2,FALSE)</f>
        <v>Electra Townie Original 21D - 2016</v>
      </c>
      <c r="I226">
        <f>VLOOKUP(C226,[1]products!$A:$D,4,FALSE)</f>
        <v>2</v>
      </c>
      <c r="J226" t="str">
        <f>VLOOKUP(I226,[2]categories!$A$1:$B$8,2,FALSE)</f>
        <v>Comfort Bicycles</v>
      </c>
    </row>
    <row r="227" customHeight="1" spans="1:10">
      <c r="A227" s="1">
        <v>77</v>
      </c>
      <c r="B227" s="1">
        <v>3</v>
      </c>
      <c r="C227" s="1">
        <v>26</v>
      </c>
      <c r="D227" s="1">
        <v>1</v>
      </c>
      <c r="E227" s="1">
        <v>599.99</v>
      </c>
      <c r="F227" s="1">
        <v>0.2</v>
      </c>
      <c r="G227">
        <f t="shared" si="3"/>
        <v>599.79</v>
      </c>
      <c r="H227" t="str">
        <f>VLOOKUP(C227,[1]products!$A:$B,2,FALSE)</f>
        <v>Electra Townie Original 7D EQ - 2016</v>
      </c>
      <c r="I227">
        <f>VLOOKUP(C227,[1]products!$A:$D,4,FALSE)</f>
        <v>2</v>
      </c>
      <c r="J227" t="str">
        <f>VLOOKUP(I227,[2]categories!$A$1:$B$8,2,FALSE)</f>
        <v>Comfort Bicycles</v>
      </c>
    </row>
    <row r="228" customHeight="1" spans="1:10">
      <c r="A228" s="1">
        <v>77</v>
      </c>
      <c r="B228" s="1">
        <v>4</v>
      </c>
      <c r="C228" s="1">
        <v>25</v>
      </c>
      <c r="D228" s="1">
        <v>1</v>
      </c>
      <c r="E228" s="1">
        <v>499.99</v>
      </c>
      <c r="F228" s="1">
        <v>0.2</v>
      </c>
      <c r="G228">
        <f t="shared" si="3"/>
        <v>499.79</v>
      </c>
      <c r="H228" t="str">
        <f>VLOOKUP(C228,[1]products!$A:$B,2,FALSE)</f>
        <v>Electra Townie Original 7D - 2015/2016</v>
      </c>
      <c r="I228">
        <f>VLOOKUP(C228,[1]products!$A:$D,4,FALSE)</f>
        <v>2</v>
      </c>
      <c r="J228" t="str">
        <f>VLOOKUP(I228,[2]categories!$A$1:$B$8,2,FALSE)</f>
        <v>Comfort Bicycles</v>
      </c>
    </row>
    <row r="229" customHeight="1" spans="1:10">
      <c r="A229" s="1">
        <v>78</v>
      </c>
      <c r="B229" s="1">
        <v>1</v>
      </c>
      <c r="C229" s="1">
        <v>17</v>
      </c>
      <c r="D229" s="1">
        <v>1</v>
      </c>
      <c r="E229" s="1">
        <v>429</v>
      </c>
      <c r="F229" s="1">
        <v>0.07</v>
      </c>
      <c r="G229">
        <f t="shared" si="3"/>
        <v>428.93</v>
      </c>
      <c r="H229" t="str">
        <f>VLOOKUP(C229,[1]products!$A:$B,2,FALSE)</f>
        <v>Pure Cycles Vine 8-Speed - 2016</v>
      </c>
      <c r="I229">
        <f>VLOOKUP(C229,[1]products!$A:$D,4,FALSE)</f>
        <v>3</v>
      </c>
      <c r="J229" t="str">
        <f>VLOOKUP(I229,[2]categories!$A$1:$B$8,2,FALSE)</f>
        <v>Cruisers Bicycles</v>
      </c>
    </row>
    <row r="230" customHeight="1" spans="1:10">
      <c r="A230" s="1">
        <v>78</v>
      </c>
      <c r="B230" s="1">
        <v>2</v>
      </c>
      <c r="C230" s="1">
        <v>19</v>
      </c>
      <c r="D230" s="1">
        <v>1</v>
      </c>
      <c r="E230" s="1">
        <v>449</v>
      </c>
      <c r="F230" s="1">
        <v>0.2</v>
      </c>
      <c r="G230">
        <f t="shared" si="3"/>
        <v>448.8</v>
      </c>
      <c r="H230" t="str">
        <f>VLOOKUP(C230,[1]products!$A:$B,2,FALSE)</f>
        <v>Pure Cycles William 3-Speed - 2016</v>
      </c>
      <c r="I230">
        <f>VLOOKUP(C230,[1]products!$A:$D,4,FALSE)</f>
        <v>3</v>
      </c>
      <c r="J230" t="str">
        <f>VLOOKUP(I230,[2]categories!$A$1:$B$8,2,FALSE)</f>
        <v>Cruisers Bicycles</v>
      </c>
    </row>
    <row r="231" customHeight="1" spans="1:10">
      <c r="A231" s="1">
        <v>78</v>
      </c>
      <c r="B231" s="1">
        <v>3</v>
      </c>
      <c r="C231" s="1">
        <v>18</v>
      </c>
      <c r="D231" s="1">
        <v>2</v>
      </c>
      <c r="E231" s="1">
        <v>449</v>
      </c>
      <c r="F231" s="1">
        <v>0.1</v>
      </c>
      <c r="G231">
        <f t="shared" si="3"/>
        <v>897.9</v>
      </c>
      <c r="H231" t="str">
        <f>VLOOKUP(C231,[1]products!$A:$B,2,FALSE)</f>
        <v>Pure Cycles Western 3-Speed - Women's - 2015/2016</v>
      </c>
      <c r="I231">
        <f>VLOOKUP(C231,[1]products!$A:$D,4,FALSE)</f>
        <v>3</v>
      </c>
      <c r="J231" t="str">
        <f>VLOOKUP(I231,[2]categories!$A$1:$B$8,2,FALSE)</f>
        <v>Cruisers Bicycles</v>
      </c>
    </row>
    <row r="232" customHeight="1" spans="1:10">
      <c r="A232" s="1">
        <v>78</v>
      </c>
      <c r="B232" s="1">
        <v>4</v>
      </c>
      <c r="C232" s="1">
        <v>14</v>
      </c>
      <c r="D232" s="1">
        <v>2</v>
      </c>
      <c r="E232" s="1">
        <v>269.99</v>
      </c>
      <c r="F232" s="1">
        <v>0.1</v>
      </c>
      <c r="G232">
        <f t="shared" si="3"/>
        <v>539.88</v>
      </c>
      <c r="H232" t="str">
        <f>VLOOKUP(C232,[1]products!$A:$B,2,FALSE)</f>
        <v>Electra Girl's Hawaii 1 (16-inch) - 2015/2016</v>
      </c>
      <c r="I232">
        <f>VLOOKUP(C232,[1]products!$A:$D,4,FALSE)</f>
        <v>3</v>
      </c>
      <c r="J232" t="str">
        <f>VLOOKUP(I232,[2]categories!$A$1:$B$8,2,FALSE)</f>
        <v>Cruisers Bicycles</v>
      </c>
    </row>
    <row r="233" customHeight="1" spans="1:10">
      <c r="A233" s="1">
        <v>79</v>
      </c>
      <c r="B233" s="1">
        <v>1</v>
      </c>
      <c r="C233" s="1">
        <v>9</v>
      </c>
      <c r="D233" s="1">
        <v>2</v>
      </c>
      <c r="E233" s="1">
        <v>2999.99</v>
      </c>
      <c r="F233" s="1">
        <v>0.1</v>
      </c>
      <c r="G233">
        <f t="shared" si="3"/>
        <v>5999.88</v>
      </c>
      <c r="H233" t="str">
        <f>VLOOKUP(C233,[1]products!$A:$B,2,FALSE)</f>
        <v>Trek Conduit+ - 2016</v>
      </c>
      <c r="I233">
        <f>VLOOKUP(C233,[1]products!$A:$D,4,FALSE)</f>
        <v>5</v>
      </c>
      <c r="J233" t="str">
        <f>VLOOKUP(I233,[2]categories!$A$1:$B$8,2,FALSE)</f>
        <v>Electric Bikes</v>
      </c>
    </row>
    <row r="234" customHeight="1" spans="1:10">
      <c r="A234" s="1">
        <v>79</v>
      </c>
      <c r="B234" s="1">
        <v>2</v>
      </c>
      <c r="C234" s="1">
        <v>17</v>
      </c>
      <c r="D234" s="1">
        <v>2</v>
      </c>
      <c r="E234" s="1">
        <v>429</v>
      </c>
      <c r="F234" s="1">
        <v>0.05</v>
      </c>
      <c r="G234">
        <f t="shared" si="3"/>
        <v>857.95</v>
      </c>
      <c r="H234" t="str">
        <f>VLOOKUP(C234,[1]products!$A:$B,2,FALSE)</f>
        <v>Pure Cycles Vine 8-Speed - 2016</v>
      </c>
      <c r="I234">
        <f>VLOOKUP(C234,[1]products!$A:$D,4,FALSE)</f>
        <v>3</v>
      </c>
      <c r="J234" t="str">
        <f>VLOOKUP(I234,[2]categories!$A$1:$B$8,2,FALSE)</f>
        <v>Cruisers Bicycles</v>
      </c>
    </row>
    <row r="235" customHeight="1" spans="1:10">
      <c r="A235" s="1">
        <v>79</v>
      </c>
      <c r="B235" s="1">
        <v>3</v>
      </c>
      <c r="C235" s="1">
        <v>6</v>
      </c>
      <c r="D235" s="1">
        <v>1</v>
      </c>
      <c r="E235" s="1">
        <v>469.99</v>
      </c>
      <c r="F235" s="1">
        <v>0.1</v>
      </c>
      <c r="G235">
        <f t="shared" si="3"/>
        <v>469.89</v>
      </c>
      <c r="H235" t="str">
        <f>VLOOKUP(C235,[1]products!$A:$B,2,FALSE)</f>
        <v>Surly Ice Cream Truck Frameset - 2016</v>
      </c>
      <c r="I235">
        <f>VLOOKUP(C235,[1]products!$A:$D,4,FALSE)</f>
        <v>6</v>
      </c>
      <c r="J235" t="str">
        <f>VLOOKUP(I235,[2]categories!$A$1:$B$8,2,FALSE)</f>
        <v>Mountain Bikes</v>
      </c>
    </row>
    <row r="236" customHeight="1" spans="1:10">
      <c r="A236" s="1">
        <v>79</v>
      </c>
      <c r="B236" s="1">
        <v>4</v>
      </c>
      <c r="C236" s="1">
        <v>25</v>
      </c>
      <c r="D236" s="1">
        <v>2</v>
      </c>
      <c r="E236" s="1">
        <v>499.99</v>
      </c>
      <c r="F236" s="1">
        <v>0.07</v>
      </c>
      <c r="G236">
        <f t="shared" si="3"/>
        <v>999.91</v>
      </c>
      <c r="H236" t="str">
        <f>VLOOKUP(C236,[1]products!$A:$B,2,FALSE)</f>
        <v>Electra Townie Original 7D - 2015/2016</v>
      </c>
      <c r="I236">
        <f>VLOOKUP(C236,[1]products!$A:$D,4,FALSE)</f>
        <v>2</v>
      </c>
      <c r="J236" t="str">
        <f>VLOOKUP(I236,[2]categories!$A$1:$B$8,2,FALSE)</f>
        <v>Comfort Bicycles</v>
      </c>
    </row>
    <row r="237" customHeight="1" spans="1:10">
      <c r="A237" s="1">
        <v>80</v>
      </c>
      <c r="B237" s="1">
        <v>1</v>
      </c>
      <c r="C237" s="1">
        <v>26</v>
      </c>
      <c r="D237" s="1">
        <v>1</v>
      </c>
      <c r="E237" s="1">
        <v>599.99</v>
      </c>
      <c r="F237" s="1">
        <v>0.1</v>
      </c>
      <c r="G237">
        <f t="shared" si="3"/>
        <v>599.89</v>
      </c>
      <c r="H237" t="str">
        <f>VLOOKUP(C237,[1]products!$A:$B,2,FALSE)</f>
        <v>Electra Townie Original 7D EQ - 2016</v>
      </c>
      <c r="I237">
        <f>VLOOKUP(C237,[1]products!$A:$D,4,FALSE)</f>
        <v>2</v>
      </c>
      <c r="J237" t="str">
        <f>VLOOKUP(I237,[2]categories!$A$1:$B$8,2,FALSE)</f>
        <v>Comfort Bicycles</v>
      </c>
    </row>
    <row r="238" customHeight="1" spans="1:10">
      <c r="A238" s="1">
        <v>80</v>
      </c>
      <c r="B238" s="1">
        <v>2</v>
      </c>
      <c r="C238" s="1">
        <v>24</v>
      </c>
      <c r="D238" s="1">
        <v>1</v>
      </c>
      <c r="E238" s="1">
        <v>549.99</v>
      </c>
      <c r="F238" s="1">
        <v>0.1</v>
      </c>
      <c r="G238">
        <f t="shared" si="3"/>
        <v>549.89</v>
      </c>
      <c r="H238" t="str">
        <f>VLOOKUP(C238,[1]products!$A:$B,2,FALSE)</f>
        <v>Electra Townie Original 21D - 2016</v>
      </c>
      <c r="I238">
        <f>VLOOKUP(C238,[1]products!$A:$D,4,FALSE)</f>
        <v>2</v>
      </c>
      <c r="J238" t="str">
        <f>VLOOKUP(I238,[2]categories!$A$1:$B$8,2,FALSE)</f>
        <v>Comfort Bicycles</v>
      </c>
    </row>
    <row r="239" customHeight="1" spans="1:10">
      <c r="A239" s="1">
        <v>80</v>
      </c>
      <c r="B239" s="1">
        <v>3</v>
      </c>
      <c r="C239" s="1">
        <v>17</v>
      </c>
      <c r="D239" s="1">
        <v>1</v>
      </c>
      <c r="E239" s="1">
        <v>429</v>
      </c>
      <c r="F239" s="1">
        <v>0.2</v>
      </c>
      <c r="G239">
        <f t="shared" si="3"/>
        <v>428.8</v>
      </c>
      <c r="H239" t="str">
        <f>VLOOKUP(C239,[1]products!$A:$B,2,FALSE)</f>
        <v>Pure Cycles Vine 8-Speed - 2016</v>
      </c>
      <c r="I239">
        <f>VLOOKUP(C239,[1]products!$A:$D,4,FALSE)</f>
        <v>3</v>
      </c>
      <c r="J239" t="str">
        <f>VLOOKUP(I239,[2]categories!$A$1:$B$8,2,FALSE)</f>
        <v>Cruisers Bicycles</v>
      </c>
    </row>
    <row r="240" customHeight="1" spans="1:10">
      <c r="A240" s="1">
        <v>81</v>
      </c>
      <c r="B240" s="1">
        <v>1</v>
      </c>
      <c r="C240" s="1">
        <v>10</v>
      </c>
      <c r="D240" s="1">
        <v>2</v>
      </c>
      <c r="E240" s="1">
        <v>1549</v>
      </c>
      <c r="F240" s="1">
        <v>0.2</v>
      </c>
      <c r="G240">
        <f t="shared" si="3"/>
        <v>3097.8</v>
      </c>
      <c r="H240" t="str">
        <f>VLOOKUP(C240,[1]products!$A:$B,2,FALSE)</f>
        <v>Surly Straggler - 2016</v>
      </c>
      <c r="I240">
        <f>VLOOKUP(C240,[1]products!$A:$D,4,FALSE)</f>
        <v>4</v>
      </c>
      <c r="J240" t="str">
        <f>VLOOKUP(I240,[2]categories!$A$1:$B$8,2,FALSE)</f>
        <v>Cyclocross Bicycles</v>
      </c>
    </row>
    <row r="241" customHeight="1" spans="1:10">
      <c r="A241" s="1">
        <v>81</v>
      </c>
      <c r="B241" s="1">
        <v>2</v>
      </c>
      <c r="C241" s="1">
        <v>23</v>
      </c>
      <c r="D241" s="1">
        <v>2</v>
      </c>
      <c r="E241" s="1">
        <v>299.99</v>
      </c>
      <c r="F241" s="1">
        <v>0.05</v>
      </c>
      <c r="G241">
        <f t="shared" si="3"/>
        <v>599.93</v>
      </c>
      <c r="H241" t="str">
        <f>VLOOKUP(C241,[1]products!$A:$B,2,FALSE)</f>
        <v>Electra Girl's Hawaii 1 (20-inch) - 2015/2016</v>
      </c>
      <c r="I241">
        <f>VLOOKUP(C241,[1]products!$A:$D,4,FALSE)</f>
        <v>1</v>
      </c>
      <c r="J241" t="str">
        <f>VLOOKUP(I241,[2]categories!$A$1:$B$8,2,FALSE)</f>
        <v>Children Bicycles</v>
      </c>
    </row>
    <row r="242" customHeight="1" spans="1:10">
      <c r="A242" s="1">
        <v>81</v>
      </c>
      <c r="B242" s="1">
        <v>3</v>
      </c>
      <c r="C242" s="1">
        <v>25</v>
      </c>
      <c r="D242" s="1">
        <v>2</v>
      </c>
      <c r="E242" s="1">
        <v>499.99</v>
      </c>
      <c r="F242" s="1">
        <v>0.05</v>
      </c>
      <c r="G242">
        <f t="shared" si="3"/>
        <v>999.93</v>
      </c>
      <c r="H242" t="str">
        <f>VLOOKUP(C242,[1]products!$A:$B,2,FALSE)</f>
        <v>Electra Townie Original 7D - 2015/2016</v>
      </c>
      <c r="I242">
        <f>VLOOKUP(C242,[1]products!$A:$D,4,FALSE)</f>
        <v>2</v>
      </c>
      <c r="J242" t="str">
        <f>VLOOKUP(I242,[2]categories!$A$1:$B$8,2,FALSE)</f>
        <v>Comfort Bicycles</v>
      </c>
    </row>
    <row r="243" customHeight="1" spans="1:10">
      <c r="A243" s="1">
        <v>82</v>
      </c>
      <c r="B243" s="1">
        <v>1</v>
      </c>
      <c r="C243" s="1">
        <v>25</v>
      </c>
      <c r="D243" s="1">
        <v>2</v>
      </c>
      <c r="E243" s="1">
        <v>499.99</v>
      </c>
      <c r="F243" s="1">
        <v>0.1</v>
      </c>
      <c r="G243">
        <f t="shared" si="3"/>
        <v>999.88</v>
      </c>
      <c r="H243" t="str">
        <f>VLOOKUP(C243,[1]products!$A:$B,2,FALSE)</f>
        <v>Electra Townie Original 7D - 2015/2016</v>
      </c>
      <c r="I243">
        <f>VLOOKUP(C243,[1]products!$A:$D,4,FALSE)</f>
        <v>2</v>
      </c>
      <c r="J243" t="str">
        <f>VLOOKUP(I243,[2]categories!$A$1:$B$8,2,FALSE)</f>
        <v>Comfort Bicycles</v>
      </c>
    </row>
    <row r="244" customHeight="1" spans="1:10">
      <c r="A244" s="1">
        <v>82</v>
      </c>
      <c r="B244" s="1">
        <v>2</v>
      </c>
      <c r="C244" s="1">
        <v>11</v>
      </c>
      <c r="D244" s="1">
        <v>2</v>
      </c>
      <c r="E244" s="1">
        <v>1680.99</v>
      </c>
      <c r="F244" s="1">
        <v>0.2</v>
      </c>
      <c r="G244">
        <f t="shared" si="3"/>
        <v>3361.78</v>
      </c>
      <c r="H244" t="str">
        <f>VLOOKUP(C244,[1]products!$A:$B,2,FALSE)</f>
        <v>Surly Straggler 650b - 2016</v>
      </c>
      <c r="I244">
        <f>VLOOKUP(C244,[1]products!$A:$D,4,FALSE)</f>
        <v>4</v>
      </c>
      <c r="J244" t="str">
        <f>VLOOKUP(I244,[2]categories!$A$1:$B$8,2,FALSE)</f>
        <v>Cyclocross Bicycles</v>
      </c>
    </row>
    <row r="245" customHeight="1" spans="1:10">
      <c r="A245" s="1">
        <v>83</v>
      </c>
      <c r="B245" s="1">
        <v>1</v>
      </c>
      <c r="C245" s="1">
        <v>20</v>
      </c>
      <c r="D245" s="1">
        <v>1</v>
      </c>
      <c r="E245" s="1">
        <v>599.99</v>
      </c>
      <c r="F245" s="1">
        <v>0.2</v>
      </c>
      <c r="G245">
        <f t="shared" si="3"/>
        <v>599.79</v>
      </c>
      <c r="H245" t="str">
        <f>VLOOKUP(C245,[1]products!$A:$B,2,FALSE)</f>
        <v>Electra Townie Original 7D EQ - Women's - 2016</v>
      </c>
      <c r="I245">
        <f>VLOOKUP(C245,[1]products!$A:$D,4,FALSE)</f>
        <v>3</v>
      </c>
      <c r="J245" t="str">
        <f>VLOOKUP(I245,[2]categories!$A$1:$B$8,2,FALSE)</f>
        <v>Cruisers Bicycles</v>
      </c>
    </row>
    <row r="246" customHeight="1" spans="1:10">
      <c r="A246" s="1">
        <v>83</v>
      </c>
      <c r="B246" s="1">
        <v>2</v>
      </c>
      <c r="C246" s="1">
        <v>3</v>
      </c>
      <c r="D246" s="1">
        <v>2</v>
      </c>
      <c r="E246" s="1">
        <v>999.99</v>
      </c>
      <c r="F246" s="1">
        <v>0.05</v>
      </c>
      <c r="G246">
        <f t="shared" si="3"/>
        <v>1999.93</v>
      </c>
      <c r="H246" t="str">
        <f>VLOOKUP(C246,[1]products!$A:$B,2,FALSE)</f>
        <v>Surly Wednesday Frameset - 2016</v>
      </c>
      <c r="I246">
        <f>VLOOKUP(C246,[1]products!$A:$D,4,FALSE)</f>
        <v>6</v>
      </c>
      <c r="J246" t="str">
        <f>VLOOKUP(I246,[2]categories!$A$1:$B$8,2,FALSE)</f>
        <v>Mountain Bikes</v>
      </c>
    </row>
    <row r="247" customHeight="1" spans="1:10">
      <c r="A247" s="1">
        <v>84</v>
      </c>
      <c r="B247" s="1">
        <v>1</v>
      </c>
      <c r="C247" s="1">
        <v>23</v>
      </c>
      <c r="D247" s="1">
        <v>2</v>
      </c>
      <c r="E247" s="1">
        <v>299.99</v>
      </c>
      <c r="F247" s="1">
        <v>0.07</v>
      </c>
      <c r="G247">
        <f t="shared" si="3"/>
        <v>599.91</v>
      </c>
      <c r="H247" t="str">
        <f>VLOOKUP(C247,[1]products!$A:$B,2,FALSE)</f>
        <v>Electra Girl's Hawaii 1 (20-inch) - 2015/2016</v>
      </c>
      <c r="I247">
        <f>VLOOKUP(C247,[1]products!$A:$D,4,FALSE)</f>
        <v>1</v>
      </c>
      <c r="J247" t="str">
        <f>VLOOKUP(I247,[2]categories!$A$1:$B$8,2,FALSE)</f>
        <v>Children Bicycles</v>
      </c>
    </row>
    <row r="248" customHeight="1" spans="1:10">
      <c r="A248" s="1">
        <v>84</v>
      </c>
      <c r="B248" s="1">
        <v>2</v>
      </c>
      <c r="C248" s="1">
        <v>15</v>
      </c>
      <c r="D248" s="1">
        <v>2</v>
      </c>
      <c r="E248" s="1">
        <v>529.99</v>
      </c>
      <c r="F248" s="1">
        <v>0.07</v>
      </c>
      <c r="G248">
        <f t="shared" si="3"/>
        <v>1059.91</v>
      </c>
      <c r="H248" t="str">
        <f>VLOOKUP(C248,[1]products!$A:$B,2,FALSE)</f>
        <v>Electra Moto 1 - 2016</v>
      </c>
      <c r="I248">
        <f>VLOOKUP(C248,[1]products!$A:$D,4,FALSE)</f>
        <v>3</v>
      </c>
      <c r="J248" t="str">
        <f>VLOOKUP(I248,[2]categories!$A$1:$B$8,2,FALSE)</f>
        <v>Cruisers Bicycles</v>
      </c>
    </row>
    <row r="249" customHeight="1" spans="1:10">
      <c r="A249" s="1">
        <v>85</v>
      </c>
      <c r="B249" s="1">
        <v>1</v>
      </c>
      <c r="C249" s="1">
        <v>4</v>
      </c>
      <c r="D249" s="1">
        <v>2</v>
      </c>
      <c r="E249" s="1">
        <v>2899.99</v>
      </c>
      <c r="F249" s="1">
        <v>0.05</v>
      </c>
      <c r="G249">
        <f t="shared" si="3"/>
        <v>5799.93</v>
      </c>
      <c r="H249" t="str">
        <f>VLOOKUP(C249,[1]products!$A:$B,2,FALSE)</f>
        <v>Trek Fuel EX 8 29 - 2016</v>
      </c>
      <c r="I249">
        <f>VLOOKUP(C249,[1]products!$A:$D,4,FALSE)</f>
        <v>6</v>
      </c>
      <c r="J249" t="str">
        <f>VLOOKUP(I249,[2]categories!$A$1:$B$8,2,FALSE)</f>
        <v>Mountain Bikes</v>
      </c>
    </row>
    <row r="250" customHeight="1" spans="1:10">
      <c r="A250" s="1">
        <v>85</v>
      </c>
      <c r="B250" s="1">
        <v>2</v>
      </c>
      <c r="C250" s="1">
        <v>18</v>
      </c>
      <c r="D250" s="1">
        <v>1</v>
      </c>
      <c r="E250" s="1">
        <v>449</v>
      </c>
      <c r="F250" s="1">
        <v>0.07</v>
      </c>
      <c r="G250">
        <f t="shared" si="3"/>
        <v>448.93</v>
      </c>
      <c r="H250" t="str">
        <f>VLOOKUP(C250,[1]products!$A:$B,2,FALSE)</f>
        <v>Pure Cycles Western 3-Speed - Women's - 2015/2016</v>
      </c>
      <c r="I250">
        <f>VLOOKUP(C250,[1]products!$A:$D,4,FALSE)</f>
        <v>3</v>
      </c>
      <c r="J250" t="str">
        <f>VLOOKUP(I250,[2]categories!$A$1:$B$8,2,FALSE)</f>
        <v>Cruisers Bicycles</v>
      </c>
    </row>
    <row r="251" customHeight="1" spans="1:10">
      <c r="A251" s="1">
        <v>86</v>
      </c>
      <c r="B251" s="1">
        <v>1</v>
      </c>
      <c r="C251" s="1">
        <v>9</v>
      </c>
      <c r="D251" s="1">
        <v>2</v>
      </c>
      <c r="E251" s="1">
        <v>2999.99</v>
      </c>
      <c r="F251" s="1">
        <v>0.1</v>
      </c>
      <c r="G251">
        <f t="shared" si="3"/>
        <v>5999.88</v>
      </c>
      <c r="H251" t="str">
        <f>VLOOKUP(C251,[1]products!$A:$B,2,FALSE)</f>
        <v>Trek Conduit+ - 2016</v>
      </c>
      <c r="I251">
        <f>VLOOKUP(C251,[1]products!$A:$D,4,FALSE)</f>
        <v>5</v>
      </c>
      <c r="J251" t="str">
        <f>VLOOKUP(I251,[2]categories!$A$1:$B$8,2,FALSE)</f>
        <v>Electric Bikes</v>
      </c>
    </row>
    <row r="252" customHeight="1" spans="1:10">
      <c r="A252" s="1">
        <v>86</v>
      </c>
      <c r="B252" s="1">
        <v>2</v>
      </c>
      <c r="C252" s="1">
        <v>23</v>
      </c>
      <c r="D252" s="1">
        <v>2</v>
      </c>
      <c r="E252" s="1">
        <v>299.99</v>
      </c>
      <c r="F252" s="1">
        <v>0.07</v>
      </c>
      <c r="G252">
        <f t="shared" si="3"/>
        <v>599.91</v>
      </c>
      <c r="H252" t="str">
        <f>VLOOKUP(C252,[1]products!$A:$B,2,FALSE)</f>
        <v>Electra Girl's Hawaii 1 (20-inch) - 2015/2016</v>
      </c>
      <c r="I252">
        <f>VLOOKUP(C252,[1]products!$A:$D,4,FALSE)</f>
        <v>1</v>
      </c>
      <c r="J252" t="str">
        <f>VLOOKUP(I252,[2]categories!$A$1:$B$8,2,FALSE)</f>
        <v>Children Bicycles</v>
      </c>
    </row>
    <row r="253" customHeight="1" spans="1:10">
      <c r="A253" s="1">
        <v>86</v>
      </c>
      <c r="B253" s="1">
        <v>3</v>
      </c>
      <c r="C253" s="1">
        <v>21</v>
      </c>
      <c r="D253" s="1">
        <v>2</v>
      </c>
      <c r="E253" s="1">
        <v>269.99</v>
      </c>
      <c r="F253" s="1">
        <v>0.2</v>
      </c>
      <c r="G253">
        <f t="shared" si="3"/>
        <v>539.78</v>
      </c>
      <c r="H253" t="str">
        <f>VLOOKUP(C253,[1]products!$A:$B,2,FALSE)</f>
        <v>Electra Cruiser 1 (24-Inch) - 2016</v>
      </c>
      <c r="I253">
        <f>VLOOKUP(C253,[1]products!$A:$D,4,FALSE)</f>
        <v>1</v>
      </c>
      <c r="J253" t="str">
        <f>VLOOKUP(I253,[2]categories!$A$1:$B$8,2,FALSE)</f>
        <v>Children Bicycles</v>
      </c>
    </row>
    <row r="254" customHeight="1" spans="1:10">
      <c r="A254" s="1">
        <v>86</v>
      </c>
      <c r="B254" s="1">
        <v>4</v>
      </c>
      <c r="C254" s="1">
        <v>15</v>
      </c>
      <c r="D254" s="1">
        <v>1</v>
      </c>
      <c r="E254" s="1">
        <v>529.99</v>
      </c>
      <c r="F254" s="1">
        <v>0.1</v>
      </c>
      <c r="G254">
        <f t="shared" si="3"/>
        <v>529.89</v>
      </c>
      <c r="H254" t="str">
        <f>VLOOKUP(C254,[1]products!$A:$B,2,FALSE)</f>
        <v>Electra Moto 1 - 2016</v>
      </c>
      <c r="I254">
        <f>VLOOKUP(C254,[1]products!$A:$D,4,FALSE)</f>
        <v>3</v>
      </c>
      <c r="J254" t="str">
        <f>VLOOKUP(I254,[2]categories!$A$1:$B$8,2,FALSE)</f>
        <v>Cruisers Bicycles</v>
      </c>
    </row>
    <row r="255" customHeight="1" spans="1:10">
      <c r="A255" s="1">
        <v>87</v>
      </c>
      <c r="B255" s="1">
        <v>1</v>
      </c>
      <c r="C255" s="1">
        <v>20</v>
      </c>
      <c r="D255" s="1">
        <v>2</v>
      </c>
      <c r="E255" s="1">
        <v>599.99</v>
      </c>
      <c r="F255" s="1">
        <v>0.2</v>
      </c>
      <c r="G255">
        <f t="shared" si="3"/>
        <v>1199.78</v>
      </c>
      <c r="H255" t="str">
        <f>VLOOKUP(C255,[1]products!$A:$B,2,FALSE)</f>
        <v>Electra Townie Original 7D EQ - Women's - 2016</v>
      </c>
      <c r="I255">
        <f>VLOOKUP(C255,[1]products!$A:$D,4,FALSE)</f>
        <v>3</v>
      </c>
      <c r="J255" t="str">
        <f>VLOOKUP(I255,[2]categories!$A$1:$B$8,2,FALSE)</f>
        <v>Cruisers Bicycles</v>
      </c>
    </row>
    <row r="256" customHeight="1" spans="1:10">
      <c r="A256" s="1">
        <v>87</v>
      </c>
      <c r="B256" s="1">
        <v>2</v>
      </c>
      <c r="C256" s="1">
        <v>23</v>
      </c>
      <c r="D256" s="1">
        <v>2</v>
      </c>
      <c r="E256" s="1">
        <v>299.99</v>
      </c>
      <c r="F256" s="1">
        <v>0.1</v>
      </c>
      <c r="G256">
        <f t="shared" si="3"/>
        <v>599.88</v>
      </c>
      <c r="H256" t="str">
        <f>VLOOKUP(C256,[1]products!$A:$B,2,FALSE)</f>
        <v>Electra Girl's Hawaii 1 (20-inch) - 2015/2016</v>
      </c>
      <c r="I256">
        <f>VLOOKUP(C256,[1]products!$A:$D,4,FALSE)</f>
        <v>1</v>
      </c>
      <c r="J256" t="str">
        <f>VLOOKUP(I256,[2]categories!$A$1:$B$8,2,FALSE)</f>
        <v>Children Bicycles</v>
      </c>
    </row>
    <row r="257" customHeight="1" spans="1:10">
      <c r="A257" s="1">
        <v>88</v>
      </c>
      <c r="B257" s="1">
        <v>1</v>
      </c>
      <c r="C257" s="1">
        <v>10</v>
      </c>
      <c r="D257" s="1">
        <v>1</v>
      </c>
      <c r="E257" s="1">
        <v>1549</v>
      </c>
      <c r="F257" s="1">
        <v>0.07</v>
      </c>
      <c r="G257">
        <f t="shared" si="3"/>
        <v>1548.93</v>
      </c>
      <c r="H257" t="str">
        <f>VLOOKUP(C257,[1]products!$A:$B,2,FALSE)</f>
        <v>Surly Straggler - 2016</v>
      </c>
      <c r="I257">
        <f>VLOOKUP(C257,[1]products!$A:$D,4,FALSE)</f>
        <v>4</v>
      </c>
      <c r="J257" t="str">
        <f>VLOOKUP(I257,[2]categories!$A$1:$B$8,2,FALSE)</f>
        <v>Cyclocross Bicycles</v>
      </c>
    </row>
    <row r="258" customHeight="1" spans="1:10">
      <c r="A258" s="1">
        <v>88</v>
      </c>
      <c r="B258" s="1">
        <v>2</v>
      </c>
      <c r="C258" s="1">
        <v>8</v>
      </c>
      <c r="D258" s="1">
        <v>2</v>
      </c>
      <c r="E258" s="1">
        <v>1799.99</v>
      </c>
      <c r="F258" s="1">
        <v>0.1</v>
      </c>
      <c r="G258">
        <f t="shared" si="3"/>
        <v>3599.88</v>
      </c>
      <c r="H258" t="str">
        <f>VLOOKUP(C258,[1]products!$A:$B,2,FALSE)</f>
        <v>Trek Remedy 29 Carbon Frameset - 2016</v>
      </c>
      <c r="I258">
        <f>VLOOKUP(C258,[1]products!$A:$D,4,FALSE)</f>
        <v>6</v>
      </c>
      <c r="J258" t="str">
        <f>VLOOKUP(I258,[2]categories!$A$1:$B$8,2,FALSE)</f>
        <v>Mountain Bikes</v>
      </c>
    </row>
    <row r="259" customHeight="1" spans="1:10">
      <c r="A259" s="1">
        <v>88</v>
      </c>
      <c r="B259" s="1">
        <v>3</v>
      </c>
      <c r="C259" s="1">
        <v>7</v>
      </c>
      <c r="D259" s="1">
        <v>1</v>
      </c>
      <c r="E259" s="1">
        <v>3999.99</v>
      </c>
      <c r="F259" s="1">
        <v>0.1</v>
      </c>
      <c r="G259">
        <f t="shared" ref="G259:G322" si="4">(E259*D259)-F259</f>
        <v>3999.89</v>
      </c>
      <c r="H259" t="str">
        <f>VLOOKUP(C259,[1]products!$A:$B,2,FALSE)</f>
        <v>Trek Slash 8 27.5 - 2016</v>
      </c>
      <c r="I259">
        <f>VLOOKUP(C259,[1]products!$A:$D,4,FALSE)</f>
        <v>6</v>
      </c>
      <c r="J259" t="str">
        <f>VLOOKUP(I259,[2]categories!$A$1:$B$8,2,FALSE)</f>
        <v>Mountain Bikes</v>
      </c>
    </row>
    <row r="260" customHeight="1" spans="1:10">
      <c r="A260" s="1">
        <v>89</v>
      </c>
      <c r="B260" s="1">
        <v>1</v>
      </c>
      <c r="C260" s="1">
        <v>5</v>
      </c>
      <c r="D260" s="1">
        <v>1</v>
      </c>
      <c r="E260" s="1">
        <v>1320.99</v>
      </c>
      <c r="F260" s="1">
        <v>0.05</v>
      </c>
      <c r="G260">
        <f t="shared" si="4"/>
        <v>1320.94</v>
      </c>
      <c r="H260" t="str">
        <f>VLOOKUP(C260,[1]products!$A:$B,2,FALSE)</f>
        <v>Heller Shagamaw Frame - 2016</v>
      </c>
      <c r="I260">
        <f>VLOOKUP(C260,[1]products!$A:$D,4,FALSE)</f>
        <v>6</v>
      </c>
      <c r="J260" t="str">
        <f>VLOOKUP(I260,[2]categories!$A$1:$B$8,2,FALSE)</f>
        <v>Mountain Bikes</v>
      </c>
    </row>
    <row r="261" customHeight="1" spans="1:10">
      <c r="A261" s="1">
        <v>89</v>
      </c>
      <c r="B261" s="1">
        <v>2</v>
      </c>
      <c r="C261" s="1">
        <v>6</v>
      </c>
      <c r="D261" s="1">
        <v>2</v>
      </c>
      <c r="E261" s="1">
        <v>469.99</v>
      </c>
      <c r="F261" s="1">
        <v>0.1</v>
      </c>
      <c r="G261">
        <f t="shared" si="4"/>
        <v>939.88</v>
      </c>
      <c r="H261" t="str">
        <f>VLOOKUP(C261,[1]products!$A:$B,2,FALSE)</f>
        <v>Surly Ice Cream Truck Frameset - 2016</v>
      </c>
      <c r="I261">
        <f>VLOOKUP(C261,[1]products!$A:$D,4,FALSE)</f>
        <v>6</v>
      </c>
      <c r="J261" t="str">
        <f>VLOOKUP(I261,[2]categories!$A$1:$B$8,2,FALSE)</f>
        <v>Mountain Bikes</v>
      </c>
    </row>
    <row r="262" customHeight="1" spans="1:10">
      <c r="A262" s="1">
        <v>90</v>
      </c>
      <c r="B262" s="1">
        <v>1</v>
      </c>
      <c r="C262" s="1">
        <v>3</v>
      </c>
      <c r="D262" s="1">
        <v>1</v>
      </c>
      <c r="E262" s="1">
        <v>999.99</v>
      </c>
      <c r="F262" s="1">
        <v>0.1</v>
      </c>
      <c r="G262">
        <f t="shared" si="4"/>
        <v>999.89</v>
      </c>
      <c r="H262" t="str">
        <f>VLOOKUP(C262,[1]products!$A:$B,2,FALSE)</f>
        <v>Surly Wednesday Frameset - 2016</v>
      </c>
      <c r="I262">
        <f>VLOOKUP(C262,[1]products!$A:$D,4,FALSE)</f>
        <v>6</v>
      </c>
      <c r="J262" t="str">
        <f>VLOOKUP(I262,[2]categories!$A$1:$B$8,2,FALSE)</f>
        <v>Mountain Bikes</v>
      </c>
    </row>
    <row r="263" customHeight="1" spans="1:10">
      <c r="A263" s="1">
        <v>90</v>
      </c>
      <c r="B263" s="1">
        <v>2</v>
      </c>
      <c r="C263" s="1">
        <v>6</v>
      </c>
      <c r="D263" s="1">
        <v>1</v>
      </c>
      <c r="E263" s="1">
        <v>469.99</v>
      </c>
      <c r="F263" s="1">
        <v>0.07</v>
      </c>
      <c r="G263">
        <f t="shared" si="4"/>
        <v>469.92</v>
      </c>
      <c r="H263" t="str">
        <f>VLOOKUP(C263,[1]products!$A:$B,2,FALSE)</f>
        <v>Surly Ice Cream Truck Frameset - 2016</v>
      </c>
      <c r="I263">
        <f>VLOOKUP(C263,[1]products!$A:$D,4,FALSE)</f>
        <v>6</v>
      </c>
      <c r="J263" t="str">
        <f>VLOOKUP(I263,[2]categories!$A$1:$B$8,2,FALSE)</f>
        <v>Mountain Bikes</v>
      </c>
    </row>
    <row r="264" customHeight="1" spans="1:10">
      <c r="A264" s="1">
        <v>91</v>
      </c>
      <c r="B264" s="1">
        <v>1</v>
      </c>
      <c r="C264" s="1">
        <v>11</v>
      </c>
      <c r="D264" s="1">
        <v>1</v>
      </c>
      <c r="E264" s="1">
        <v>1680.99</v>
      </c>
      <c r="F264" s="1">
        <v>0.1</v>
      </c>
      <c r="G264">
        <f t="shared" si="4"/>
        <v>1680.89</v>
      </c>
      <c r="H264" t="str">
        <f>VLOOKUP(C264,[1]products!$A:$B,2,FALSE)</f>
        <v>Surly Straggler 650b - 2016</v>
      </c>
      <c r="I264">
        <f>VLOOKUP(C264,[1]products!$A:$D,4,FALSE)</f>
        <v>4</v>
      </c>
      <c r="J264" t="str">
        <f>VLOOKUP(I264,[2]categories!$A$1:$B$8,2,FALSE)</f>
        <v>Cyclocross Bicycles</v>
      </c>
    </row>
    <row r="265" customHeight="1" spans="1:10">
      <c r="A265" s="1">
        <v>91</v>
      </c>
      <c r="B265" s="1">
        <v>2</v>
      </c>
      <c r="C265" s="1">
        <v>25</v>
      </c>
      <c r="D265" s="1">
        <v>1</v>
      </c>
      <c r="E265" s="1">
        <v>499.99</v>
      </c>
      <c r="F265" s="1">
        <v>0.05</v>
      </c>
      <c r="G265">
        <f t="shared" si="4"/>
        <v>499.94</v>
      </c>
      <c r="H265" t="str">
        <f>VLOOKUP(C265,[1]products!$A:$B,2,FALSE)</f>
        <v>Electra Townie Original 7D - 2015/2016</v>
      </c>
      <c r="I265">
        <f>VLOOKUP(C265,[1]products!$A:$D,4,FALSE)</f>
        <v>2</v>
      </c>
      <c r="J265" t="str">
        <f>VLOOKUP(I265,[2]categories!$A$1:$B$8,2,FALSE)</f>
        <v>Comfort Bicycles</v>
      </c>
    </row>
    <row r="266" customHeight="1" spans="1:10">
      <c r="A266" s="1">
        <v>91</v>
      </c>
      <c r="B266" s="1">
        <v>3</v>
      </c>
      <c r="C266" s="1">
        <v>15</v>
      </c>
      <c r="D266" s="1">
        <v>2</v>
      </c>
      <c r="E266" s="1">
        <v>529.99</v>
      </c>
      <c r="F266" s="1">
        <v>0.07</v>
      </c>
      <c r="G266">
        <f t="shared" si="4"/>
        <v>1059.91</v>
      </c>
      <c r="H266" t="str">
        <f>VLOOKUP(C266,[1]products!$A:$B,2,FALSE)</f>
        <v>Electra Moto 1 - 2016</v>
      </c>
      <c r="I266">
        <f>VLOOKUP(C266,[1]products!$A:$D,4,FALSE)</f>
        <v>3</v>
      </c>
      <c r="J266" t="str">
        <f>VLOOKUP(I266,[2]categories!$A$1:$B$8,2,FALSE)</f>
        <v>Cruisers Bicycles</v>
      </c>
    </row>
    <row r="267" customHeight="1" spans="1:10">
      <c r="A267" s="1">
        <v>91</v>
      </c>
      <c r="B267" s="1">
        <v>4</v>
      </c>
      <c r="C267" s="1">
        <v>13</v>
      </c>
      <c r="D267" s="1">
        <v>2</v>
      </c>
      <c r="E267" s="1">
        <v>269.99</v>
      </c>
      <c r="F267" s="1">
        <v>0.07</v>
      </c>
      <c r="G267">
        <f t="shared" si="4"/>
        <v>539.91</v>
      </c>
      <c r="H267" t="str">
        <f>VLOOKUP(C267,[1]products!$A:$B,2,FALSE)</f>
        <v>Electra Cruiser 1 (24-Inch) - 2016</v>
      </c>
      <c r="I267">
        <f>VLOOKUP(C267,[1]products!$A:$D,4,FALSE)</f>
        <v>3</v>
      </c>
      <c r="J267" t="str">
        <f>VLOOKUP(I267,[2]categories!$A$1:$B$8,2,FALSE)</f>
        <v>Cruisers Bicycles</v>
      </c>
    </row>
    <row r="268" customHeight="1" spans="1:10">
      <c r="A268" s="1">
        <v>92</v>
      </c>
      <c r="B268" s="1">
        <v>1</v>
      </c>
      <c r="C268" s="1">
        <v>8</v>
      </c>
      <c r="D268" s="1">
        <v>1</v>
      </c>
      <c r="E268" s="1">
        <v>1799.99</v>
      </c>
      <c r="F268" s="1">
        <v>0.1</v>
      </c>
      <c r="G268">
        <f t="shared" si="4"/>
        <v>1799.89</v>
      </c>
      <c r="H268" t="str">
        <f>VLOOKUP(C268,[1]products!$A:$B,2,FALSE)</f>
        <v>Trek Remedy 29 Carbon Frameset - 2016</v>
      </c>
      <c r="I268">
        <f>VLOOKUP(C268,[1]products!$A:$D,4,FALSE)</f>
        <v>6</v>
      </c>
      <c r="J268" t="str">
        <f>VLOOKUP(I268,[2]categories!$A$1:$B$8,2,FALSE)</f>
        <v>Mountain Bikes</v>
      </c>
    </row>
    <row r="269" customHeight="1" spans="1:10">
      <c r="A269" s="1">
        <v>93</v>
      </c>
      <c r="B269" s="1">
        <v>1</v>
      </c>
      <c r="C269" s="1">
        <v>22</v>
      </c>
      <c r="D269" s="1">
        <v>2</v>
      </c>
      <c r="E269" s="1">
        <v>269.99</v>
      </c>
      <c r="F269" s="1">
        <v>0.07</v>
      </c>
      <c r="G269">
        <f t="shared" si="4"/>
        <v>539.91</v>
      </c>
      <c r="H269" t="str">
        <f>VLOOKUP(C269,[1]products!$A:$B,2,FALSE)</f>
        <v>Electra Girl's Hawaii 1 (16-inch) - 2015/2016</v>
      </c>
      <c r="I269">
        <f>VLOOKUP(C269,[1]products!$A:$D,4,FALSE)</f>
        <v>1</v>
      </c>
      <c r="J269" t="str">
        <f>VLOOKUP(I269,[2]categories!$A$1:$B$8,2,FALSE)</f>
        <v>Children Bicycles</v>
      </c>
    </row>
    <row r="270" customHeight="1" spans="1:10">
      <c r="A270" s="1">
        <v>93</v>
      </c>
      <c r="B270" s="1">
        <v>2</v>
      </c>
      <c r="C270" s="1">
        <v>17</v>
      </c>
      <c r="D270" s="1">
        <v>1</v>
      </c>
      <c r="E270" s="1">
        <v>429</v>
      </c>
      <c r="F270" s="1">
        <v>0.05</v>
      </c>
      <c r="G270">
        <f t="shared" si="4"/>
        <v>428.95</v>
      </c>
      <c r="H270" t="str">
        <f>VLOOKUP(C270,[1]products!$A:$B,2,FALSE)</f>
        <v>Pure Cycles Vine 8-Speed - 2016</v>
      </c>
      <c r="I270">
        <f>VLOOKUP(C270,[1]products!$A:$D,4,FALSE)</f>
        <v>3</v>
      </c>
      <c r="J270" t="str">
        <f>VLOOKUP(I270,[2]categories!$A$1:$B$8,2,FALSE)</f>
        <v>Cruisers Bicycles</v>
      </c>
    </row>
    <row r="271" customHeight="1" spans="1:10">
      <c r="A271" s="1">
        <v>93</v>
      </c>
      <c r="B271" s="1">
        <v>3</v>
      </c>
      <c r="C271" s="1">
        <v>21</v>
      </c>
      <c r="D271" s="1">
        <v>1</v>
      </c>
      <c r="E271" s="1">
        <v>269.99</v>
      </c>
      <c r="F271" s="1">
        <v>0.1</v>
      </c>
      <c r="G271">
        <f t="shared" si="4"/>
        <v>269.89</v>
      </c>
      <c r="H271" t="str">
        <f>VLOOKUP(C271,[1]products!$A:$B,2,FALSE)</f>
        <v>Electra Cruiser 1 (24-Inch) - 2016</v>
      </c>
      <c r="I271">
        <f>VLOOKUP(C271,[1]products!$A:$D,4,FALSE)</f>
        <v>1</v>
      </c>
      <c r="J271" t="str">
        <f>VLOOKUP(I271,[2]categories!$A$1:$B$8,2,FALSE)</f>
        <v>Children Bicycles</v>
      </c>
    </row>
    <row r="272" customHeight="1" spans="1:10">
      <c r="A272" s="1">
        <v>93</v>
      </c>
      <c r="B272" s="1">
        <v>4</v>
      </c>
      <c r="C272" s="1">
        <v>2</v>
      </c>
      <c r="D272" s="1">
        <v>1</v>
      </c>
      <c r="E272" s="1">
        <v>749.99</v>
      </c>
      <c r="F272" s="1">
        <v>0.2</v>
      </c>
      <c r="G272">
        <f t="shared" si="4"/>
        <v>749.79</v>
      </c>
      <c r="H272" t="str">
        <f>VLOOKUP(C272,[1]products!$A:$B,2,FALSE)</f>
        <v>Ritchey Timberwolf Frameset - 2016</v>
      </c>
      <c r="I272">
        <f>VLOOKUP(C272,[1]products!$A:$D,4,FALSE)</f>
        <v>6</v>
      </c>
      <c r="J272" t="str">
        <f>VLOOKUP(I272,[2]categories!$A$1:$B$8,2,FALSE)</f>
        <v>Mountain Bikes</v>
      </c>
    </row>
    <row r="273" customHeight="1" spans="1:10">
      <c r="A273" s="1">
        <v>93</v>
      </c>
      <c r="B273" s="1">
        <v>5</v>
      </c>
      <c r="C273" s="1">
        <v>10</v>
      </c>
      <c r="D273" s="1">
        <v>2</v>
      </c>
      <c r="E273" s="1">
        <v>1549</v>
      </c>
      <c r="F273" s="1">
        <v>0.07</v>
      </c>
      <c r="G273">
        <f t="shared" si="4"/>
        <v>3097.93</v>
      </c>
      <c r="H273" t="str">
        <f>VLOOKUP(C273,[1]products!$A:$B,2,FALSE)</f>
        <v>Surly Straggler - 2016</v>
      </c>
      <c r="I273">
        <f>VLOOKUP(C273,[1]products!$A:$D,4,FALSE)</f>
        <v>4</v>
      </c>
      <c r="J273" t="str">
        <f>VLOOKUP(I273,[2]categories!$A$1:$B$8,2,FALSE)</f>
        <v>Cyclocross Bicycles</v>
      </c>
    </row>
    <row r="274" customHeight="1" spans="1:10">
      <c r="A274" s="1">
        <v>94</v>
      </c>
      <c r="B274" s="1">
        <v>1</v>
      </c>
      <c r="C274" s="1">
        <v>12</v>
      </c>
      <c r="D274" s="1">
        <v>1</v>
      </c>
      <c r="E274" s="1">
        <v>549.99</v>
      </c>
      <c r="F274" s="1">
        <v>0.05</v>
      </c>
      <c r="G274">
        <f t="shared" si="4"/>
        <v>549.94</v>
      </c>
      <c r="H274" t="str">
        <f>VLOOKUP(C274,[1]products!$A:$B,2,FALSE)</f>
        <v>Electra Townie Original 21D - 2016</v>
      </c>
      <c r="I274">
        <f>VLOOKUP(C274,[1]products!$A:$D,4,FALSE)</f>
        <v>3</v>
      </c>
      <c r="J274" t="str">
        <f>VLOOKUP(I274,[2]categories!$A$1:$B$8,2,FALSE)</f>
        <v>Cruisers Bicycles</v>
      </c>
    </row>
    <row r="275" customHeight="1" spans="1:10">
      <c r="A275" s="1">
        <v>94</v>
      </c>
      <c r="B275" s="1">
        <v>2</v>
      </c>
      <c r="C275" s="1">
        <v>4</v>
      </c>
      <c r="D275" s="1">
        <v>1</v>
      </c>
      <c r="E275" s="1">
        <v>2899.99</v>
      </c>
      <c r="F275" s="1">
        <v>0.2</v>
      </c>
      <c r="G275">
        <f t="shared" si="4"/>
        <v>2899.79</v>
      </c>
      <c r="H275" t="str">
        <f>VLOOKUP(C275,[1]products!$A:$B,2,FALSE)</f>
        <v>Trek Fuel EX 8 29 - 2016</v>
      </c>
      <c r="I275">
        <f>VLOOKUP(C275,[1]products!$A:$D,4,FALSE)</f>
        <v>6</v>
      </c>
      <c r="J275" t="str">
        <f>VLOOKUP(I275,[2]categories!$A$1:$B$8,2,FALSE)</f>
        <v>Mountain Bikes</v>
      </c>
    </row>
    <row r="276" customHeight="1" spans="1:10">
      <c r="A276" s="1">
        <v>94</v>
      </c>
      <c r="B276" s="1">
        <v>3</v>
      </c>
      <c r="C276" s="1">
        <v>11</v>
      </c>
      <c r="D276" s="1">
        <v>1</v>
      </c>
      <c r="E276" s="1">
        <v>1680.99</v>
      </c>
      <c r="F276" s="1">
        <v>0.2</v>
      </c>
      <c r="G276">
        <f t="shared" si="4"/>
        <v>1680.79</v>
      </c>
      <c r="H276" t="str">
        <f>VLOOKUP(C276,[1]products!$A:$B,2,FALSE)</f>
        <v>Surly Straggler 650b - 2016</v>
      </c>
      <c r="I276">
        <f>VLOOKUP(C276,[1]products!$A:$D,4,FALSE)</f>
        <v>4</v>
      </c>
      <c r="J276" t="str">
        <f>VLOOKUP(I276,[2]categories!$A$1:$B$8,2,FALSE)</f>
        <v>Cyclocross Bicycles</v>
      </c>
    </row>
    <row r="277" customHeight="1" spans="1:10">
      <c r="A277" s="1">
        <v>94</v>
      </c>
      <c r="B277" s="1">
        <v>4</v>
      </c>
      <c r="C277" s="1">
        <v>21</v>
      </c>
      <c r="D277" s="1">
        <v>2</v>
      </c>
      <c r="E277" s="1">
        <v>269.99</v>
      </c>
      <c r="F277" s="1">
        <v>0.07</v>
      </c>
      <c r="G277">
        <f t="shared" si="4"/>
        <v>539.91</v>
      </c>
      <c r="H277" t="str">
        <f>VLOOKUP(C277,[1]products!$A:$B,2,FALSE)</f>
        <v>Electra Cruiser 1 (24-Inch) - 2016</v>
      </c>
      <c r="I277">
        <f>VLOOKUP(C277,[1]products!$A:$D,4,FALSE)</f>
        <v>1</v>
      </c>
      <c r="J277" t="str">
        <f>VLOOKUP(I277,[2]categories!$A$1:$B$8,2,FALSE)</f>
        <v>Children Bicycles</v>
      </c>
    </row>
    <row r="278" customHeight="1" spans="1:10">
      <c r="A278" s="1">
        <v>95</v>
      </c>
      <c r="B278" s="1">
        <v>1</v>
      </c>
      <c r="C278" s="1">
        <v>10</v>
      </c>
      <c r="D278" s="1">
        <v>2</v>
      </c>
      <c r="E278" s="1">
        <v>1549</v>
      </c>
      <c r="F278" s="1">
        <v>0.2</v>
      </c>
      <c r="G278">
        <f t="shared" si="4"/>
        <v>3097.8</v>
      </c>
      <c r="H278" t="str">
        <f>VLOOKUP(C278,[1]products!$A:$B,2,FALSE)</f>
        <v>Surly Straggler - 2016</v>
      </c>
      <c r="I278">
        <f>VLOOKUP(C278,[1]products!$A:$D,4,FALSE)</f>
        <v>4</v>
      </c>
      <c r="J278" t="str">
        <f>VLOOKUP(I278,[2]categories!$A$1:$B$8,2,FALSE)</f>
        <v>Cyclocross Bicycles</v>
      </c>
    </row>
    <row r="279" customHeight="1" spans="1:10">
      <c r="A279" s="1">
        <v>95</v>
      </c>
      <c r="B279" s="1">
        <v>2</v>
      </c>
      <c r="C279" s="1">
        <v>19</v>
      </c>
      <c r="D279" s="1">
        <v>1</v>
      </c>
      <c r="E279" s="1">
        <v>449</v>
      </c>
      <c r="F279" s="1">
        <v>0.1</v>
      </c>
      <c r="G279">
        <f t="shared" si="4"/>
        <v>448.9</v>
      </c>
      <c r="H279" t="str">
        <f>VLOOKUP(C279,[1]products!$A:$B,2,FALSE)</f>
        <v>Pure Cycles William 3-Speed - 2016</v>
      </c>
      <c r="I279">
        <f>VLOOKUP(C279,[1]products!$A:$D,4,FALSE)</f>
        <v>3</v>
      </c>
      <c r="J279" t="str">
        <f>VLOOKUP(I279,[2]categories!$A$1:$B$8,2,FALSE)</f>
        <v>Cruisers Bicycles</v>
      </c>
    </row>
    <row r="280" customHeight="1" spans="1:10">
      <c r="A280" s="1">
        <v>95</v>
      </c>
      <c r="B280" s="1">
        <v>3</v>
      </c>
      <c r="C280" s="1">
        <v>8</v>
      </c>
      <c r="D280" s="1">
        <v>2</v>
      </c>
      <c r="E280" s="1">
        <v>1799.99</v>
      </c>
      <c r="F280" s="1">
        <v>0.2</v>
      </c>
      <c r="G280">
        <f t="shared" si="4"/>
        <v>3599.78</v>
      </c>
      <c r="H280" t="str">
        <f>VLOOKUP(C280,[1]products!$A:$B,2,FALSE)</f>
        <v>Trek Remedy 29 Carbon Frameset - 2016</v>
      </c>
      <c r="I280">
        <f>VLOOKUP(C280,[1]products!$A:$D,4,FALSE)</f>
        <v>6</v>
      </c>
      <c r="J280" t="str">
        <f>VLOOKUP(I280,[2]categories!$A$1:$B$8,2,FALSE)</f>
        <v>Mountain Bikes</v>
      </c>
    </row>
    <row r="281" customHeight="1" spans="1:10">
      <c r="A281" s="1">
        <v>95</v>
      </c>
      <c r="B281" s="1">
        <v>4</v>
      </c>
      <c r="C281" s="1">
        <v>20</v>
      </c>
      <c r="D281" s="1">
        <v>2</v>
      </c>
      <c r="E281" s="1">
        <v>599.99</v>
      </c>
      <c r="F281" s="1">
        <v>0.05</v>
      </c>
      <c r="G281">
        <f t="shared" si="4"/>
        <v>1199.93</v>
      </c>
      <c r="H281" t="str">
        <f>VLOOKUP(C281,[1]products!$A:$B,2,FALSE)</f>
        <v>Electra Townie Original 7D EQ - Women's - 2016</v>
      </c>
      <c r="I281">
        <f>VLOOKUP(C281,[1]products!$A:$D,4,FALSE)</f>
        <v>3</v>
      </c>
      <c r="J281" t="str">
        <f>VLOOKUP(I281,[2]categories!$A$1:$B$8,2,FALSE)</f>
        <v>Cruisers Bicycles</v>
      </c>
    </row>
    <row r="282" customHeight="1" spans="1:10">
      <c r="A282" s="1">
        <v>96</v>
      </c>
      <c r="B282" s="1">
        <v>1</v>
      </c>
      <c r="C282" s="1">
        <v>26</v>
      </c>
      <c r="D282" s="1">
        <v>1</v>
      </c>
      <c r="E282" s="1">
        <v>599.99</v>
      </c>
      <c r="F282" s="1">
        <v>0.1</v>
      </c>
      <c r="G282">
        <f t="shared" si="4"/>
        <v>599.89</v>
      </c>
      <c r="H282" t="str">
        <f>VLOOKUP(C282,[1]products!$A:$B,2,FALSE)</f>
        <v>Electra Townie Original 7D EQ - 2016</v>
      </c>
      <c r="I282">
        <f>VLOOKUP(C282,[1]products!$A:$D,4,FALSE)</f>
        <v>2</v>
      </c>
      <c r="J282" t="str">
        <f>VLOOKUP(I282,[2]categories!$A$1:$B$8,2,FALSE)</f>
        <v>Comfort Bicycles</v>
      </c>
    </row>
    <row r="283" customHeight="1" spans="1:10">
      <c r="A283" s="1">
        <v>96</v>
      </c>
      <c r="B283" s="1">
        <v>2</v>
      </c>
      <c r="C283" s="1">
        <v>23</v>
      </c>
      <c r="D283" s="1">
        <v>1</v>
      </c>
      <c r="E283" s="1">
        <v>299.99</v>
      </c>
      <c r="F283" s="1">
        <v>0.05</v>
      </c>
      <c r="G283">
        <f t="shared" si="4"/>
        <v>299.94</v>
      </c>
      <c r="H283" t="str">
        <f>VLOOKUP(C283,[1]products!$A:$B,2,FALSE)</f>
        <v>Electra Girl's Hawaii 1 (20-inch) - 2015/2016</v>
      </c>
      <c r="I283">
        <f>VLOOKUP(C283,[1]products!$A:$D,4,FALSE)</f>
        <v>1</v>
      </c>
      <c r="J283" t="str">
        <f>VLOOKUP(I283,[2]categories!$A$1:$B$8,2,FALSE)</f>
        <v>Children Bicycles</v>
      </c>
    </row>
    <row r="284" customHeight="1" spans="1:10">
      <c r="A284" s="1">
        <v>97</v>
      </c>
      <c r="B284" s="1">
        <v>1</v>
      </c>
      <c r="C284" s="1">
        <v>20</v>
      </c>
      <c r="D284" s="1">
        <v>2</v>
      </c>
      <c r="E284" s="1">
        <v>599.99</v>
      </c>
      <c r="F284" s="1">
        <v>0.2</v>
      </c>
      <c r="G284">
        <f t="shared" si="4"/>
        <v>1199.78</v>
      </c>
      <c r="H284" t="str">
        <f>VLOOKUP(C284,[1]products!$A:$B,2,FALSE)</f>
        <v>Electra Townie Original 7D EQ - Women's - 2016</v>
      </c>
      <c r="I284">
        <f>VLOOKUP(C284,[1]products!$A:$D,4,FALSE)</f>
        <v>3</v>
      </c>
      <c r="J284" t="str">
        <f>VLOOKUP(I284,[2]categories!$A$1:$B$8,2,FALSE)</f>
        <v>Cruisers Bicycles</v>
      </c>
    </row>
    <row r="285" customHeight="1" spans="1:10">
      <c r="A285" s="1">
        <v>97</v>
      </c>
      <c r="B285" s="1">
        <v>2</v>
      </c>
      <c r="C285" s="1">
        <v>2</v>
      </c>
      <c r="D285" s="1">
        <v>1</v>
      </c>
      <c r="E285" s="1">
        <v>749.99</v>
      </c>
      <c r="F285" s="1">
        <v>0.07</v>
      </c>
      <c r="G285">
        <f t="shared" si="4"/>
        <v>749.92</v>
      </c>
      <c r="H285" t="str">
        <f>VLOOKUP(C285,[1]products!$A:$B,2,FALSE)</f>
        <v>Ritchey Timberwolf Frameset - 2016</v>
      </c>
      <c r="I285">
        <f>VLOOKUP(C285,[1]products!$A:$D,4,FALSE)</f>
        <v>6</v>
      </c>
      <c r="J285" t="str">
        <f>VLOOKUP(I285,[2]categories!$A$1:$B$8,2,FALSE)</f>
        <v>Mountain Bikes</v>
      </c>
    </row>
    <row r="286" customHeight="1" spans="1:10">
      <c r="A286" s="1">
        <v>97</v>
      </c>
      <c r="B286" s="1">
        <v>3</v>
      </c>
      <c r="C286" s="1">
        <v>6</v>
      </c>
      <c r="D286" s="1">
        <v>2</v>
      </c>
      <c r="E286" s="1">
        <v>469.99</v>
      </c>
      <c r="F286" s="1">
        <v>0.2</v>
      </c>
      <c r="G286">
        <f t="shared" si="4"/>
        <v>939.78</v>
      </c>
      <c r="H286" t="str">
        <f>VLOOKUP(C286,[1]products!$A:$B,2,FALSE)</f>
        <v>Surly Ice Cream Truck Frameset - 2016</v>
      </c>
      <c r="I286">
        <f>VLOOKUP(C286,[1]products!$A:$D,4,FALSE)</f>
        <v>6</v>
      </c>
      <c r="J286" t="str">
        <f>VLOOKUP(I286,[2]categories!$A$1:$B$8,2,FALSE)</f>
        <v>Mountain Bikes</v>
      </c>
    </row>
    <row r="287" customHeight="1" spans="1:10">
      <c r="A287" s="1">
        <v>97</v>
      </c>
      <c r="B287" s="1">
        <v>4</v>
      </c>
      <c r="C287" s="1">
        <v>19</v>
      </c>
      <c r="D287" s="1">
        <v>1</v>
      </c>
      <c r="E287" s="1">
        <v>449</v>
      </c>
      <c r="F287" s="1">
        <v>0.1</v>
      </c>
      <c r="G287">
        <f t="shared" si="4"/>
        <v>448.9</v>
      </c>
      <c r="H287" t="str">
        <f>VLOOKUP(C287,[1]products!$A:$B,2,FALSE)</f>
        <v>Pure Cycles William 3-Speed - 2016</v>
      </c>
      <c r="I287">
        <f>VLOOKUP(C287,[1]products!$A:$D,4,FALSE)</f>
        <v>3</v>
      </c>
      <c r="J287" t="str">
        <f>VLOOKUP(I287,[2]categories!$A$1:$B$8,2,FALSE)</f>
        <v>Cruisers Bicycles</v>
      </c>
    </row>
    <row r="288" customHeight="1" spans="1:10">
      <c r="A288" s="1">
        <v>98</v>
      </c>
      <c r="B288" s="1">
        <v>1</v>
      </c>
      <c r="C288" s="1">
        <v>19</v>
      </c>
      <c r="D288" s="1">
        <v>1</v>
      </c>
      <c r="E288" s="1">
        <v>449</v>
      </c>
      <c r="F288" s="1">
        <v>0.07</v>
      </c>
      <c r="G288">
        <f t="shared" si="4"/>
        <v>448.93</v>
      </c>
      <c r="H288" t="str">
        <f>VLOOKUP(C288,[1]products!$A:$B,2,FALSE)</f>
        <v>Pure Cycles William 3-Speed - 2016</v>
      </c>
      <c r="I288">
        <f>VLOOKUP(C288,[1]products!$A:$D,4,FALSE)</f>
        <v>3</v>
      </c>
      <c r="J288" t="str">
        <f>VLOOKUP(I288,[2]categories!$A$1:$B$8,2,FALSE)</f>
        <v>Cruisers Bicycles</v>
      </c>
    </row>
    <row r="289" customHeight="1" spans="1:10">
      <c r="A289" s="1">
        <v>98</v>
      </c>
      <c r="B289" s="1">
        <v>2</v>
      </c>
      <c r="C289" s="1">
        <v>21</v>
      </c>
      <c r="D289" s="1">
        <v>1</v>
      </c>
      <c r="E289" s="1">
        <v>269.99</v>
      </c>
      <c r="F289" s="1">
        <v>0.1</v>
      </c>
      <c r="G289">
        <f t="shared" si="4"/>
        <v>269.89</v>
      </c>
      <c r="H289" t="str">
        <f>VLOOKUP(C289,[1]products!$A:$B,2,FALSE)</f>
        <v>Electra Cruiser 1 (24-Inch) - 2016</v>
      </c>
      <c r="I289">
        <f>VLOOKUP(C289,[1]products!$A:$D,4,FALSE)</f>
        <v>1</v>
      </c>
      <c r="J289" t="str">
        <f>VLOOKUP(I289,[2]categories!$A$1:$B$8,2,FALSE)</f>
        <v>Children Bicycles</v>
      </c>
    </row>
    <row r="290" customHeight="1" spans="1:10">
      <c r="A290" s="1">
        <v>98</v>
      </c>
      <c r="B290" s="1">
        <v>3</v>
      </c>
      <c r="C290" s="1">
        <v>2</v>
      </c>
      <c r="D290" s="1">
        <v>1</v>
      </c>
      <c r="E290" s="1">
        <v>749.99</v>
      </c>
      <c r="F290" s="1">
        <v>0.2</v>
      </c>
      <c r="G290">
        <f t="shared" si="4"/>
        <v>749.79</v>
      </c>
      <c r="H290" t="str">
        <f>VLOOKUP(C290,[1]products!$A:$B,2,FALSE)</f>
        <v>Ritchey Timberwolf Frameset - 2016</v>
      </c>
      <c r="I290">
        <f>VLOOKUP(C290,[1]products!$A:$D,4,FALSE)</f>
        <v>6</v>
      </c>
      <c r="J290" t="str">
        <f>VLOOKUP(I290,[2]categories!$A$1:$B$8,2,FALSE)</f>
        <v>Mountain Bikes</v>
      </c>
    </row>
    <row r="291" customHeight="1" spans="1:10">
      <c r="A291" s="1">
        <v>98</v>
      </c>
      <c r="B291" s="1">
        <v>4</v>
      </c>
      <c r="C291" s="1">
        <v>22</v>
      </c>
      <c r="D291" s="1">
        <v>2</v>
      </c>
      <c r="E291" s="1">
        <v>269.99</v>
      </c>
      <c r="F291" s="1">
        <v>0.2</v>
      </c>
      <c r="G291">
        <f t="shared" si="4"/>
        <v>539.78</v>
      </c>
      <c r="H291" t="str">
        <f>VLOOKUP(C291,[1]products!$A:$B,2,FALSE)</f>
        <v>Electra Girl's Hawaii 1 (16-inch) - 2015/2016</v>
      </c>
      <c r="I291">
        <f>VLOOKUP(C291,[1]products!$A:$D,4,FALSE)</f>
        <v>1</v>
      </c>
      <c r="J291" t="str">
        <f>VLOOKUP(I291,[2]categories!$A$1:$B$8,2,FALSE)</f>
        <v>Children Bicycles</v>
      </c>
    </row>
    <row r="292" customHeight="1" spans="1:10">
      <c r="A292" s="1">
        <v>99</v>
      </c>
      <c r="B292" s="1">
        <v>1</v>
      </c>
      <c r="C292" s="1">
        <v>13</v>
      </c>
      <c r="D292" s="1">
        <v>1</v>
      </c>
      <c r="E292" s="1">
        <v>269.99</v>
      </c>
      <c r="F292" s="1">
        <v>0.2</v>
      </c>
      <c r="G292">
        <f t="shared" si="4"/>
        <v>269.79</v>
      </c>
      <c r="H292" t="str">
        <f>VLOOKUP(C292,[1]products!$A:$B,2,FALSE)</f>
        <v>Electra Cruiser 1 (24-Inch) - 2016</v>
      </c>
      <c r="I292">
        <f>VLOOKUP(C292,[1]products!$A:$D,4,FALSE)</f>
        <v>3</v>
      </c>
      <c r="J292" t="str">
        <f>VLOOKUP(I292,[2]categories!$A$1:$B$8,2,FALSE)</f>
        <v>Cruisers Bicycles</v>
      </c>
    </row>
    <row r="293" customHeight="1" spans="1:10">
      <c r="A293" s="1">
        <v>99</v>
      </c>
      <c r="B293" s="1">
        <v>2</v>
      </c>
      <c r="C293" s="1">
        <v>21</v>
      </c>
      <c r="D293" s="1">
        <v>1</v>
      </c>
      <c r="E293" s="1">
        <v>269.99</v>
      </c>
      <c r="F293" s="1">
        <v>0.2</v>
      </c>
      <c r="G293">
        <f t="shared" si="4"/>
        <v>269.79</v>
      </c>
      <c r="H293" t="str">
        <f>VLOOKUP(C293,[1]products!$A:$B,2,FALSE)</f>
        <v>Electra Cruiser 1 (24-Inch) - 2016</v>
      </c>
      <c r="I293">
        <f>VLOOKUP(C293,[1]products!$A:$D,4,FALSE)</f>
        <v>1</v>
      </c>
      <c r="J293" t="str">
        <f>VLOOKUP(I293,[2]categories!$A$1:$B$8,2,FALSE)</f>
        <v>Children Bicycles</v>
      </c>
    </row>
    <row r="294" customHeight="1" spans="1:10">
      <c r="A294" s="1">
        <v>99</v>
      </c>
      <c r="B294" s="1">
        <v>3</v>
      </c>
      <c r="C294" s="1">
        <v>25</v>
      </c>
      <c r="D294" s="1">
        <v>2</v>
      </c>
      <c r="E294" s="1">
        <v>499.99</v>
      </c>
      <c r="F294" s="1">
        <v>0.05</v>
      </c>
      <c r="G294">
        <f t="shared" si="4"/>
        <v>999.93</v>
      </c>
      <c r="H294" t="str">
        <f>VLOOKUP(C294,[1]products!$A:$B,2,FALSE)</f>
        <v>Electra Townie Original 7D - 2015/2016</v>
      </c>
      <c r="I294">
        <f>VLOOKUP(C294,[1]products!$A:$D,4,FALSE)</f>
        <v>2</v>
      </c>
      <c r="J294" t="str">
        <f>VLOOKUP(I294,[2]categories!$A$1:$B$8,2,FALSE)</f>
        <v>Comfort Bicycles</v>
      </c>
    </row>
    <row r="295" customHeight="1" spans="1:10">
      <c r="A295" s="1">
        <v>99</v>
      </c>
      <c r="B295" s="1">
        <v>4</v>
      </c>
      <c r="C295" s="1">
        <v>7</v>
      </c>
      <c r="D295" s="1">
        <v>2</v>
      </c>
      <c r="E295" s="1">
        <v>3999.99</v>
      </c>
      <c r="F295" s="1">
        <v>0.07</v>
      </c>
      <c r="G295">
        <f t="shared" si="4"/>
        <v>7999.91</v>
      </c>
      <c r="H295" t="str">
        <f>VLOOKUP(C295,[1]products!$A:$B,2,FALSE)</f>
        <v>Trek Slash 8 27.5 - 2016</v>
      </c>
      <c r="I295">
        <f>VLOOKUP(C295,[1]products!$A:$D,4,FALSE)</f>
        <v>6</v>
      </c>
      <c r="J295" t="str">
        <f>VLOOKUP(I295,[2]categories!$A$1:$B$8,2,FALSE)</f>
        <v>Mountain Bikes</v>
      </c>
    </row>
    <row r="296" customHeight="1" spans="1:10">
      <c r="A296" s="1">
        <v>99</v>
      </c>
      <c r="B296" s="1">
        <v>5</v>
      </c>
      <c r="C296" s="1">
        <v>23</v>
      </c>
      <c r="D296" s="1">
        <v>2</v>
      </c>
      <c r="E296" s="1">
        <v>299.99</v>
      </c>
      <c r="F296" s="1">
        <v>0.2</v>
      </c>
      <c r="G296">
        <f t="shared" si="4"/>
        <v>599.78</v>
      </c>
      <c r="H296" t="str">
        <f>VLOOKUP(C296,[1]products!$A:$B,2,FALSE)</f>
        <v>Electra Girl's Hawaii 1 (20-inch) - 2015/2016</v>
      </c>
      <c r="I296">
        <f>VLOOKUP(C296,[1]products!$A:$D,4,FALSE)</f>
        <v>1</v>
      </c>
      <c r="J296" t="str">
        <f>VLOOKUP(I296,[2]categories!$A$1:$B$8,2,FALSE)</f>
        <v>Children Bicycles</v>
      </c>
    </row>
    <row r="297" customHeight="1" spans="1:10">
      <c r="A297" s="1">
        <v>100</v>
      </c>
      <c r="B297" s="1">
        <v>1</v>
      </c>
      <c r="C297" s="1">
        <v>12</v>
      </c>
      <c r="D297" s="1">
        <v>2</v>
      </c>
      <c r="E297" s="1">
        <v>549.99</v>
      </c>
      <c r="F297" s="1">
        <v>0.05</v>
      </c>
      <c r="G297">
        <f t="shared" si="4"/>
        <v>1099.93</v>
      </c>
      <c r="H297" t="str">
        <f>VLOOKUP(C297,[1]products!$A:$B,2,FALSE)</f>
        <v>Electra Townie Original 21D - 2016</v>
      </c>
      <c r="I297">
        <f>VLOOKUP(C297,[1]products!$A:$D,4,FALSE)</f>
        <v>3</v>
      </c>
      <c r="J297" t="str">
        <f>VLOOKUP(I297,[2]categories!$A$1:$B$8,2,FALSE)</f>
        <v>Cruisers Bicycles</v>
      </c>
    </row>
    <row r="298" customHeight="1" spans="1:10">
      <c r="A298" s="1">
        <v>100</v>
      </c>
      <c r="B298" s="1">
        <v>2</v>
      </c>
      <c r="C298" s="1">
        <v>11</v>
      </c>
      <c r="D298" s="1">
        <v>2</v>
      </c>
      <c r="E298" s="1">
        <v>1680.99</v>
      </c>
      <c r="F298" s="1">
        <v>0.1</v>
      </c>
      <c r="G298">
        <f t="shared" si="4"/>
        <v>3361.88</v>
      </c>
      <c r="H298" t="str">
        <f>VLOOKUP(C298,[1]products!$A:$B,2,FALSE)</f>
        <v>Surly Straggler 650b - 2016</v>
      </c>
      <c r="I298">
        <f>VLOOKUP(C298,[1]products!$A:$D,4,FALSE)</f>
        <v>4</v>
      </c>
      <c r="J298" t="str">
        <f>VLOOKUP(I298,[2]categories!$A$1:$B$8,2,FALSE)</f>
        <v>Cyclocross Bicycles</v>
      </c>
    </row>
    <row r="299" customHeight="1" spans="1:10">
      <c r="A299" s="1">
        <v>100</v>
      </c>
      <c r="B299" s="1">
        <v>3</v>
      </c>
      <c r="C299" s="1">
        <v>7</v>
      </c>
      <c r="D299" s="1">
        <v>2</v>
      </c>
      <c r="E299" s="1">
        <v>3999.99</v>
      </c>
      <c r="F299" s="1">
        <v>0.2</v>
      </c>
      <c r="G299">
        <f t="shared" si="4"/>
        <v>7999.78</v>
      </c>
      <c r="H299" t="str">
        <f>VLOOKUP(C299,[1]products!$A:$B,2,FALSE)</f>
        <v>Trek Slash 8 27.5 - 2016</v>
      </c>
      <c r="I299">
        <f>VLOOKUP(C299,[1]products!$A:$D,4,FALSE)</f>
        <v>6</v>
      </c>
      <c r="J299" t="str">
        <f>VLOOKUP(I299,[2]categories!$A$1:$B$8,2,FALSE)</f>
        <v>Mountain Bikes</v>
      </c>
    </row>
    <row r="300" customHeight="1" spans="1:10">
      <c r="A300" s="1">
        <v>100</v>
      </c>
      <c r="B300" s="1">
        <v>4</v>
      </c>
      <c r="C300" s="1">
        <v>16</v>
      </c>
      <c r="D300" s="1">
        <v>2</v>
      </c>
      <c r="E300" s="1">
        <v>599.99</v>
      </c>
      <c r="F300" s="1">
        <v>0.2</v>
      </c>
      <c r="G300">
        <f t="shared" si="4"/>
        <v>1199.78</v>
      </c>
      <c r="H300" t="str">
        <f>VLOOKUP(C300,[1]products!$A:$B,2,FALSE)</f>
        <v>Electra Townie Original 7D EQ - 2016</v>
      </c>
      <c r="I300">
        <f>VLOOKUP(C300,[1]products!$A:$D,4,FALSE)</f>
        <v>3</v>
      </c>
      <c r="J300" t="str">
        <f>VLOOKUP(I300,[2]categories!$A$1:$B$8,2,FALSE)</f>
        <v>Cruisers Bicycles</v>
      </c>
    </row>
    <row r="301" customHeight="1" spans="1:10">
      <c r="A301" s="1">
        <v>100</v>
      </c>
      <c r="B301" s="1">
        <v>5</v>
      </c>
      <c r="C301" s="1">
        <v>24</v>
      </c>
      <c r="D301" s="1">
        <v>2</v>
      </c>
      <c r="E301" s="1">
        <v>549.99</v>
      </c>
      <c r="F301" s="1">
        <v>0.1</v>
      </c>
      <c r="G301">
        <f t="shared" si="4"/>
        <v>1099.88</v>
      </c>
      <c r="H301" t="str">
        <f>VLOOKUP(C301,[1]products!$A:$B,2,FALSE)</f>
        <v>Electra Townie Original 21D - 2016</v>
      </c>
      <c r="I301">
        <f>VLOOKUP(C301,[1]products!$A:$D,4,FALSE)</f>
        <v>2</v>
      </c>
      <c r="J301" t="str">
        <f>VLOOKUP(I301,[2]categories!$A$1:$B$8,2,FALSE)</f>
        <v>Comfort Bicycles</v>
      </c>
    </row>
    <row r="302" customHeight="1" spans="1:10">
      <c r="A302" s="1">
        <v>101</v>
      </c>
      <c r="B302" s="1">
        <v>1</v>
      </c>
      <c r="C302" s="1">
        <v>12</v>
      </c>
      <c r="D302" s="1">
        <v>2</v>
      </c>
      <c r="E302" s="1">
        <v>549.99</v>
      </c>
      <c r="F302" s="1">
        <v>0.2</v>
      </c>
      <c r="G302">
        <f t="shared" si="4"/>
        <v>1099.78</v>
      </c>
      <c r="H302" t="str">
        <f>VLOOKUP(C302,[1]products!$A:$B,2,FALSE)</f>
        <v>Electra Townie Original 21D - 2016</v>
      </c>
      <c r="I302">
        <f>VLOOKUP(C302,[1]products!$A:$D,4,FALSE)</f>
        <v>3</v>
      </c>
      <c r="J302" t="str">
        <f>VLOOKUP(I302,[2]categories!$A$1:$B$8,2,FALSE)</f>
        <v>Cruisers Bicycles</v>
      </c>
    </row>
    <row r="303" customHeight="1" spans="1:10">
      <c r="A303" s="1">
        <v>102</v>
      </c>
      <c r="B303" s="1">
        <v>1</v>
      </c>
      <c r="C303" s="1">
        <v>15</v>
      </c>
      <c r="D303" s="1">
        <v>1</v>
      </c>
      <c r="E303" s="1">
        <v>529.99</v>
      </c>
      <c r="F303" s="1">
        <v>0.05</v>
      </c>
      <c r="G303">
        <f t="shared" si="4"/>
        <v>529.94</v>
      </c>
      <c r="H303" t="str">
        <f>VLOOKUP(C303,[1]products!$A:$B,2,FALSE)</f>
        <v>Electra Moto 1 - 2016</v>
      </c>
      <c r="I303">
        <f>VLOOKUP(C303,[1]products!$A:$D,4,FALSE)</f>
        <v>3</v>
      </c>
      <c r="J303" t="str">
        <f>VLOOKUP(I303,[2]categories!$A$1:$B$8,2,FALSE)</f>
        <v>Cruisers Bicycles</v>
      </c>
    </row>
    <row r="304" customHeight="1" spans="1:10">
      <c r="A304" s="1">
        <v>102</v>
      </c>
      <c r="B304" s="1">
        <v>2</v>
      </c>
      <c r="C304" s="1">
        <v>22</v>
      </c>
      <c r="D304" s="1">
        <v>1</v>
      </c>
      <c r="E304" s="1">
        <v>269.99</v>
      </c>
      <c r="F304" s="1">
        <v>0.07</v>
      </c>
      <c r="G304">
        <f t="shared" si="4"/>
        <v>269.92</v>
      </c>
      <c r="H304" t="str">
        <f>VLOOKUP(C304,[1]products!$A:$B,2,FALSE)</f>
        <v>Electra Girl's Hawaii 1 (16-inch) - 2015/2016</v>
      </c>
      <c r="I304">
        <f>VLOOKUP(C304,[1]products!$A:$D,4,FALSE)</f>
        <v>1</v>
      </c>
      <c r="J304" t="str">
        <f>VLOOKUP(I304,[2]categories!$A$1:$B$8,2,FALSE)</f>
        <v>Children Bicycles</v>
      </c>
    </row>
    <row r="305" customHeight="1" spans="1:10">
      <c r="A305" s="1">
        <v>103</v>
      </c>
      <c r="B305" s="1">
        <v>1</v>
      </c>
      <c r="C305" s="1">
        <v>17</v>
      </c>
      <c r="D305" s="1">
        <v>1</v>
      </c>
      <c r="E305" s="1">
        <v>429</v>
      </c>
      <c r="F305" s="1">
        <v>0.07</v>
      </c>
      <c r="G305">
        <f t="shared" si="4"/>
        <v>428.93</v>
      </c>
      <c r="H305" t="str">
        <f>VLOOKUP(C305,[1]products!$A:$B,2,FALSE)</f>
        <v>Pure Cycles Vine 8-Speed - 2016</v>
      </c>
      <c r="I305">
        <f>VLOOKUP(C305,[1]products!$A:$D,4,FALSE)</f>
        <v>3</v>
      </c>
      <c r="J305" t="str">
        <f>VLOOKUP(I305,[2]categories!$A$1:$B$8,2,FALSE)</f>
        <v>Cruisers Bicycles</v>
      </c>
    </row>
    <row r="306" customHeight="1" spans="1:10">
      <c r="A306" s="1">
        <v>103</v>
      </c>
      <c r="B306" s="1">
        <v>2</v>
      </c>
      <c r="C306" s="1">
        <v>3</v>
      </c>
      <c r="D306" s="1">
        <v>1</v>
      </c>
      <c r="E306" s="1">
        <v>999.99</v>
      </c>
      <c r="F306" s="1">
        <v>0.05</v>
      </c>
      <c r="G306">
        <f t="shared" si="4"/>
        <v>999.94</v>
      </c>
      <c r="H306" t="str">
        <f>VLOOKUP(C306,[1]products!$A:$B,2,FALSE)</f>
        <v>Surly Wednesday Frameset - 2016</v>
      </c>
      <c r="I306">
        <f>VLOOKUP(C306,[1]products!$A:$D,4,FALSE)</f>
        <v>6</v>
      </c>
      <c r="J306" t="str">
        <f>VLOOKUP(I306,[2]categories!$A$1:$B$8,2,FALSE)</f>
        <v>Mountain Bikes</v>
      </c>
    </row>
    <row r="307" customHeight="1" spans="1:10">
      <c r="A307" s="1">
        <v>103</v>
      </c>
      <c r="B307" s="1">
        <v>3</v>
      </c>
      <c r="C307" s="1">
        <v>18</v>
      </c>
      <c r="D307" s="1">
        <v>1</v>
      </c>
      <c r="E307" s="1">
        <v>449</v>
      </c>
      <c r="F307" s="1">
        <v>0.2</v>
      </c>
      <c r="G307">
        <f t="shared" si="4"/>
        <v>448.8</v>
      </c>
      <c r="H307" t="str">
        <f>VLOOKUP(C307,[1]products!$A:$B,2,FALSE)</f>
        <v>Pure Cycles Western 3-Speed - Women's - 2015/2016</v>
      </c>
      <c r="I307">
        <f>VLOOKUP(C307,[1]products!$A:$D,4,FALSE)</f>
        <v>3</v>
      </c>
      <c r="J307" t="str">
        <f>VLOOKUP(I307,[2]categories!$A$1:$B$8,2,FALSE)</f>
        <v>Cruisers Bicycles</v>
      </c>
    </row>
    <row r="308" customHeight="1" spans="1:10">
      <c r="A308" s="1">
        <v>103</v>
      </c>
      <c r="B308" s="1">
        <v>4</v>
      </c>
      <c r="C308" s="1">
        <v>15</v>
      </c>
      <c r="D308" s="1">
        <v>2</v>
      </c>
      <c r="E308" s="1">
        <v>529.99</v>
      </c>
      <c r="F308" s="1">
        <v>0.1</v>
      </c>
      <c r="G308">
        <f t="shared" si="4"/>
        <v>1059.88</v>
      </c>
      <c r="H308" t="str">
        <f>VLOOKUP(C308,[1]products!$A:$B,2,FALSE)</f>
        <v>Electra Moto 1 - 2016</v>
      </c>
      <c r="I308">
        <f>VLOOKUP(C308,[1]products!$A:$D,4,FALSE)</f>
        <v>3</v>
      </c>
      <c r="J308" t="str">
        <f>VLOOKUP(I308,[2]categories!$A$1:$B$8,2,FALSE)</f>
        <v>Cruisers Bicycles</v>
      </c>
    </row>
    <row r="309" customHeight="1" spans="1:10">
      <c r="A309" s="1">
        <v>103</v>
      </c>
      <c r="B309" s="1">
        <v>5</v>
      </c>
      <c r="C309" s="1">
        <v>9</v>
      </c>
      <c r="D309" s="1">
        <v>2</v>
      </c>
      <c r="E309" s="1">
        <v>2999.99</v>
      </c>
      <c r="F309" s="1">
        <v>0.1</v>
      </c>
      <c r="G309">
        <f t="shared" si="4"/>
        <v>5999.88</v>
      </c>
      <c r="H309" t="str">
        <f>VLOOKUP(C309,[1]products!$A:$B,2,FALSE)</f>
        <v>Trek Conduit+ - 2016</v>
      </c>
      <c r="I309">
        <f>VLOOKUP(C309,[1]products!$A:$D,4,FALSE)</f>
        <v>5</v>
      </c>
      <c r="J309" t="str">
        <f>VLOOKUP(I309,[2]categories!$A$1:$B$8,2,FALSE)</f>
        <v>Electric Bikes</v>
      </c>
    </row>
    <row r="310" customHeight="1" spans="1:10">
      <c r="A310" s="1">
        <v>104</v>
      </c>
      <c r="B310" s="1">
        <v>1</v>
      </c>
      <c r="C310" s="1">
        <v>19</v>
      </c>
      <c r="D310" s="1">
        <v>2</v>
      </c>
      <c r="E310" s="1">
        <v>449</v>
      </c>
      <c r="F310" s="1">
        <v>0.1</v>
      </c>
      <c r="G310">
        <f t="shared" si="4"/>
        <v>897.9</v>
      </c>
      <c r="H310" t="str">
        <f>VLOOKUP(C310,[1]products!$A:$B,2,FALSE)</f>
        <v>Pure Cycles William 3-Speed - 2016</v>
      </c>
      <c r="I310">
        <f>VLOOKUP(C310,[1]products!$A:$D,4,FALSE)</f>
        <v>3</v>
      </c>
      <c r="J310" t="str">
        <f>VLOOKUP(I310,[2]categories!$A$1:$B$8,2,FALSE)</f>
        <v>Cruisers Bicycles</v>
      </c>
    </row>
    <row r="311" customHeight="1" spans="1:10">
      <c r="A311" s="1">
        <v>104</v>
      </c>
      <c r="B311" s="1">
        <v>2</v>
      </c>
      <c r="C311" s="1">
        <v>26</v>
      </c>
      <c r="D311" s="1">
        <v>1</v>
      </c>
      <c r="E311" s="1">
        <v>599.99</v>
      </c>
      <c r="F311" s="1">
        <v>0.05</v>
      </c>
      <c r="G311">
        <f t="shared" si="4"/>
        <v>599.94</v>
      </c>
      <c r="H311" t="str">
        <f>VLOOKUP(C311,[1]products!$A:$B,2,FALSE)</f>
        <v>Electra Townie Original 7D EQ - 2016</v>
      </c>
      <c r="I311">
        <f>VLOOKUP(C311,[1]products!$A:$D,4,FALSE)</f>
        <v>2</v>
      </c>
      <c r="J311" t="str">
        <f>VLOOKUP(I311,[2]categories!$A$1:$B$8,2,FALSE)</f>
        <v>Comfort Bicycles</v>
      </c>
    </row>
    <row r="312" customHeight="1" spans="1:10">
      <c r="A312" s="1">
        <v>105</v>
      </c>
      <c r="B312" s="1">
        <v>1</v>
      </c>
      <c r="C312" s="1">
        <v>11</v>
      </c>
      <c r="D312" s="1">
        <v>2</v>
      </c>
      <c r="E312" s="1">
        <v>1680.99</v>
      </c>
      <c r="F312" s="1">
        <v>0.2</v>
      </c>
      <c r="G312">
        <f t="shared" si="4"/>
        <v>3361.78</v>
      </c>
      <c r="H312" t="str">
        <f>VLOOKUP(C312,[1]products!$A:$B,2,FALSE)</f>
        <v>Surly Straggler 650b - 2016</v>
      </c>
      <c r="I312">
        <f>VLOOKUP(C312,[1]products!$A:$D,4,FALSE)</f>
        <v>4</v>
      </c>
      <c r="J312" t="str">
        <f>VLOOKUP(I312,[2]categories!$A$1:$B$8,2,FALSE)</f>
        <v>Cyclocross Bicycles</v>
      </c>
    </row>
    <row r="313" customHeight="1" spans="1:10">
      <c r="A313" s="1">
        <v>105</v>
      </c>
      <c r="B313" s="1">
        <v>2</v>
      </c>
      <c r="C313" s="1">
        <v>3</v>
      </c>
      <c r="D313" s="1">
        <v>1</v>
      </c>
      <c r="E313" s="1">
        <v>999.99</v>
      </c>
      <c r="F313" s="1">
        <v>0.05</v>
      </c>
      <c r="G313">
        <f t="shared" si="4"/>
        <v>999.94</v>
      </c>
      <c r="H313" t="str">
        <f>VLOOKUP(C313,[1]products!$A:$B,2,FALSE)</f>
        <v>Surly Wednesday Frameset - 2016</v>
      </c>
      <c r="I313">
        <f>VLOOKUP(C313,[1]products!$A:$D,4,FALSE)</f>
        <v>6</v>
      </c>
      <c r="J313" t="str">
        <f>VLOOKUP(I313,[2]categories!$A$1:$B$8,2,FALSE)</f>
        <v>Mountain Bikes</v>
      </c>
    </row>
    <row r="314" customHeight="1" spans="1:10">
      <c r="A314" s="1">
        <v>105</v>
      </c>
      <c r="B314" s="1">
        <v>3</v>
      </c>
      <c r="C314" s="1">
        <v>9</v>
      </c>
      <c r="D314" s="1">
        <v>1</v>
      </c>
      <c r="E314" s="1">
        <v>2999.99</v>
      </c>
      <c r="F314" s="1">
        <v>0.05</v>
      </c>
      <c r="G314">
        <f t="shared" si="4"/>
        <v>2999.94</v>
      </c>
      <c r="H314" t="str">
        <f>VLOOKUP(C314,[1]products!$A:$B,2,FALSE)</f>
        <v>Trek Conduit+ - 2016</v>
      </c>
      <c r="I314">
        <f>VLOOKUP(C314,[1]products!$A:$D,4,FALSE)</f>
        <v>5</v>
      </c>
      <c r="J314" t="str">
        <f>VLOOKUP(I314,[2]categories!$A$1:$B$8,2,FALSE)</f>
        <v>Electric Bikes</v>
      </c>
    </row>
    <row r="315" customHeight="1" spans="1:10">
      <c r="A315" s="1">
        <v>106</v>
      </c>
      <c r="B315" s="1">
        <v>1</v>
      </c>
      <c r="C315" s="1">
        <v>17</v>
      </c>
      <c r="D315" s="1">
        <v>1</v>
      </c>
      <c r="E315" s="1">
        <v>429</v>
      </c>
      <c r="F315" s="1">
        <v>0.1</v>
      </c>
      <c r="G315">
        <f t="shared" si="4"/>
        <v>428.9</v>
      </c>
      <c r="H315" t="str">
        <f>VLOOKUP(C315,[1]products!$A:$B,2,FALSE)</f>
        <v>Pure Cycles Vine 8-Speed - 2016</v>
      </c>
      <c r="I315">
        <f>VLOOKUP(C315,[1]products!$A:$D,4,FALSE)</f>
        <v>3</v>
      </c>
      <c r="J315" t="str">
        <f>VLOOKUP(I315,[2]categories!$A$1:$B$8,2,FALSE)</f>
        <v>Cruisers Bicycles</v>
      </c>
    </row>
    <row r="316" customHeight="1" spans="1:10">
      <c r="A316" s="1">
        <v>106</v>
      </c>
      <c r="B316" s="1">
        <v>2</v>
      </c>
      <c r="C316" s="1">
        <v>13</v>
      </c>
      <c r="D316" s="1">
        <v>2</v>
      </c>
      <c r="E316" s="1">
        <v>269.99</v>
      </c>
      <c r="F316" s="1">
        <v>0.1</v>
      </c>
      <c r="G316">
        <f t="shared" si="4"/>
        <v>539.88</v>
      </c>
      <c r="H316" t="str">
        <f>VLOOKUP(C316,[1]products!$A:$B,2,FALSE)</f>
        <v>Electra Cruiser 1 (24-Inch) - 2016</v>
      </c>
      <c r="I316">
        <f>VLOOKUP(C316,[1]products!$A:$D,4,FALSE)</f>
        <v>3</v>
      </c>
      <c r="J316" t="str">
        <f>VLOOKUP(I316,[2]categories!$A$1:$B$8,2,FALSE)</f>
        <v>Cruisers Bicycles</v>
      </c>
    </row>
    <row r="317" customHeight="1" spans="1:10">
      <c r="A317" s="1">
        <v>107</v>
      </c>
      <c r="B317" s="1">
        <v>1</v>
      </c>
      <c r="C317" s="1">
        <v>19</v>
      </c>
      <c r="D317" s="1">
        <v>1</v>
      </c>
      <c r="E317" s="1">
        <v>449</v>
      </c>
      <c r="F317" s="1">
        <v>0.2</v>
      </c>
      <c r="G317">
        <f t="shared" si="4"/>
        <v>448.8</v>
      </c>
      <c r="H317" t="str">
        <f>VLOOKUP(C317,[1]products!$A:$B,2,FALSE)</f>
        <v>Pure Cycles William 3-Speed - 2016</v>
      </c>
      <c r="I317">
        <f>VLOOKUP(C317,[1]products!$A:$D,4,FALSE)</f>
        <v>3</v>
      </c>
      <c r="J317" t="str">
        <f>VLOOKUP(I317,[2]categories!$A$1:$B$8,2,FALSE)</f>
        <v>Cruisers Bicycles</v>
      </c>
    </row>
    <row r="318" customHeight="1" spans="1:10">
      <c r="A318" s="1">
        <v>107</v>
      </c>
      <c r="B318" s="1">
        <v>2</v>
      </c>
      <c r="C318" s="1">
        <v>13</v>
      </c>
      <c r="D318" s="1">
        <v>2</v>
      </c>
      <c r="E318" s="1">
        <v>269.99</v>
      </c>
      <c r="F318" s="1">
        <v>0.1</v>
      </c>
      <c r="G318">
        <f t="shared" si="4"/>
        <v>539.88</v>
      </c>
      <c r="H318" t="str">
        <f>VLOOKUP(C318,[1]products!$A:$B,2,FALSE)</f>
        <v>Electra Cruiser 1 (24-Inch) - 2016</v>
      </c>
      <c r="I318">
        <f>VLOOKUP(C318,[1]products!$A:$D,4,FALSE)</f>
        <v>3</v>
      </c>
      <c r="J318" t="str">
        <f>VLOOKUP(I318,[2]categories!$A$1:$B$8,2,FALSE)</f>
        <v>Cruisers Bicycles</v>
      </c>
    </row>
    <row r="319" customHeight="1" spans="1:10">
      <c r="A319" s="1">
        <v>108</v>
      </c>
      <c r="B319" s="1">
        <v>1</v>
      </c>
      <c r="C319" s="1">
        <v>11</v>
      </c>
      <c r="D319" s="1">
        <v>1</v>
      </c>
      <c r="E319" s="1">
        <v>1680.99</v>
      </c>
      <c r="F319" s="1">
        <v>0.1</v>
      </c>
      <c r="G319">
        <f t="shared" si="4"/>
        <v>1680.89</v>
      </c>
      <c r="H319" t="str">
        <f>VLOOKUP(C319,[1]products!$A:$B,2,FALSE)</f>
        <v>Surly Straggler 650b - 2016</v>
      </c>
      <c r="I319">
        <f>VLOOKUP(C319,[1]products!$A:$D,4,FALSE)</f>
        <v>4</v>
      </c>
      <c r="J319" t="str">
        <f>VLOOKUP(I319,[2]categories!$A$1:$B$8,2,FALSE)</f>
        <v>Cyclocross Bicycles</v>
      </c>
    </row>
    <row r="320" customHeight="1" spans="1:10">
      <c r="A320" s="1">
        <v>108</v>
      </c>
      <c r="B320" s="1">
        <v>2</v>
      </c>
      <c r="C320" s="1">
        <v>22</v>
      </c>
      <c r="D320" s="1">
        <v>2</v>
      </c>
      <c r="E320" s="1">
        <v>269.99</v>
      </c>
      <c r="F320" s="1">
        <v>0.07</v>
      </c>
      <c r="G320">
        <f t="shared" si="4"/>
        <v>539.91</v>
      </c>
      <c r="H320" t="str">
        <f>VLOOKUP(C320,[1]products!$A:$B,2,FALSE)</f>
        <v>Electra Girl's Hawaii 1 (16-inch) - 2015/2016</v>
      </c>
      <c r="I320">
        <f>VLOOKUP(C320,[1]products!$A:$D,4,FALSE)</f>
        <v>1</v>
      </c>
      <c r="J320" t="str">
        <f>VLOOKUP(I320,[2]categories!$A$1:$B$8,2,FALSE)</f>
        <v>Children Bicycles</v>
      </c>
    </row>
    <row r="321" customHeight="1" spans="1:10">
      <c r="A321" s="1">
        <v>108</v>
      </c>
      <c r="B321" s="1">
        <v>3</v>
      </c>
      <c r="C321" s="1">
        <v>16</v>
      </c>
      <c r="D321" s="1">
        <v>2</v>
      </c>
      <c r="E321" s="1">
        <v>599.99</v>
      </c>
      <c r="F321" s="1">
        <v>0.05</v>
      </c>
      <c r="G321">
        <f t="shared" si="4"/>
        <v>1199.93</v>
      </c>
      <c r="H321" t="str">
        <f>VLOOKUP(C321,[1]products!$A:$B,2,FALSE)</f>
        <v>Electra Townie Original 7D EQ - 2016</v>
      </c>
      <c r="I321">
        <f>VLOOKUP(C321,[1]products!$A:$D,4,FALSE)</f>
        <v>3</v>
      </c>
      <c r="J321" t="str">
        <f>VLOOKUP(I321,[2]categories!$A$1:$B$8,2,FALSE)</f>
        <v>Cruisers Bicycles</v>
      </c>
    </row>
    <row r="322" customHeight="1" spans="1:10">
      <c r="A322" s="1">
        <v>109</v>
      </c>
      <c r="B322" s="1">
        <v>1</v>
      </c>
      <c r="C322" s="1">
        <v>22</v>
      </c>
      <c r="D322" s="1">
        <v>2</v>
      </c>
      <c r="E322" s="1">
        <v>269.99</v>
      </c>
      <c r="F322" s="1">
        <v>0.1</v>
      </c>
      <c r="G322">
        <f t="shared" si="4"/>
        <v>539.88</v>
      </c>
      <c r="H322" t="str">
        <f>VLOOKUP(C322,[1]products!$A:$B,2,FALSE)</f>
        <v>Electra Girl's Hawaii 1 (16-inch) - 2015/2016</v>
      </c>
      <c r="I322">
        <f>VLOOKUP(C322,[1]products!$A:$D,4,FALSE)</f>
        <v>1</v>
      </c>
      <c r="J322" t="str">
        <f>VLOOKUP(I322,[2]categories!$A$1:$B$8,2,FALSE)</f>
        <v>Children Bicycles</v>
      </c>
    </row>
    <row r="323" customHeight="1" spans="1:10">
      <c r="A323" s="1">
        <v>109</v>
      </c>
      <c r="B323" s="1">
        <v>2</v>
      </c>
      <c r="C323" s="1">
        <v>6</v>
      </c>
      <c r="D323" s="1">
        <v>1</v>
      </c>
      <c r="E323" s="1">
        <v>469.99</v>
      </c>
      <c r="F323" s="1">
        <v>0.07</v>
      </c>
      <c r="G323">
        <f t="shared" ref="G323:G386" si="5">(E323*D323)-F323</f>
        <v>469.92</v>
      </c>
      <c r="H323" t="str">
        <f>VLOOKUP(C323,[1]products!$A:$B,2,FALSE)</f>
        <v>Surly Ice Cream Truck Frameset - 2016</v>
      </c>
      <c r="I323">
        <f>VLOOKUP(C323,[1]products!$A:$D,4,FALSE)</f>
        <v>6</v>
      </c>
      <c r="J323" t="str">
        <f>VLOOKUP(I323,[2]categories!$A$1:$B$8,2,FALSE)</f>
        <v>Mountain Bikes</v>
      </c>
    </row>
    <row r="324" customHeight="1" spans="1:10">
      <c r="A324" s="1">
        <v>110</v>
      </c>
      <c r="B324" s="1">
        <v>1</v>
      </c>
      <c r="C324" s="1">
        <v>14</v>
      </c>
      <c r="D324" s="1">
        <v>1</v>
      </c>
      <c r="E324" s="1">
        <v>269.99</v>
      </c>
      <c r="F324" s="1">
        <v>0.1</v>
      </c>
      <c r="G324">
        <f t="shared" si="5"/>
        <v>269.89</v>
      </c>
      <c r="H324" t="str">
        <f>VLOOKUP(C324,[1]products!$A:$B,2,FALSE)</f>
        <v>Electra Girl's Hawaii 1 (16-inch) - 2015/2016</v>
      </c>
      <c r="I324">
        <f>VLOOKUP(C324,[1]products!$A:$D,4,FALSE)</f>
        <v>3</v>
      </c>
      <c r="J324" t="str">
        <f>VLOOKUP(I324,[2]categories!$A$1:$B$8,2,FALSE)</f>
        <v>Cruisers Bicycles</v>
      </c>
    </row>
    <row r="325" customHeight="1" spans="1:10">
      <c r="A325" s="1">
        <v>111</v>
      </c>
      <c r="B325" s="1">
        <v>1</v>
      </c>
      <c r="C325" s="1">
        <v>14</v>
      </c>
      <c r="D325" s="1">
        <v>1</v>
      </c>
      <c r="E325" s="1">
        <v>269.99</v>
      </c>
      <c r="F325" s="1">
        <v>0.1</v>
      </c>
      <c r="G325">
        <f t="shared" si="5"/>
        <v>269.89</v>
      </c>
      <c r="H325" t="str">
        <f>VLOOKUP(C325,[1]products!$A:$B,2,FALSE)</f>
        <v>Electra Girl's Hawaii 1 (16-inch) - 2015/2016</v>
      </c>
      <c r="I325">
        <f>VLOOKUP(C325,[1]products!$A:$D,4,FALSE)</f>
        <v>3</v>
      </c>
      <c r="J325" t="str">
        <f>VLOOKUP(I325,[2]categories!$A$1:$B$8,2,FALSE)</f>
        <v>Cruisers Bicycles</v>
      </c>
    </row>
    <row r="326" customHeight="1" spans="1:10">
      <c r="A326" s="1">
        <v>111</v>
      </c>
      <c r="B326" s="1">
        <v>2</v>
      </c>
      <c r="C326" s="1">
        <v>12</v>
      </c>
      <c r="D326" s="1">
        <v>2</v>
      </c>
      <c r="E326" s="1">
        <v>549.99</v>
      </c>
      <c r="F326" s="1">
        <v>0.07</v>
      </c>
      <c r="G326">
        <f t="shared" si="5"/>
        <v>1099.91</v>
      </c>
      <c r="H326" t="str">
        <f>VLOOKUP(C326,[1]products!$A:$B,2,FALSE)</f>
        <v>Electra Townie Original 21D - 2016</v>
      </c>
      <c r="I326">
        <f>VLOOKUP(C326,[1]products!$A:$D,4,FALSE)</f>
        <v>3</v>
      </c>
      <c r="J326" t="str">
        <f>VLOOKUP(I326,[2]categories!$A$1:$B$8,2,FALSE)</f>
        <v>Cruisers Bicycles</v>
      </c>
    </row>
    <row r="327" customHeight="1" spans="1:10">
      <c r="A327" s="1">
        <v>112</v>
      </c>
      <c r="B327" s="1">
        <v>1</v>
      </c>
      <c r="C327" s="1">
        <v>23</v>
      </c>
      <c r="D327" s="1">
        <v>2</v>
      </c>
      <c r="E327" s="1">
        <v>299.99</v>
      </c>
      <c r="F327" s="1">
        <v>0.2</v>
      </c>
      <c r="G327">
        <f t="shared" si="5"/>
        <v>599.78</v>
      </c>
      <c r="H327" t="str">
        <f>VLOOKUP(C327,[1]products!$A:$B,2,FALSE)</f>
        <v>Electra Girl's Hawaii 1 (20-inch) - 2015/2016</v>
      </c>
      <c r="I327">
        <f>VLOOKUP(C327,[1]products!$A:$D,4,FALSE)</f>
        <v>1</v>
      </c>
      <c r="J327" t="str">
        <f>VLOOKUP(I327,[2]categories!$A$1:$B$8,2,FALSE)</f>
        <v>Children Bicycles</v>
      </c>
    </row>
    <row r="328" customHeight="1" spans="1:10">
      <c r="A328" s="1">
        <v>112</v>
      </c>
      <c r="B328" s="1">
        <v>2</v>
      </c>
      <c r="C328" s="1">
        <v>25</v>
      </c>
      <c r="D328" s="1">
        <v>2</v>
      </c>
      <c r="E328" s="1">
        <v>499.99</v>
      </c>
      <c r="F328" s="1">
        <v>0.07</v>
      </c>
      <c r="G328">
        <f t="shared" si="5"/>
        <v>999.91</v>
      </c>
      <c r="H328" t="str">
        <f>VLOOKUP(C328,[1]products!$A:$B,2,FALSE)</f>
        <v>Electra Townie Original 7D - 2015/2016</v>
      </c>
      <c r="I328">
        <f>VLOOKUP(C328,[1]products!$A:$D,4,FALSE)</f>
        <v>2</v>
      </c>
      <c r="J328" t="str">
        <f>VLOOKUP(I328,[2]categories!$A$1:$B$8,2,FALSE)</f>
        <v>Comfort Bicycles</v>
      </c>
    </row>
    <row r="329" customHeight="1" spans="1:10">
      <c r="A329" s="1">
        <v>112</v>
      </c>
      <c r="B329" s="1">
        <v>3</v>
      </c>
      <c r="C329" s="1">
        <v>24</v>
      </c>
      <c r="D329" s="1">
        <v>2</v>
      </c>
      <c r="E329" s="1">
        <v>549.99</v>
      </c>
      <c r="F329" s="1">
        <v>0.05</v>
      </c>
      <c r="G329">
        <f t="shared" si="5"/>
        <v>1099.93</v>
      </c>
      <c r="H329" t="str">
        <f>VLOOKUP(C329,[1]products!$A:$B,2,FALSE)</f>
        <v>Electra Townie Original 21D - 2016</v>
      </c>
      <c r="I329">
        <f>VLOOKUP(C329,[1]products!$A:$D,4,FALSE)</f>
        <v>2</v>
      </c>
      <c r="J329" t="str">
        <f>VLOOKUP(I329,[2]categories!$A$1:$B$8,2,FALSE)</f>
        <v>Comfort Bicycles</v>
      </c>
    </row>
    <row r="330" customHeight="1" spans="1:10">
      <c r="A330" s="1">
        <v>112</v>
      </c>
      <c r="B330" s="1">
        <v>4</v>
      </c>
      <c r="C330" s="1">
        <v>5</v>
      </c>
      <c r="D330" s="1">
        <v>1</v>
      </c>
      <c r="E330" s="1">
        <v>1320.99</v>
      </c>
      <c r="F330" s="1">
        <v>0.2</v>
      </c>
      <c r="G330">
        <f t="shared" si="5"/>
        <v>1320.79</v>
      </c>
      <c r="H330" t="str">
        <f>VLOOKUP(C330,[1]products!$A:$B,2,FALSE)</f>
        <v>Heller Shagamaw Frame - 2016</v>
      </c>
      <c r="I330">
        <f>VLOOKUP(C330,[1]products!$A:$D,4,FALSE)</f>
        <v>6</v>
      </c>
      <c r="J330" t="str">
        <f>VLOOKUP(I330,[2]categories!$A$1:$B$8,2,FALSE)</f>
        <v>Mountain Bikes</v>
      </c>
    </row>
    <row r="331" customHeight="1" spans="1:10">
      <c r="A331" s="1">
        <v>113</v>
      </c>
      <c r="B331" s="1">
        <v>1</v>
      </c>
      <c r="C331" s="1">
        <v>12</v>
      </c>
      <c r="D331" s="1">
        <v>2</v>
      </c>
      <c r="E331" s="1">
        <v>549.99</v>
      </c>
      <c r="F331" s="1">
        <v>0.07</v>
      </c>
      <c r="G331">
        <f t="shared" si="5"/>
        <v>1099.91</v>
      </c>
      <c r="H331" t="str">
        <f>VLOOKUP(C331,[1]products!$A:$B,2,FALSE)</f>
        <v>Electra Townie Original 21D - 2016</v>
      </c>
      <c r="I331">
        <f>VLOOKUP(C331,[1]products!$A:$D,4,FALSE)</f>
        <v>3</v>
      </c>
      <c r="J331" t="str">
        <f>VLOOKUP(I331,[2]categories!$A$1:$B$8,2,FALSE)</f>
        <v>Cruisers Bicycles</v>
      </c>
    </row>
    <row r="332" customHeight="1" spans="1:10">
      <c r="A332" s="1">
        <v>113</v>
      </c>
      <c r="B332" s="1">
        <v>2</v>
      </c>
      <c r="C332" s="1">
        <v>24</v>
      </c>
      <c r="D332" s="1">
        <v>2</v>
      </c>
      <c r="E332" s="1">
        <v>549.99</v>
      </c>
      <c r="F332" s="1">
        <v>0.1</v>
      </c>
      <c r="G332">
        <f t="shared" si="5"/>
        <v>1099.88</v>
      </c>
      <c r="H332" t="str">
        <f>VLOOKUP(C332,[1]products!$A:$B,2,FALSE)</f>
        <v>Electra Townie Original 21D - 2016</v>
      </c>
      <c r="I332">
        <f>VLOOKUP(C332,[1]products!$A:$D,4,FALSE)</f>
        <v>2</v>
      </c>
      <c r="J332" t="str">
        <f>VLOOKUP(I332,[2]categories!$A$1:$B$8,2,FALSE)</f>
        <v>Comfort Bicycles</v>
      </c>
    </row>
    <row r="333" customHeight="1" spans="1:10">
      <c r="A333" s="1">
        <v>113</v>
      </c>
      <c r="B333" s="1">
        <v>3</v>
      </c>
      <c r="C333" s="1">
        <v>6</v>
      </c>
      <c r="D333" s="1">
        <v>1</v>
      </c>
      <c r="E333" s="1">
        <v>469.99</v>
      </c>
      <c r="F333" s="1">
        <v>0.07</v>
      </c>
      <c r="G333">
        <f t="shared" si="5"/>
        <v>469.92</v>
      </c>
      <c r="H333" t="str">
        <f>VLOOKUP(C333,[1]products!$A:$B,2,FALSE)</f>
        <v>Surly Ice Cream Truck Frameset - 2016</v>
      </c>
      <c r="I333">
        <f>VLOOKUP(C333,[1]products!$A:$D,4,FALSE)</f>
        <v>6</v>
      </c>
      <c r="J333" t="str">
        <f>VLOOKUP(I333,[2]categories!$A$1:$B$8,2,FALSE)</f>
        <v>Mountain Bikes</v>
      </c>
    </row>
    <row r="334" customHeight="1" spans="1:10">
      <c r="A334" s="1">
        <v>113</v>
      </c>
      <c r="B334" s="1">
        <v>4</v>
      </c>
      <c r="C334" s="1">
        <v>23</v>
      </c>
      <c r="D334" s="1">
        <v>1</v>
      </c>
      <c r="E334" s="1">
        <v>299.99</v>
      </c>
      <c r="F334" s="1">
        <v>0.2</v>
      </c>
      <c r="G334">
        <f t="shared" si="5"/>
        <v>299.79</v>
      </c>
      <c r="H334" t="str">
        <f>VLOOKUP(C334,[1]products!$A:$B,2,FALSE)</f>
        <v>Electra Girl's Hawaii 1 (20-inch) - 2015/2016</v>
      </c>
      <c r="I334">
        <f>VLOOKUP(C334,[1]products!$A:$D,4,FALSE)</f>
        <v>1</v>
      </c>
      <c r="J334" t="str">
        <f>VLOOKUP(I334,[2]categories!$A$1:$B$8,2,FALSE)</f>
        <v>Children Bicycles</v>
      </c>
    </row>
    <row r="335" customHeight="1" spans="1:10">
      <c r="A335" s="1">
        <v>113</v>
      </c>
      <c r="B335" s="1">
        <v>5</v>
      </c>
      <c r="C335" s="1">
        <v>5</v>
      </c>
      <c r="D335" s="1">
        <v>2</v>
      </c>
      <c r="E335" s="1">
        <v>1320.99</v>
      </c>
      <c r="F335" s="1">
        <v>0.2</v>
      </c>
      <c r="G335">
        <f t="shared" si="5"/>
        <v>2641.78</v>
      </c>
      <c r="H335" t="str">
        <f>VLOOKUP(C335,[1]products!$A:$B,2,FALSE)</f>
        <v>Heller Shagamaw Frame - 2016</v>
      </c>
      <c r="I335">
        <f>VLOOKUP(C335,[1]products!$A:$D,4,FALSE)</f>
        <v>6</v>
      </c>
      <c r="J335" t="str">
        <f>VLOOKUP(I335,[2]categories!$A$1:$B$8,2,FALSE)</f>
        <v>Mountain Bikes</v>
      </c>
    </row>
    <row r="336" customHeight="1" spans="1:10">
      <c r="A336" s="1">
        <v>114</v>
      </c>
      <c r="B336" s="1">
        <v>1</v>
      </c>
      <c r="C336" s="1">
        <v>12</v>
      </c>
      <c r="D336" s="1">
        <v>1</v>
      </c>
      <c r="E336" s="1">
        <v>549.99</v>
      </c>
      <c r="F336" s="1">
        <v>0.05</v>
      </c>
      <c r="G336">
        <f t="shared" si="5"/>
        <v>549.94</v>
      </c>
      <c r="H336" t="str">
        <f>VLOOKUP(C336,[1]products!$A:$B,2,FALSE)</f>
        <v>Electra Townie Original 21D - 2016</v>
      </c>
      <c r="I336">
        <f>VLOOKUP(C336,[1]products!$A:$D,4,FALSE)</f>
        <v>3</v>
      </c>
      <c r="J336" t="str">
        <f>VLOOKUP(I336,[2]categories!$A$1:$B$8,2,FALSE)</f>
        <v>Cruisers Bicycles</v>
      </c>
    </row>
    <row r="337" customHeight="1" spans="1:10">
      <c r="A337" s="1">
        <v>114</v>
      </c>
      <c r="B337" s="1">
        <v>2</v>
      </c>
      <c r="C337" s="1">
        <v>2</v>
      </c>
      <c r="D337" s="1">
        <v>1</v>
      </c>
      <c r="E337" s="1">
        <v>749.99</v>
      </c>
      <c r="F337" s="1">
        <v>0.07</v>
      </c>
      <c r="G337">
        <f t="shared" si="5"/>
        <v>749.92</v>
      </c>
      <c r="H337" t="str">
        <f>VLOOKUP(C337,[1]products!$A:$B,2,FALSE)</f>
        <v>Ritchey Timberwolf Frameset - 2016</v>
      </c>
      <c r="I337">
        <f>VLOOKUP(C337,[1]products!$A:$D,4,FALSE)</f>
        <v>6</v>
      </c>
      <c r="J337" t="str">
        <f>VLOOKUP(I337,[2]categories!$A$1:$B$8,2,FALSE)</f>
        <v>Mountain Bikes</v>
      </c>
    </row>
    <row r="338" customHeight="1" spans="1:10">
      <c r="A338" s="1">
        <v>114</v>
      </c>
      <c r="B338" s="1">
        <v>3</v>
      </c>
      <c r="C338" s="1">
        <v>13</v>
      </c>
      <c r="D338" s="1">
        <v>2</v>
      </c>
      <c r="E338" s="1">
        <v>269.99</v>
      </c>
      <c r="F338" s="1">
        <v>0.1</v>
      </c>
      <c r="G338">
        <f t="shared" si="5"/>
        <v>539.88</v>
      </c>
      <c r="H338" t="str">
        <f>VLOOKUP(C338,[1]products!$A:$B,2,FALSE)</f>
        <v>Electra Cruiser 1 (24-Inch) - 2016</v>
      </c>
      <c r="I338">
        <f>VLOOKUP(C338,[1]products!$A:$D,4,FALSE)</f>
        <v>3</v>
      </c>
      <c r="J338" t="str">
        <f>VLOOKUP(I338,[2]categories!$A$1:$B$8,2,FALSE)</f>
        <v>Cruisers Bicycles</v>
      </c>
    </row>
    <row r="339" customHeight="1" spans="1:10">
      <c r="A339" s="1">
        <v>115</v>
      </c>
      <c r="B339" s="1">
        <v>1</v>
      </c>
      <c r="C339" s="1">
        <v>22</v>
      </c>
      <c r="D339" s="1">
        <v>1</v>
      </c>
      <c r="E339" s="1">
        <v>269.99</v>
      </c>
      <c r="F339" s="1">
        <v>0.2</v>
      </c>
      <c r="G339">
        <f t="shared" si="5"/>
        <v>269.79</v>
      </c>
      <c r="H339" t="str">
        <f>VLOOKUP(C339,[1]products!$A:$B,2,FALSE)</f>
        <v>Electra Girl's Hawaii 1 (16-inch) - 2015/2016</v>
      </c>
      <c r="I339">
        <f>VLOOKUP(C339,[1]products!$A:$D,4,FALSE)</f>
        <v>1</v>
      </c>
      <c r="J339" t="str">
        <f>VLOOKUP(I339,[2]categories!$A$1:$B$8,2,FALSE)</f>
        <v>Children Bicycles</v>
      </c>
    </row>
    <row r="340" customHeight="1" spans="1:10">
      <c r="A340" s="1">
        <v>115</v>
      </c>
      <c r="B340" s="1">
        <v>2</v>
      </c>
      <c r="C340" s="1">
        <v>19</v>
      </c>
      <c r="D340" s="1">
        <v>1</v>
      </c>
      <c r="E340" s="1">
        <v>449</v>
      </c>
      <c r="F340" s="1">
        <v>0.1</v>
      </c>
      <c r="G340">
        <f t="shared" si="5"/>
        <v>448.9</v>
      </c>
      <c r="H340" t="str">
        <f>VLOOKUP(C340,[1]products!$A:$B,2,FALSE)</f>
        <v>Pure Cycles William 3-Speed - 2016</v>
      </c>
      <c r="I340">
        <f>VLOOKUP(C340,[1]products!$A:$D,4,FALSE)</f>
        <v>3</v>
      </c>
      <c r="J340" t="str">
        <f>VLOOKUP(I340,[2]categories!$A$1:$B$8,2,FALSE)</f>
        <v>Cruisers Bicycles</v>
      </c>
    </row>
    <row r="341" customHeight="1" spans="1:10">
      <c r="A341" s="1">
        <v>116</v>
      </c>
      <c r="B341" s="1">
        <v>1</v>
      </c>
      <c r="C341" s="1">
        <v>26</v>
      </c>
      <c r="D341" s="1">
        <v>1</v>
      </c>
      <c r="E341" s="1">
        <v>599.99</v>
      </c>
      <c r="F341" s="1">
        <v>0.05</v>
      </c>
      <c r="G341">
        <f t="shared" si="5"/>
        <v>599.94</v>
      </c>
      <c r="H341" t="str">
        <f>VLOOKUP(C341,[1]products!$A:$B,2,FALSE)</f>
        <v>Electra Townie Original 7D EQ - 2016</v>
      </c>
      <c r="I341">
        <f>VLOOKUP(C341,[1]products!$A:$D,4,FALSE)</f>
        <v>2</v>
      </c>
      <c r="J341" t="str">
        <f>VLOOKUP(I341,[2]categories!$A$1:$B$8,2,FALSE)</f>
        <v>Comfort Bicycles</v>
      </c>
    </row>
    <row r="342" customHeight="1" spans="1:10">
      <c r="A342" s="1">
        <v>117</v>
      </c>
      <c r="B342" s="1">
        <v>1</v>
      </c>
      <c r="C342" s="1">
        <v>22</v>
      </c>
      <c r="D342" s="1">
        <v>2</v>
      </c>
      <c r="E342" s="1">
        <v>269.99</v>
      </c>
      <c r="F342" s="1">
        <v>0.2</v>
      </c>
      <c r="G342">
        <f t="shared" si="5"/>
        <v>539.78</v>
      </c>
      <c r="H342" t="str">
        <f>VLOOKUP(C342,[1]products!$A:$B,2,FALSE)</f>
        <v>Electra Girl's Hawaii 1 (16-inch) - 2015/2016</v>
      </c>
      <c r="I342">
        <f>VLOOKUP(C342,[1]products!$A:$D,4,FALSE)</f>
        <v>1</v>
      </c>
      <c r="J342" t="str">
        <f>VLOOKUP(I342,[2]categories!$A$1:$B$8,2,FALSE)</f>
        <v>Children Bicycles</v>
      </c>
    </row>
    <row r="343" customHeight="1" spans="1:10">
      <c r="A343" s="1">
        <v>117</v>
      </c>
      <c r="B343" s="1">
        <v>2</v>
      </c>
      <c r="C343" s="1">
        <v>26</v>
      </c>
      <c r="D343" s="1">
        <v>1</v>
      </c>
      <c r="E343" s="1">
        <v>599.99</v>
      </c>
      <c r="F343" s="1">
        <v>0.05</v>
      </c>
      <c r="G343">
        <f t="shared" si="5"/>
        <v>599.94</v>
      </c>
      <c r="H343" t="str">
        <f>VLOOKUP(C343,[1]products!$A:$B,2,FALSE)</f>
        <v>Electra Townie Original 7D EQ - 2016</v>
      </c>
      <c r="I343">
        <f>VLOOKUP(C343,[1]products!$A:$D,4,FALSE)</f>
        <v>2</v>
      </c>
      <c r="J343" t="str">
        <f>VLOOKUP(I343,[2]categories!$A$1:$B$8,2,FALSE)</f>
        <v>Comfort Bicycles</v>
      </c>
    </row>
    <row r="344" customHeight="1" spans="1:10">
      <c r="A344" s="1">
        <v>117</v>
      </c>
      <c r="B344" s="1">
        <v>3</v>
      </c>
      <c r="C344" s="1">
        <v>14</v>
      </c>
      <c r="D344" s="1">
        <v>1</v>
      </c>
      <c r="E344" s="1">
        <v>269.99</v>
      </c>
      <c r="F344" s="1">
        <v>0.2</v>
      </c>
      <c r="G344">
        <f t="shared" si="5"/>
        <v>269.79</v>
      </c>
      <c r="H344" t="str">
        <f>VLOOKUP(C344,[1]products!$A:$B,2,FALSE)</f>
        <v>Electra Girl's Hawaii 1 (16-inch) - 2015/2016</v>
      </c>
      <c r="I344">
        <f>VLOOKUP(C344,[1]products!$A:$D,4,FALSE)</f>
        <v>3</v>
      </c>
      <c r="J344" t="str">
        <f>VLOOKUP(I344,[2]categories!$A$1:$B$8,2,FALSE)</f>
        <v>Cruisers Bicycles</v>
      </c>
    </row>
    <row r="345" customHeight="1" spans="1:10">
      <c r="A345" s="1">
        <v>117</v>
      </c>
      <c r="B345" s="1">
        <v>4</v>
      </c>
      <c r="C345" s="1">
        <v>19</v>
      </c>
      <c r="D345" s="1">
        <v>1</v>
      </c>
      <c r="E345" s="1">
        <v>449</v>
      </c>
      <c r="F345" s="1">
        <v>0.05</v>
      </c>
      <c r="G345">
        <f t="shared" si="5"/>
        <v>448.95</v>
      </c>
      <c r="H345" t="str">
        <f>VLOOKUP(C345,[1]products!$A:$B,2,FALSE)</f>
        <v>Pure Cycles William 3-Speed - 2016</v>
      </c>
      <c r="I345">
        <f>VLOOKUP(C345,[1]products!$A:$D,4,FALSE)</f>
        <v>3</v>
      </c>
      <c r="J345" t="str">
        <f>VLOOKUP(I345,[2]categories!$A$1:$B$8,2,FALSE)</f>
        <v>Cruisers Bicycles</v>
      </c>
    </row>
    <row r="346" customHeight="1" spans="1:10">
      <c r="A346" s="1">
        <v>118</v>
      </c>
      <c r="B346" s="1">
        <v>1</v>
      </c>
      <c r="C346" s="1">
        <v>18</v>
      </c>
      <c r="D346" s="1">
        <v>1</v>
      </c>
      <c r="E346" s="1">
        <v>449</v>
      </c>
      <c r="F346" s="1">
        <v>0.07</v>
      </c>
      <c r="G346">
        <f t="shared" si="5"/>
        <v>448.93</v>
      </c>
      <c r="H346" t="str">
        <f>VLOOKUP(C346,[1]products!$A:$B,2,FALSE)</f>
        <v>Pure Cycles Western 3-Speed - Women's - 2015/2016</v>
      </c>
      <c r="I346">
        <f>VLOOKUP(C346,[1]products!$A:$D,4,FALSE)</f>
        <v>3</v>
      </c>
      <c r="J346" t="str">
        <f>VLOOKUP(I346,[2]categories!$A$1:$B$8,2,FALSE)</f>
        <v>Cruisers Bicycles</v>
      </c>
    </row>
    <row r="347" customHeight="1" spans="1:10">
      <c r="A347" s="1">
        <v>118</v>
      </c>
      <c r="B347" s="1">
        <v>2</v>
      </c>
      <c r="C347" s="1">
        <v>4</v>
      </c>
      <c r="D347" s="1">
        <v>1</v>
      </c>
      <c r="E347" s="1">
        <v>2899.99</v>
      </c>
      <c r="F347" s="1">
        <v>0.07</v>
      </c>
      <c r="G347">
        <f t="shared" si="5"/>
        <v>2899.92</v>
      </c>
      <c r="H347" t="str">
        <f>VLOOKUP(C347,[1]products!$A:$B,2,FALSE)</f>
        <v>Trek Fuel EX 8 29 - 2016</v>
      </c>
      <c r="I347">
        <f>VLOOKUP(C347,[1]products!$A:$D,4,FALSE)</f>
        <v>6</v>
      </c>
      <c r="J347" t="str">
        <f>VLOOKUP(I347,[2]categories!$A$1:$B$8,2,FALSE)</f>
        <v>Mountain Bikes</v>
      </c>
    </row>
    <row r="348" customHeight="1" spans="1:10">
      <c r="A348" s="1">
        <v>118</v>
      </c>
      <c r="B348" s="1">
        <v>3</v>
      </c>
      <c r="C348" s="1">
        <v>6</v>
      </c>
      <c r="D348" s="1">
        <v>1</v>
      </c>
      <c r="E348" s="1">
        <v>469.99</v>
      </c>
      <c r="F348" s="1">
        <v>0.07</v>
      </c>
      <c r="G348">
        <f t="shared" si="5"/>
        <v>469.92</v>
      </c>
      <c r="H348" t="str">
        <f>VLOOKUP(C348,[1]products!$A:$B,2,FALSE)</f>
        <v>Surly Ice Cream Truck Frameset - 2016</v>
      </c>
      <c r="I348">
        <f>VLOOKUP(C348,[1]products!$A:$D,4,FALSE)</f>
        <v>6</v>
      </c>
      <c r="J348" t="str">
        <f>VLOOKUP(I348,[2]categories!$A$1:$B$8,2,FALSE)</f>
        <v>Mountain Bikes</v>
      </c>
    </row>
    <row r="349" customHeight="1" spans="1:10">
      <c r="A349" s="1">
        <v>118</v>
      </c>
      <c r="B349" s="1">
        <v>4</v>
      </c>
      <c r="C349" s="1">
        <v>3</v>
      </c>
      <c r="D349" s="1">
        <v>2</v>
      </c>
      <c r="E349" s="1">
        <v>999.99</v>
      </c>
      <c r="F349" s="1">
        <v>0.1</v>
      </c>
      <c r="G349">
        <f t="shared" si="5"/>
        <v>1999.88</v>
      </c>
      <c r="H349" t="str">
        <f>VLOOKUP(C349,[1]products!$A:$B,2,FALSE)</f>
        <v>Surly Wednesday Frameset - 2016</v>
      </c>
      <c r="I349">
        <f>VLOOKUP(C349,[1]products!$A:$D,4,FALSE)</f>
        <v>6</v>
      </c>
      <c r="J349" t="str">
        <f>VLOOKUP(I349,[2]categories!$A$1:$B$8,2,FALSE)</f>
        <v>Mountain Bikes</v>
      </c>
    </row>
    <row r="350" customHeight="1" spans="1:10">
      <c r="A350" s="1">
        <v>118</v>
      </c>
      <c r="B350" s="1">
        <v>5</v>
      </c>
      <c r="C350" s="1">
        <v>23</v>
      </c>
      <c r="D350" s="1">
        <v>2</v>
      </c>
      <c r="E350" s="1">
        <v>299.99</v>
      </c>
      <c r="F350" s="1">
        <v>0.07</v>
      </c>
      <c r="G350">
        <f t="shared" si="5"/>
        <v>599.91</v>
      </c>
      <c r="H350" t="str">
        <f>VLOOKUP(C350,[1]products!$A:$B,2,FALSE)</f>
        <v>Electra Girl's Hawaii 1 (20-inch) - 2015/2016</v>
      </c>
      <c r="I350">
        <f>VLOOKUP(C350,[1]products!$A:$D,4,FALSE)</f>
        <v>1</v>
      </c>
      <c r="J350" t="str">
        <f>VLOOKUP(I350,[2]categories!$A$1:$B$8,2,FALSE)</f>
        <v>Children Bicycles</v>
      </c>
    </row>
    <row r="351" customHeight="1" spans="1:10">
      <c r="A351" s="1">
        <v>119</v>
      </c>
      <c r="B351" s="1">
        <v>1</v>
      </c>
      <c r="C351" s="1">
        <v>25</v>
      </c>
      <c r="D351" s="1">
        <v>1</v>
      </c>
      <c r="E351" s="1">
        <v>499.99</v>
      </c>
      <c r="F351" s="1">
        <v>0.05</v>
      </c>
      <c r="G351">
        <f t="shared" si="5"/>
        <v>499.94</v>
      </c>
      <c r="H351" t="str">
        <f>VLOOKUP(C351,[1]products!$A:$B,2,FALSE)</f>
        <v>Electra Townie Original 7D - 2015/2016</v>
      </c>
      <c r="I351">
        <f>VLOOKUP(C351,[1]products!$A:$D,4,FALSE)</f>
        <v>2</v>
      </c>
      <c r="J351" t="str">
        <f>VLOOKUP(I351,[2]categories!$A$1:$B$8,2,FALSE)</f>
        <v>Comfort Bicycles</v>
      </c>
    </row>
    <row r="352" customHeight="1" spans="1:10">
      <c r="A352" s="1">
        <v>120</v>
      </c>
      <c r="B352" s="1">
        <v>1</v>
      </c>
      <c r="C352" s="1">
        <v>13</v>
      </c>
      <c r="D352" s="1">
        <v>2</v>
      </c>
      <c r="E352" s="1">
        <v>269.99</v>
      </c>
      <c r="F352" s="1">
        <v>0.05</v>
      </c>
      <c r="G352">
        <f t="shared" si="5"/>
        <v>539.93</v>
      </c>
      <c r="H352" t="str">
        <f>VLOOKUP(C352,[1]products!$A:$B,2,FALSE)</f>
        <v>Electra Cruiser 1 (24-Inch) - 2016</v>
      </c>
      <c r="I352">
        <f>VLOOKUP(C352,[1]products!$A:$D,4,FALSE)</f>
        <v>3</v>
      </c>
      <c r="J352" t="str">
        <f>VLOOKUP(I352,[2]categories!$A$1:$B$8,2,FALSE)</f>
        <v>Cruisers Bicycles</v>
      </c>
    </row>
    <row r="353" customHeight="1" spans="1:10">
      <c r="A353" s="1">
        <v>120</v>
      </c>
      <c r="B353" s="1">
        <v>2</v>
      </c>
      <c r="C353" s="1">
        <v>6</v>
      </c>
      <c r="D353" s="1">
        <v>2</v>
      </c>
      <c r="E353" s="1">
        <v>469.99</v>
      </c>
      <c r="F353" s="1">
        <v>0.05</v>
      </c>
      <c r="G353">
        <f t="shared" si="5"/>
        <v>939.93</v>
      </c>
      <c r="H353" t="str">
        <f>VLOOKUP(C353,[1]products!$A:$B,2,FALSE)</f>
        <v>Surly Ice Cream Truck Frameset - 2016</v>
      </c>
      <c r="I353">
        <f>VLOOKUP(C353,[1]products!$A:$D,4,FALSE)</f>
        <v>6</v>
      </c>
      <c r="J353" t="str">
        <f>VLOOKUP(I353,[2]categories!$A$1:$B$8,2,FALSE)</f>
        <v>Mountain Bikes</v>
      </c>
    </row>
    <row r="354" customHeight="1" spans="1:10">
      <c r="A354" s="1">
        <v>120</v>
      </c>
      <c r="B354" s="1">
        <v>3</v>
      </c>
      <c r="C354" s="1">
        <v>10</v>
      </c>
      <c r="D354" s="1">
        <v>2</v>
      </c>
      <c r="E354" s="1">
        <v>1549</v>
      </c>
      <c r="F354" s="1">
        <v>0.05</v>
      </c>
      <c r="G354">
        <f t="shared" si="5"/>
        <v>3097.95</v>
      </c>
      <c r="H354" t="str">
        <f>VLOOKUP(C354,[1]products!$A:$B,2,FALSE)</f>
        <v>Surly Straggler - 2016</v>
      </c>
      <c r="I354">
        <f>VLOOKUP(C354,[1]products!$A:$D,4,FALSE)</f>
        <v>4</v>
      </c>
      <c r="J354" t="str">
        <f>VLOOKUP(I354,[2]categories!$A$1:$B$8,2,FALSE)</f>
        <v>Cyclocross Bicycles</v>
      </c>
    </row>
    <row r="355" customHeight="1" spans="1:10">
      <c r="A355" s="1">
        <v>120</v>
      </c>
      <c r="B355" s="1">
        <v>4</v>
      </c>
      <c r="C355" s="1">
        <v>17</v>
      </c>
      <c r="D355" s="1">
        <v>1</v>
      </c>
      <c r="E355" s="1">
        <v>429</v>
      </c>
      <c r="F355" s="1">
        <v>0.05</v>
      </c>
      <c r="G355">
        <f t="shared" si="5"/>
        <v>428.95</v>
      </c>
      <c r="H355" t="str">
        <f>VLOOKUP(C355,[1]products!$A:$B,2,FALSE)</f>
        <v>Pure Cycles Vine 8-Speed - 2016</v>
      </c>
      <c r="I355">
        <f>VLOOKUP(C355,[1]products!$A:$D,4,FALSE)</f>
        <v>3</v>
      </c>
      <c r="J355" t="str">
        <f>VLOOKUP(I355,[2]categories!$A$1:$B$8,2,FALSE)</f>
        <v>Cruisers Bicycles</v>
      </c>
    </row>
    <row r="356" customHeight="1" spans="1:10">
      <c r="A356" s="1">
        <v>120</v>
      </c>
      <c r="B356" s="1">
        <v>5</v>
      </c>
      <c r="C356" s="1">
        <v>16</v>
      </c>
      <c r="D356" s="1">
        <v>2</v>
      </c>
      <c r="E356" s="1">
        <v>599.99</v>
      </c>
      <c r="F356" s="1">
        <v>0.2</v>
      </c>
      <c r="G356">
        <f t="shared" si="5"/>
        <v>1199.78</v>
      </c>
      <c r="H356" t="str">
        <f>VLOOKUP(C356,[1]products!$A:$B,2,FALSE)</f>
        <v>Electra Townie Original 7D EQ - 2016</v>
      </c>
      <c r="I356">
        <f>VLOOKUP(C356,[1]products!$A:$D,4,FALSE)</f>
        <v>3</v>
      </c>
      <c r="J356" t="str">
        <f>VLOOKUP(I356,[2]categories!$A$1:$B$8,2,FALSE)</f>
        <v>Cruisers Bicycles</v>
      </c>
    </row>
    <row r="357" customHeight="1" spans="1:10">
      <c r="A357" s="1">
        <v>121</v>
      </c>
      <c r="B357" s="1">
        <v>1</v>
      </c>
      <c r="C357" s="1">
        <v>5</v>
      </c>
      <c r="D357" s="1">
        <v>1</v>
      </c>
      <c r="E357" s="1">
        <v>1320.99</v>
      </c>
      <c r="F357" s="1">
        <v>0.2</v>
      </c>
      <c r="G357">
        <f t="shared" si="5"/>
        <v>1320.79</v>
      </c>
      <c r="H357" t="str">
        <f>VLOOKUP(C357,[1]products!$A:$B,2,FALSE)</f>
        <v>Heller Shagamaw Frame - 2016</v>
      </c>
      <c r="I357">
        <f>VLOOKUP(C357,[1]products!$A:$D,4,FALSE)</f>
        <v>6</v>
      </c>
      <c r="J357" t="str">
        <f>VLOOKUP(I357,[2]categories!$A$1:$B$8,2,FALSE)</f>
        <v>Mountain Bikes</v>
      </c>
    </row>
    <row r="358" customHeight="1" spans="1:10">
      <c r="A358" s="1">
        <v>121</v>
      </c>
      <c r="B358" s="1">
        <v>2</v>
      </c>
      <c r="C358" s="1">
        <v>14</v>
      </c>
      <c r="D358" s="1">
        <v>2</v>
      </c>
      <c r="E358" s="1">
        <v>269.99</v>
      </c>
      <c r="F358" s="1">
        <v>0.1</v>
      </c>
      <c r="G358">
        <f t="shared" si="5"/>
        <v>539.88</v>
      </c>
      <c r="H358" t="str">
        <f>VLOOKUP(C358,[1]products!$A:$B,2,FALSE)</f>
        <v>Electra Girl's Hawaii 1 (16-inch) - 2015/2016</v>
      </c>
      <c r="I358">
        <f>VLOOKUP(C358,[1]products!$A:$D,4,FALSE)</f>
        <v>3</v>
      </c>
      <c r="J358" t="str">
        <f>VLOOKUP(I358,[2]categories!$A$1:$B$8,2,FALSE)</f>
        <v>Cruisers Bicycles</v>
      </c>
    </row>
    <row r="359" customHeight="1" spans="1:10">
      <c r="A359" s="1">
        <v>121</v>
      </c>
      <c r="B359" s="1">
        <v>3</v>
      </c>
      <c r="C359" s="1">
        <v>4</v>
      </c>
      <c r="D359" s="1">
        <v>2</v>
      </c>
      <c r="E359" s="1">
        <v>2899.99</v>
      </c>
      <c r="F359" s="1">
        <v>0.1</v>
      </c>
      <c r="G359">
        <f t="shared" si="5"/>
        <v>5799.88</v>
      </c>
      <c r="H359" t="str">
        <f>VLOOKUP(C359,[1]products!$A:$B,2,FALSE)</f>
        <v>Trek Fuel EX 8 29 - 2016</v>
      </c>
      <c r="I359">
        <f>VLOOKUP(C359,[1]products!$A:$D,4,FALSE)</f>
        <v>6</v>
      </c>
      <c r="J359" t="str">
        <f>VLOOKUP(I359,[2]categories!$A$1:$B$8,2,FALSE)</f>
        <v>Mountain Bikes</v>
      </c>
    </row>
    <row r="360" customHeight="1" spans="1:10">
      <c r="A360" s="1">
        <v>121</v>
      </c>
      <c r="B360" s="1">
        <v>4</v>
      </c>
      <c r="C360" s="1">
        <v>24</v>
      </c>
      <c r="D360" s="1">
        <v>2</v>
      </c>
      <c r="E360" s="1">
        <v>549.99</v>
      </c>
      <c r="F360" s="1">
        <v>0.07</v>
      </c>
      <c r="G360">
        <f t="shared" si="5"/>
        <v>1099.91</v>
      </c>
      <c r="H360" t="str">
        <f>VLOOKUP(C360,[1]products!$A:$B,2,FALSE)</f>
        <v>Electra Townie Original 21D - 2016</v>
      </c>
      <c r="I360">
        <f>VLOOKUP(C360,[1]products!$A:$D,4,FALSE)</f>
        <v>2</v>
      </c>
      <c r="J360" t="str">
        <f>VLOOKUP(I360,[2]categories!$A$1:$B$8,2,FALSE)</f>
        <v>Comfort Bicycles</v>
      </c>
    </row>
    <row r="361" customHeight="1" spans="1:10">
      <c r="A361" s="1">
        <v>121</v>
      </c>
      <c r="B361" s="1">
        <v>5</v>
      </c>
      <c r="C361" s="1">
        <v>2</v>
      </c>
      <c r="D361" s="1">
        <v>2</v>
      </c>
      <c r="E361" s="1">
        <v>749.99</v>
      </c>
      <c r="F361" s="1">
        <v>0.05</v>
      </c>
      <c r="G361">
        <f t="shared" si="5"/>
        <v>1499.93</v>
      </c>
      <c r="H361" t="str">
        <f>VLOOKUP(C361,[1]products!$A:$B,2,FALSE)</f>
        <v>Ritchey Timberwolf Frameset - 2016</v>
      </c>
      <c r="I361">
        <f>VLOOKUP(C361,[1]products!$A:$D,4,FALSE)</f>
        <v>6</v>
      </c>
      <c r="J361" t="str">
        <f>VLOOKUP(I361,[2]categories!$A$1:$B$8,2,FALSE)</f>
        <v>Mountain Bikes</v>
      </c>
    </row>
    <row r="362" customHeight="1" spans="1:10">
      <c r="A362" s="1">
        <v>122</v>
      </c>
      <c r="B362" s="1">
        <v>1</v>
      </c>
      <c r="C362" s="1">
        <v>16</v>
      </c>
      <c r="D362" s="1">
        <v>1</v>
      </c>
      <c r="E362" s="1">
        <v>599.99</v>
      </c>
      <c r="F362" s="1">
        <v>0.1</v>
      </c>
      <c r="G362">
        <f t="shared" si="5"/>
        <v>599.89</v>
      </c>
      <c r="H362" t="str">
        <f>VLOOKUP(C362,[1]products!$A:$B,2,FALSE)</f>
        <v>Electra Townie Original 7D EQ - 2016</v>
      </c>
      <c r="I362">
        <f>VLOOKUP(C362,[1]products!$A:$D,4,FALSE)</f>
        <v>3</v>
      </c>
      <c r="J362" t="str">
        <f>VLOOKUP(I362,[2]categories!$A$1:$B$8,2,FALSE)</f>
        <v>Cruisers Bicycles</v>
      </c>
    </row>
    <row r="363" customHeight="1" spans="1:10">
      <c r="A363" s="1">
        <v>123</v>
      </c>
      <c r="B363" s="1">
        <v>1</v>
      </c>
      <c r="C363" s="1">
        <v>12</v>
      </c>
      <c r="D363" s="1">
        <v>2</v>
      </c>
      <c r="E363" s="1">
        <v>549.99</v>
      </c>
      <c r="F363" s="1">
        <v>0.1</v>
      </c>
      <c r="G363">
        <f t="shared" si="5"/>
        <v>1099.88</v>
      </c>
      <c r="H363" t="str">
        <f>VLOOKUP(C363,[1]products!$A:$B,2,FALSE)</f>
        <v>Electra Townie Original 21D - 2016</v>
      </c>
      <c r="I363">
        <f>VLOOKUP(C363,[1]products!$A:$D,4,FALSE)</f>
        <v>3</v>
      </c>
      <c r="J363" t="str">
        <f>VLOOKUP(I363,[2]categories!$A$1:$B$8,2,FALSE)</f>
        <v>Cruisers Bicycles</v>
      </c>
    </row>
    <row r="364" customHeight="1" spans="1:10">
      <c r="A364" s="1">
        <v>124</v>
      </c>
      <c r="B364" s="1">
        <v>1</v>
      </c>
      <c r="C364" s="1">
        <v>16</v>
      </c>
      <c r="D364" s="1">
        <v>1</v>
      </c>
      <c r="E364" s="1">
        <v>599.99</v>
      </c>
      <c r="F364" s="1">
        <v>0.05</v>
      </c>
      <c r="G364">
        <f t="shared" si="5"/>
        <v>599.94</v>
      </c>
      <c r="H364" t="str">
        <f>VLOOKUP(C364,[1]products!$A:$B,2,FALSE)</f>
        <v>Electra Townie Original 7D EQ - 2016</v>
      </c>
      <c r="I364">
        <f>VLOOKUP(C364,[1]products!$A:$D,4,FALSE)</f>
        <v>3</v>
      </c>
      <c r="J364" t="str">
        <f>VLOOKUP(I364,[2]categories!$A$1:$B$8,2,FALSE)</f>
        <v>Cruisers Bicycles</v>
      </c>
    </row>
    <row r="365" customHeight="1" spans="1:10">
      <c r="A365" s="1">
        <v>124</v>
      </c>
      <c r="B365" s="1">
        <v>2</v>
      </c>
      <c r="C365" s="1">
        <v>4</v>
      </c>
      <c r="D365" s="1">
        <v>1</v>
      </c>
      <c r="E365" s="1">
        <v>2899.99</v>
      </c>
      <c r="F365" s="1">
        <v>0.07</v>
      </c>
      <c r="G365">
        <f t="shared" si="5"/>
        <v>2899.92</v>
      </c>
      <c r="H365" t="str">
        <f>VLOOKUP(C365,[1]products!$A:$B,2,FALSE)</f>
        <v>Trek Fuel EX 8 29 - 2016</v>
      </c>
      <c r="I365">
        <f>VLOOKUP(C365,[1]products!$A:$D,4,FALSE)</f>
        <v>6</v>
      </c>
      <c r="J365" t="str">
        <f>VLOOKUP(I365,[2]categories!$A$1:$B$8,2,FALSE)</f>
        <v>Mountain Bikes</v>
      </c>
    </row>
    <row r="366" customHeight="1" spans="1:10">
      <c r="A366" s="1">
        <v>124</v>
      </c>
      <c r="B366" s="1">
        <v>3</v>
      </c>
      <c r="C366" s="1">
        <v>7</v>
      </c>
      <c r="D366" s="1">
        <v>2</v>
      </c>
      <c r="E366" s="1">
        <v>3999.99</v>
      </c>
      <c r="F366" s="1">
        <v>0.05</v>
      </c>
      <c r="G366">
        <f t="shared" si="5"/>
        <v>7999.93</v>
      </c>
      <c r="H366" t="str">
        <f>VLOOKUP(C366,[1]products!$A:$B,2,FALSE)</f>
        <v>Trek Slash 8 27.5 - 2016</v>
      </c>
      <c r="I366">
        <f>VLOOKUP(C366,[1]products!$A:$D,4,FALSE)</f>
        <v>6</v>
      </c>
      <c r="J366" t="str">
        <f>VLOOKUP(I366,[2]categories!$A$1:$B$8,2,FALSE)</f>
        <v>Mountain Bikes</v>
      </c>
    </row>
    <row r="367" customHeight="1" spans="1:10">
      <c r="A367" s="1">
        <v>125</v>
      </c>
      <c r="B367" s="1">
        <v>1</v>
      </c>
      <c r="C367" s="1">
        <v>17</v>
      </c>
      <c r="D367" s="1">
        <v>1</v>
      </c>
      <c r="E367" s="1">
        <v>429</v>
      </c>
      <c r="F367" s="1">
        <v>0.1</v>
      </c>
      <c r="G367">
        <f t="shared" si="5"/>
        <v>428.9</v>
      </c>
      <c r="H367" t="str">
        <f>VLOOKUP(C367,[1]products!$A:$B,2,FALSE)</f>
        <v>Pure Cycles Vine 8-Speed - 2016</v>
      </c>
      <c r="I367">
        <f>VLOOKUP(C367,[1]products!$A:$D,4,FALSE)</f>
        <v>3</v>
      </c>
      <c r="J367" t="str">
        <f>VLOOKUP(I367,[2]categories!$A$1:$B$8,2,FALSE)</f>
        <v>Cruisers Bicycles</v>
      </c>
    </row>
    <row r="368" customHeight="1" spans="1:10">
      <c r="A368" s="1">
        <v>126</v>
      </c>
      <c r="B368" s="1">
        <v>1</v>
      </c>
      <c r="C368" s="1">
        <v>9</v>
      </c>
      <c r="D368" s="1">
        <v>2</v>
      </c>
      <c r="E368" s="1">
        <v>2999.99</v>
      </c>
      <c r="F368" s="1">
        <v>0.05</v>
      </c>
      <c r="G368">
        <f t="shared" si="5"/>
        <v>5999.93</v>
      </c>
      <c r="H368" t="str">
        <f>VLOOKUP(C368,[1]products!$A:$B,2,FALSE)</f>
        <v>Trek Conduit+ - 2016</v>
      </c>
      <c r="I368">
        <f>VLOOKUP(C368,[1]products!$A:$D,4,FALSE)</f>
        <v>5</v>
      </c>
      <c r="J368" t="str">
        <f>VLOOKUP(I368,[2]categories!$A$1:$B$8,2,FALSE)</f>
        <v>Electric Bikes</v>
      </c>
    </row>
    <row r="369" customHeight="1" spans="1:10">
      <c r="A369" s="1">
        <v>127</v>
      </c>
      <c r="B369" s="1">
        <v>1</v>
      </c>
      <c r="C369" s="1">
        <v>17</v>
      </c>
      <c r="D369" s="1">
        <v>1</v>
      </c>
      <c r="E369" s="1">
        <v>429</v>
      </c>
      <c r="F369" s="1">
        <v>0.07</v>
      </c>
      <c r="G369">
        <f t="shared" si="5"/>
        <v>428.93</v>
      </c>
      <c r="H369" t="str">
        <f>VLOOKUP(C369,[1]products!$A:$B,2,FALSE)</f>
        <v>Pure Cycles Vine 8-Speed - 2016</v>
      </c>
      <c r="I369">
        <f>VLOOKUP(C369,[1]products!$A:$D,4,FALSE)</f>
        <v>3</v>
      </c>
      <c r="J369" t="str">
        <f>VLOOKUP(I369,[2]categories!$A$1:$B$8,2,FALSE)</f>
        <v>Cruisers Bicycles</v>
      </c>
    </row>
    <row r="370" customHeight="1" spans="1:10">
      <c r="A370" s="1">
        <v>127</v>
      </c>
      <c r="B370" s="1">
        <v>2</v>
      </c>
      <c r="C370" s="1">
        <v>20</v>
      </c>
      <c r="D370" s="1">
        <v>1</v>
      </c>
      <c r="E370" s="1">
        <v>599.99</v>
      </c>
      <c r="F370" s="1">
        <v>0.1</v>
      </c>
      <c r="G370">
        <f t="shared" si="5"/>
        <v>599.89</v>
      </c>
      <c r="H370" t="str">
        <f>VLOOKUP(C370,[1]products!$A:$B,2,FALSE)</f>
        <v>Electra Townie Original 7D EQ - Women's - 2016</v>
      </c>
      <c r="I370">
        <f>VLOOKUP(C370,[1]products!$A:$D,4,FALSE)</f>
        <v>3</v>
      </c>
      <c r="J370" t="str">
        <f>VLOOKUP(I370,[2]categories!$A$1:$B$8,2,FALSE)</f>
        <v>Cruisers Bicycles</v>
      </c>
    </row>
    <row r="371" customHeight="1" spans="1:10">
      <c r="A371" s="1">
        <v>127</v>
      </c>
      <c r="B371" s="1">
        <v>3</v>
      </c>
      <c r="C371" s="1">
        <v>4</v>
      </c>
      <c r="D371" s="1">
        <v>2</v>
      </c>
      <c r="E371" s="1">
        <v>2899.99</v>
      </c>
      <c r="F371" s="1">
        <v>0.07</v>
      </c>
      <c r="G371">
        <f t="shared" si="5"/>
        <v>5799.91</v>
      </c>
      <c r="H371" t="str">
        <f>VLOOKUP(C371,[1]products!$A:$B,2,FALSE)</f>
        <v>Trek Fuel EX 8 29 - 2016</v>
      </c>
      <c r="I371">
        <f>VLOOKUP(C371,[1]products!$A:$D,4,FALSE)</f>
        <v>6</v>
      </c>
      <c r="J371" t="str">
        <f>VLOOKUP(I371,[2]categories!$A$1:$B$8,2,FALSE)</f>
        <v>Mountain Bikes</v>
      </c>
    </row>
    <row r="372" customHeight="1" spans="1:10">
      <c r="A372" s="1">
        <v>128</v>
      </c>
      <c r="B372" s="1">
        <v>1</v>
      </c>
      <c r="C372" s="1">
        <v>24</v>
      </c>
      <c r="D372" s="1">
        <v>2</v>
      </c>
      <c r="E372" s="1">
        <v>549.99</v>
      </c>
      <c r="F372" s="1">
        <v>0.1</v>
      </c>
      <c r="G372">
        <f t="shared" si="5"/>
        <v>1099.88</v>
      </c>
      <c r="H372" t="str">
        <f>VLOOKUP(C372,[1]products!$A:$B,2,FALSE)</f>
        <v>Electra Townie Original 21D - 2016</v>
      </c>
      <c r="I372">
        <f>VLOOKUP(C372,[1]products!$A:$D,4,FALSE)</f>
        <v>2</v>
      </c>
      <c r="J372" t="str">
        <f>VLOOKUP(I372,[2]categories!$A$1:$B$8,2,FALSE)</f>
        <v>Comfort Bicycles</v>
      </c>
    </row>
    <row r="373" customHeight="1" spans="1:10">
      <c r="A373" s="1">
        <v>128</v>
      </c>
      <c r="B373" s="1">
        <v>2</v>
      </c>
      <c r="C373" s="1">
        <v>16</v>
      </c>
      <c r="D373" s="1">
        <v>2</v>
      </c>
      <c r="E373" s="1">
        <v>599.99</v>
      </c>
      <c r="F373" s="1">
        <v>0.1</v>
      </c>
      <c r="G373">
        <f t="shared" si="5"/>
        <v>1199.88</v>
      </c>
      <c r="H373" t="str">
        <f>VLOOKUP(C373,[1]products!$A:$B,2,FALSE)</f>
        <v>Electra Townie Original 7D EQ - 2016</v>
      </c>
      <c r="I373">
        <f>VLOOKUP(C373,[1]products!$A:$D,4,FALSE)</f>
        <v>3</v>
      </c>
      <c r="J373" t="str">
        <f>VLOOKUP(I373,[2]categories!$A$1:$B$8,2,FALSE)</f>
        <v>Cruisers Bicycles</v>
      </c>
    </row>
    <row r="374" customHeight="1" spans="1:10">
      <c r="A374" s="1">
        <v>128</v>
      </c>
      <c r="B374" s="1">
        <v>3</v>
      </c>
      <c r="C374" s="1">
        <v>4</v>
      </c>
      <c r="D374" s="1">
        <v>2</v>
      </c>
      <c r="E374" s="1">
        <v>2899.99</v>
      </c>
      <c r="F374" s="1">
        <v>0.2</v>
      </c>
      <c r="G374">
        <f t="shared" si="5"/>
        <v>5799.78</v>
      </c>
      <c r="H374" t="str">
        <f>VLOOKUP(C374,[1]products!$A:$B,2,FALSE)</f>
        <v>Trek Fuel EX 8 29 - 2016</v>
      </c>
      <c r="I374">
        <f>VLOOKUP(C374,[1]products!$A:$D,4,FALSE)</f>
        <v>6</v>
      </c>
      <c r="J374" t="str">
        <f>VLOOKUP(I374,[2]categories!$A$1:$B$8,2,FALSE)</f>
        <v>Mountain Bikes</v>
      </c>
    </row>
    <row r="375" customHeight="1" spans="1:10">
      <c r="A375" s="1">
        <v>128</v>
      </c>
      <c r="B375" s="1">
        <v>4</v>
      </c>
      <c r="C375" s="1">
        <v>3</v>
      </c>
      <c r="D375" s="1">
        <v>2</v>
      </c>
      <c r="E375" s="1">
        <v>999.99</v>
      </c>
      <c r="F375" s="1">
        <v>0.2</v>
      </c>
      <c r="G375">
        <f t="shared" si="5"/>
        <v>1999.78</v>
      </c>
      <c r="H375" t="str">
        <f>VLOOKUP(C375,[1]products!$A:$B,2,FALSE)</f>
        <v>Surly Wednesday Frameset - 2016</v>
      </c>
      <c r="I375">
        <f>VLOOKUP(C375,[1]products!$A:$D,4,FALSE)</f>
        <v>6</v>
      </c>
      <c r="J375" t="str">
        <f>VLOOKUP(I375,[2]categories!$A$1:$B$8,2,FALSE)</f>
        <v>Mountain Bikes</v>
      </c>
    </row>
    <row r="376" customHeight="1" spans="1:10">
      <c r="A376" s="1">
        <v>129</v>
      </c>
      <c r="B376" s="1">
        <v>1</v>
      </c>
      <c r="C376" s="1">
        <v>18</v>
      </c>
      <c r="D376" s="1">
        <v>1</v>
      </c>
      <c r="E376" s="1">
        <v>449</v>
      </c>
      <c r="F376" s="1">
        <v>0.1</v>
      </c>
      <c r="G376">
        <f t="shared" si="5"/>
        <v>448.9</v>
      </c>
      <c r="H376" t="str">
        <f>VLOOKUP(C376,[1]products!$A:$B,2,FALSE)</f>
        <v>Pure Cycles Western 3-Speed - Women's - 2015/2016</v>
      </c>
      <c r="I376">
        <f>VLOOKUP(C376,[1]products!$A:$D,4,FALSE)</f>
        <v>3</v>
      </c>
      <c r="J376" t="str">
        <f>VLOOKUP(I376,[2]categories!$A$1:$B$8,2,FALSE)</f>
        <v>Cruisers Bicycles</v>
      </c>
    </row>
    <row r="377" customHeight="1" spans="1:10">
      <c r="A377" s="1">
        <v>129</v>
      </c>
      <c r="B377" s="1">
        <v>2</v>
      </c>
      <c r="C377" s="1">
        <v>9</v>
      </c>
      <c r="D377" s="1">
        <v>1</v>
      </c>
      <c r="E377" s="1">
        <v>2999.99</v>
      </c>
      <c r="F377" s="1">
        <v>0.1</v>
      </c>
      <c r="G377">
        <f t="shared" si="5"/>
        <v>2999.89</v>
      </c>
      <c r="H377" t="str">
        <f>VLOOKUP(C377,[1]products!$A:$B,2,FALSE)</f>
        <v>Trek Conduit+ - 2016</v>
      </c>
      <c r="I377">
        <f>VLOOKUP(C377,[1]products!$A:$D,4,FALSE)</f>
        <v>5</v>
      </c>
      <c r="J377" t="str">
        <f>VLOOKUP(I377,[2]categories!$A$1:$B$8,2,FALSE)</f>
        <v>Electric Bikes</v>
      </c>
    </row>
    <row r="378" customHeight="1" spans="1:10">
      <c r="A378" s="1">
        <v>130</v>
      </c>
      <c r="B378" s="1">
        <v>1</v>
      </c>
      <c r="C378" s="1">
        <v>26</v>
      </c>
      <c r="D378" s="1">
        <v>1</v>
      </c>
      <c r="E378" s="1">
        <v>599.99</v>
      </c>
      <c r="F378" s="1">
        <v>0.05</v>
      </c>
      <c r="G378">
        <f t="shared" si="5"/>
        <v>599.94</v>
      </c>
      <c r="H378" t="str">
        <f>VLOOKUP(C378,[1]products!$A:$B,2,FALSE)</f>
        <v>Electra Townie Original 7D EQ - 2016</v>
      </c>
      <c r="I378">
        <f>VLOOKUP(C378,[1]products!$A:$D,4,FALSE)</f>
        <v>2</v>
      </c>
      <c r="J378" t="str">
        <f>VLOOKUP(I378,[2]categories!$A$1:$B$8,2,FALSE)</f>
        <v>Comfort Bicycles</v>
      </c>
    </row>
    <row r="379" customHeight="1" spans="1:10">
      <c r="A379" s="1">
        <v>130</v>
      </c>
      <c r="B379" s="1">
        <v>2</v>
      </c>
      <c r="C379" s="1">
        <v>5</v>
      </c>
      <c r="D379" s="1">
        <v>2</v>
      </c>
      <c r="E379" s="1">
        <v>1320.99</v>
      </c>
      <c r="F379" s="1">
        <v>0.07</v>
      </c>
      <c r="G379">
        <f t="shared" si="5"/>
        <v>2641.91</v>
      </c>
      <c r="H379" t="str">
        <f>VLOOKUP(C379,[1]products!$A:$B,2,FALSE)</f>
        <v>Heller Shagamaw Frame - 2016</v>
      </c>
      <c r="I379">
        <f>VLOOKUP(C379,[1]products!$A:$D,4,FALSE)</f>
        <v>6</v>
      </c>
      <c r="J379" t="str">
        <f>VLOOKUP(I379,[2]categories!$A$1:$B$8,2,FALSE)</f>
        <v>Mountain Bikes</v>
      </c>
    </row>
    <row r="380" customHeight="1" spans="1:10">
      <c r="A380" s="1">
        <v>131</v>
      </c>
      <c r="B380" s="1">
        <v>1</v>
      </c>
      <c r="C380" s="1">
        <v>22</v>
      </c>
      <c r="D380" s="1">
        <v>2</v>
      </c>
      <c r="E380" s="1">
        <v>269.99</v>
      </c>
      <c r="F380" s="1">
        <v>0.2</v>
      </c>
      <c r="G380">
        <f t="shared" si="5"/>
        <v>539.78</v>
      </c>
      <c r="H380" t="str">
        <f>VLOOKUP(C380,[1]products!$A:$B,2,FALSE)</f>
        <v>Electra Girl's Hawaii 1 (16-inch) - 2015/2016</v>
      </c>
      <c r="I380">
        <f>VLOOKUP(C380,[1]products!$A:$D,4,FALSE)</f>
        <v>1</v>
      </c>
      <c r="J380" t="str">
        <f>VLOOKUP(I380,[2]categories!$A$1:$B$8,2,FALSE)</f>
        <v>Children Bicycles</v>
      </c>
    </row>
    <row r="381" customHeight="1" spans="1:10">
      <c r="A381" s="1">
        <v>131</v>
      </c>
      <c r="B381" s="1">
        <v>2</v>
      </c>
      <c r="C381" s="1">
        <v>4</v>
      </c>
      <c r="D381" s="1">
        <v>2</v>
      </c>
      <c r="E381" s="1">
        <v>2899.99</v>
      </c>
      <c r="F381" s="1">
        <v>0.07</v>
      </c>
      <c r="G381">
        <f t="shared" si="5"/>
        <v>5799.91</v>
      </c>
      <c r="H381" t="str">
        <f>VLOOKUP(C381,[1]products!$A:$B,2,FALSE)</f>
        <v>Trek Fuel EX 8 29 - 2016</v>
      </c>
      <c r="I381">
        <f>VLOOKUP(C381,[1]products!$A:$D,4,FALSE)</f>
        <v>6</v>
      </c>
      <c r="J381" t="str">
        <f>VLOOKUP(I381,[2]categories!$A$1:$B$8,2,FALSE)</f>
        <v>Mountain Bikes</v>
      </c>
    </row>
    <row r="382" customHeight="1" spans="1:10">
      <c r="A382" s="1">
        <v>131</v>
      </c>
      <c r="B382" s="1">
        <v>3</v>
      </c>
      <c r="C382" s="1">
        <v>24</v>
      </c>
      <c r="D382" s="1">
        <v>2</v>
      </c>
      <c r="E382" s="1">
        <v>549.99</v>
      </c>
      <c r="F382" s="1">
        <v>0.1</v>
      </c>
      <c r="G382">
        <f t="shared" si="5"/>
        <v>1099.88</v>
      </c>
      <c r="H382" t="str">
        <f>VLOOKUP(C382,[1]products!$A:$B,2,FALSE)</f>
        <v>Electra Townie Original 21D - 2016</v>
      </c>
      <c r="I382">
        <f>VLOOKUP(C382,[1]products!$A:$D,4,FALSE)</f>
        <v>2</v>
      </c>
      <c r="J382" t="str">
        <f>VLOOKUP(I382,[2]categories!$A$1:$B$8,2,FALSE)</f>
        <v>Comfort Bicycles</v>
      </c>
    </row>
    <row r="383" customHeight="1" spans="1:10">
      <c r="A383" s="1">
        <v>132</v>
      </c>
      <c r="B383" s="1">
        <v>1</v>
      </c>
      <c r="C383" s="1">
        <v>2</v>
      </c>
      <c r="D383" s="1">
        <v>2</v>
      </c>
      <c r="E383" s="1">
        <v>749.99</v>
      </c>
      <c r="F383" s="1">
        <v>0.05</v>
      </c>
      <c r="G383">
        <f t="shared" si="5"/>
        <v>1499.93</v>
      </c>
      <c r="H383" t="str">
        <f>VLOOKUP(C383,[1]products!$A:$B,2,FALSE)</f>
        <v>Ritchey Timberwolf Frameset - 2016</v>
      </c>
      <c r="I383">
        <f>VLOOKUP(C383,[1]products!$A:$D,4,FALSE)</f>
        <v>6</v>
      </c>
      <c r="J383" t="str">
        <f>VLOOKUP(I383,[2]categories!$A$1:$B$8,2,FALSE)</f>
        <v>Mountain Bikes</v>
      </c>
    </row>
    <row r="384" customHeight="1" spans="1:10">
      <c r="A384" s="1">
        <v>132</v>
      </c>
      <c r="B384" s="1">
        <v>2</v>
      </c>
      <c r="C384" s="1">
        <v>20</v>
      </c>
      <c r="D384" s="1">
        <v>1</v>
      </c>
      <c r="E384" s="1">
        <v>599.99</v>
      </c>
      <c r="F384" s="1">
        <v>0.05</v>
      </c>
      <c r="G384">
        <f t="shared" si="5"/>
        <v>599.94</v>
      </c>
      <c r="H384" t="str">
        <f>VLOOKUP(C384,[1]products!$A:$B,2,FALSE)</f>
        <v>Electra Townie Original 7D EQ - Women's - 2016</v>
      </c>
      <c r="I384">
        <f>VLOOKUP(C384,[1]products!$A:$D,4,FALSE)</f>
        <v>3</v>
      </c>
      <c r="J384" t="str">
        <f>VLOOKUP(I384,[2]categories!$A$1:$B$8,2,FALSE)</f>
        <v>Cruisers Bicycles</v>
      </c>
    </row>
    <row r="385" customHeight="1" spans="1:10">
      <c r="A385" s="1">
        <v>132</v>
      </c>
      <c r="B385" s="1">
        <v>3</v>
      </c>
      <c r="C385" s="1">
        <v>9</v>
      </c>
      <c r="D385" s="1">
        <v>1</v>
      </c>
      <c r="E385" s="1">
        <v>2999.99</v>
      </c>
      <c r="F385" s="1">
        <v>0.1</v>
      </c>
      <c r="G385">
        <f t="shared" si="5"/>
        <v>2999.89</v>
      </c>
      <c r="H385" t="str">
        <f>VLOOKUP(C385,[1]products!$A:$B,2,FALSE)</f>
        <v>Trek Conduit+ - 2016</v>
      </c>
      <c r="I385">
        <f>VLOOKUP(C385,[1]products!$A:$D,4,FALSE)</f>
        <v>5</v>
      </c>
      <c r="J385" t="str">
        <f>VLOOKUP(I385,[2]categories!$A$1:$B$8,2,FALSE)</f>
        <v>Electric Bikes</v>
      </c>
    </row>
    <row r="386" customHeight="1" spans="1:10">
      <c r="A386" s="1">
        <v>133</v>
      </c>
      <c r="B386" s="1">
        <v>1</v>
      </c>
      <c r="C386" s="1">
        <v>13</v>
      </c>
      <c r="D386" s="1">
        <v>2</v>
      </c>
      <c r="E386" s="1">
        <v>269.99</v>
      </c>
      <c r="F386" s="1">
        <v>0.05</v>
      </c>
      <c r="G386">
        <f t="shared" si="5"/>
        <v>539.93</v>
      </c>
      <c r="H386" t="str">
        <f>VLOOKUP(C386,[1]products!$A:$B,2,FALSE)</f>
        <v>Electra Cruiser 1 (24-Inch) - 2016</v>
      </c>
      <c r="I386">
        <f>VLOOKUP(C386,[1]products!$A:$D,4,FALSE)</f>
        <v>3</v>
      </c>
      <c r="J386" t="str">
        <f>VLOOKUP(I386,[2]categories!$A$1:$B$8,2,FALSE)</f>
        <v>Cruisers Bicycles</v>
      </c>
    </row>
    <row r="387" customHeight="1" spans="1:10">
      <c r="A387" s="1">
        <v>133</v>
      </c>
      <c r="B387" s="1">
        <v>2</v>
      </c>
      <c r="C387" s="1">
        <v>22</v>
      </c>
      <c r="D387" s="1">
        <v>1</v>
      </c>
      <c r="E387" s="1">
        <v>269.99</v>
      </c>
      <c r="F387" s="1">
        <v>0.2</v>
      </c>
      <c r="G387">
        <f t="shared" ref="G387:G450" si="6">(E387*D387)-F387</f>
        <v>269.79</v>
      </c>
      <c r="H387" t="str">
        <f>VLOOKUP(C387,[1]products!$A:$B,2,FALSE)</f>
        <v>Electra Girl's Hawaii 1 (16-inch) - 2015/2016</v>
      </c>
      <c r="I387">
        <f>VLOOKUP(C387,[1]products!$A:$D,4,FALSE)</f>
        <v>1</v>
      </c>
      <c r="J387" t="str">
        <f>VLOOKUP(I387,[2]categories!$A$1:$B$8,2,FALSE)</f>
        <v>Children Bicycles</v>
      </c>
    </row>
    <row r="388" customHeight="1" spans="1:10">
      <c r="A388" s="1">
        <v>134</v>
      </c>
      <c r="B388" s="1">
        <v>1</v>
      </c>
      <c r="C388" s="1">
        <v>19</v>
      </c>
      <c r="D388" s="1">
        <v>2</v>
      </c>
      <c r="E388" s="1">
        <v>449</v>
      </c>
      <c r="F388" s="1">
        <v>0.1</v>
      </c>
      <c r="G388">
        <f t="shared" si="6"/>
        <v>897.9</v>
      </c>
      <c r="H388" t="str">
        <f>VLOOKUP(C388,[1]products!$A:$B,2,FALSE)</f>
        <v>Pure Cycles William 3-Speed - 2016</v>
      </c>
      <c r="I388">
        <f>VLOOKUP(C388,[1]products!$A:$D,4,FALSE)</f>
        <v>3</v>
      </c>
      <c r="J388" t="str">
        <f>VLOOKUP(I388,[2]categories!$A$1:$B$8,2,FALSE)</f>
        <v>Cruisers Bicycles</v>
      </c>
    </row>
    <row r="389" customHeight="1" spans="1:10">
      <c r="A389" s="1">
        <v>134</v>
      </c>
      <c r="B389" s="1">
        <v>2</v>
      </c>
      <c r="C389" s="1">
        <v>2</v>
      </c>
      <c r="D389" s="1">
        <v>2</v>
      </c>
      <c r="E389" s="1">
        <v>749.99</v>
      </c>
      <c r="F389" s="1">
        <v>0.07</v>
      </c>
      <c r="G389">
        <f t="shared" si="6"/>
        <v>1499.91</v>
      </c>
      <c r="H389" t="str">
        <f>VLOOKUP(C389,[1]products!$A:$B,2,FALSE)</f>
        <v>Ritchey Timberwolf Frameset - 2016</v>
      </c>
      <c r="I389">
        <f>VLOOKUP(C389,[1]products!$A:$D,4,FALSE)</f>
        <v>6</v>
      </c>
      <c r="J389" t="str">
        <f>VLOOKUP(I389,[2]categories!$A$1:$B$8,2,FALSE)</f>
        <v>Mountain Bikes</v>
      </c>
    </row>
    <row r="390" customHeight="1" spans="1:10">
      <c r="A390" s="1">
        <v>134</v>
      </c>
      <c r="B390" s="1">
        <v>3</v>
      </c>
      <c r="C390" s="1">
        <v>18</v>
      </c>
      <c r="D390" s="1">
        <v>2</v>
      </c>
      <c r="E390" s="1">
        <v>449</v>
      </c>
      <c r="F390" s="1">
        <v>0.07</v>
      </c>
      <c r="G390">
        <f t="shared" si="6"/>
        <v>897.93</v>
      </c>
      <c r="H390" t="str">
        <f>VLOOKUP(C390,[1]products!$A:$B,2,FALSE)</f>
        <v>Pure Cycles Western 3-Speed - Women's - 2015/2016</v>
      </c>
      <c r="I390">
        <f>VLOOKUP(C390,[1]products!$A:$D,4,FALSE)</f>
        <v>3</v>
      </c>
      <c r="J390" t="str">
        <f>VLOOKUP(I390,[2]categories!$A$1:$B$8,2,FALSE)</f>
        <v>Cruisers Bicycles</v>
      </c>
    </row>
    <row r="391" customHeight="1" spans="1:10">
      <c r="A391" s="1">
        <v>135</v>
      </c>
      <c r="B391" s="1">
        <v>1</v>
      </c>
      <c r="C391" s="1">
        <v>5</v>
      </c>
      <c r="D391" s="1">
        <v>2</v>
      </c>
      <c r="E391" s="1">
        <v>1320.99</v>
      </c>
      <c r="F391" s="1">
        <v>0.05</v>
      </c>
      <c r="G391">
        <f t="shared" si="6"/>
        <v>2641.93</v>
      </c>
      <c r="H391" t="str">
        <f>VLOOKUP(C391,[1]products!$A:$B,2,FALSE)</f>
        <v>Heller Shagamaw Frame - 2016</v>
      </c>
      <c r="I391">
        <f>VLOOKUP(C391,[1]products!$A:$D,4,FALSE)</f>
        <v>6</v>
      </c>
      <c r="J391" t="str">
        <f>VLOOKUP(I391,[2]categories!$A$1:$B$8,2,FALSE)</f>
        <v>Mountain Bikes</v>
      </c>
    </row>
    <row r="392" customHeight="1" spans="1:10">
      <c r="A392" s="1">
        <v>135</v>
      </c>
      <c r="B392" s="1">
        <v>2</v>
      </c>
      <c r="C392" s="1">
        <v>18</v>
      </c>
      <c r="D392" s="1">
        <v>2</v>
      </c>
      <c r="E392" s="1">
        <v>449</v>
      </c>
      <c r="F392" s="1">
        <v>0.05</v>
      </c>
      <c r="G392">
        <f t="shared" si="6"/>
        <v>897.95</v>
      </c>
      <c r="H392" t="str">
        <f>VLOOKUP(C392,[1]products!$A:$B,2,FALSE)</f>
        <v>Pure Cycles Western 3-Speed - Women's - 2015/2016</v>
      </c>
      <c r="I392">
        <f>VLOOKUP(C392,[1]products!$A:$D,4,FALSE)</f>
        <v>3</v>
      </c>
      <c r="J392" t="str">
        <f>VLOOKUP(I392,[2]categories!$A$1:$B$8,2,FALSE)</f>
        <v>Cruisers Bicycles</v>
      </c>
    </row>
    <row r="393" customHeight="1" spans="1:10">
      <c r="A393" s="1">
        <v>135</v>
      </c>
      <c r="B393" s="1">
        <v>3</v>
      </c>
      <c r="C393" s="1">
        <v>25</v>
      </c>
      <c r="D393" s="1">
        <v>1</v>
      </c>
      <c r="E393" s="1">
        <v>499.99</v>
      </c>
      <c r="F393" s="1">
        <v>0.2</v>
      </c>
      <c r="G393">
        <f t="shared" si="6"/>
        <v>499.79</v>
      </c>
      <c r="H393" t="str">
        <f>VLOOKUP(C393,[1]products!$A:$B,2,FALSE)</f>
        <v>Electra Townie Original 7D - 2015/2016</v>
      </c>
      <c r="I393">
        <f>VLOOKUP(C393,[1]products!$A:$D,4,FALSE)</f>
        <v>2</v>
      </c>
      <c r="J393" t="str">
        <f>VLOOKUP(I393,[2]categories!$A$1:$B$8,2,FALSE)</f>
        <v>Comfort Bicycles</v>
      </c>
    </row>
    <row r="394" customHeight="1" spans="1:10">
      <c r="A394" s="1">
        <v>135</v>
      </c>
      <c r="B394" s="1">
        <v>4</v>
      </c>
      <c r="C394" s="1">
        <v>2</v>
      </c>
      <c r="D394" s="1">
        <v>1</v>
      </c>
      <c r="E394" s="1">
        <v>749.99</v>
      </c>
      <c r="F394" s="1">
        <v>0.05</v>
      </c>
      <c r="G394">
        <f t="shared" si="6"/>
        <v>749.94</v>
      </c>
      <c r="H394" t="str">
        <f>VLOOKUP(C394,[1]products!$A:$B,2,FALSE)</f>
        <v>Ritchey Timberwolf Frameset - 2016</v>
      </c>
      <c r="I394">
        <f>VLOOKUP(C394,[1]products!$A:$D,4,FALSE)</f>
        <v>6</v>
      </c>
      <c r="J394" t="str">
        <f>VLOOKUP(I394,[2]categories!$A$1:$B$8,2,FALSE)</f>
        <v>Mountain Bikes</v>
      </c>
    </row>
    <row r="395" customHeight="1" spans="1:10">
      <c r="A395" s="1">
        <v>136</v>
      </c>
      <c r="B395" s="1">
        <v>1</v>
      </c>
      <c r="C395" s="1">
        <v>7</v>
      </c>
      <c r="D395" s="1">
        <v>2</v>
      </c>
      <c r="E395" s="1">
        <v>3999.99</v>
      </c>
      <c r="F395" s="1">
        <v>0.2</v>
      </c>
      <c r="G395">
        <f t="shared" si="6"/>
        <v>7999.78</v>
      </c>
      <c r="H395" t="str">
        <f>VLOOKUP(C395,[1]products!$A:$B,2,FALSE)</f>
        <v>Trek Slash 8 27.5 - 2016</v>
      </c>
      <c r="I395">
        <f>VLOOKUP(C395,[1]products!$A:$D,4,FALSE)</f>
        <v>6</v>
      </c>
      <c r="J395" t="str">
        <f>VLOOKUP(I395,[2]categories!$A$1:$B$8,2,FALSE)</f>
        <v>Mountain Bikes</v>
      </c>
    </row>
    <row r="396" customHeight="1" spans="1:10">
      <c r="A396" s="1">
        <v>136</v>
      </c>
      <c r="B396" s="1">
        <v>2</v>
      </c>
      <c r="C396" s="1">
        <v>3</v>
      </c>
      <c r="D396" s="1">
        <v>2</v>
      </c>
      <c r="E396" s="1">
        <v>999.99</v>
      </c>
      <c r="F396" s="1">
        <v>0.05</v>
      </c>
      <c r="G396">
        <f t="shared" si="6"/>
        <v>1999.93</v>
      </c>
      <c r="H396" t="str">
        <f>VLOOKUP(C396,[1]products!$A:$B,2,FALSE)</f>
        <v>Surly Wednesday Frameset - 2016</v>
      </c>
      <c r="I396">
        <f>VLOOKUP(C396,[1]products!$A:$D,4,FALSE)</f>
        <v>6</v>
      </c>
      <c r="J396" t="str">
        <f>VLOOKUP(I396,[2]categories!$A$1:$B$8,2,FALSE)</f>
        <v>Mountain Bikes</v>
      </c>
    </row>
    <row r="397" customHeight="1" spans="1:10">
      <c r="A397" s="1">
        <v>137</v>
      </c>
      <c r="B397" s="1">
        <v>1</v>
      </c>
      <c r="C397" s="1">
        <v>23</v>
      </c>
      <c r="D397" s="1">
        <v>1</v>
      </c>
      <c r="E397" s="1">
        <v>299.99</v>
      </c>
      <c r="F397" s="1">
        <v>0.07</v>
      </c>
      <c r="G397">
        <f t="shared" si="6"/>
        <v>299.92</v>
      </c>
      <c r="H397" t="str">
        <f>VLOOKUP(C397,[1]products!$A:$B,2,FALSE)</f>
        <v>Electra Girl's Hawaii 1 (20-inch) - 2015/2016</v>
      </c>
      <c r="I397">
        <f>VLOOKUP(C397,[1]products!$A:$D,4,FALSE)</f>
        <v>1</v>
      </c>
      <c r="J397" t="str">
        <f>VLOOKUP(I397,[2]categories!$A$1:$B$8,2,FALSE)</f>
        <v>Children Bicycles</v>
      </c>
    </row>
    <row r="398" customHeight="1" spans="1:10">
      <c r="A398" s="1">
        <v>137</v>
      </c>
      <c r="B398" s="1">
        <v>2</v>
      </c>
      <c r="C398" s="1">
        <v>22</v>
      </c>
      <c r="D398" s="1">
        <v>1</v>
      </c>
      <c r="E398" s="1">
        <v>269.99</v>
      </c>
      <c r="F398" s="1">
        <v>0.1</v>
      </c>
      <c r="G398">
        <f t="shared" si="6"/>
        <v>269.89</v>
      </c>
      <c r="H398" t="str">
        <f>VLOOKUP(C398,[1]products!$A:$B,2,FALSE)</f>
        <v>Electra Girl's Hawaii 1 (16-inch) - 2015/2016</v>
      </c>
      <c r="I398">
        <f>VLOOKUP(C398,[1]products!$A:$D,4,FALSE)</f>
        <v>1</v>
      </c>
      <c r="J398" t="str">
        <f>VLOOKUP(I398,[2]categories!$A$1:$B$8,2,FALSE)</f>
        <v>Children Bicycles</v>
      </c>
    </row>
    <row r="399" customHeight="1" spans="1:10">
      <c r="A399" s="1">
        <v>138</v>
      </c>
      <c r="B399" s="1">
        <v>1</v>
      </c>
      <c r="C399" s="1">
        <v>16</v>
      </c>
      <c r="D399" s="1">
        <v>2</v>
      </c>
      <c r="E399" s="1">
        <v>599.99</v>
      </c>
      <c r="F399" s="1">
        <v>0.1</v>
      </c>
      <c r="G399">
        <f t="shared" si="6"/>
        <v>1199.88</v>
      </c>
      <c r="H399" t="str">
        <f>VLOOKUP(C399,[1]products!$A:$B,2,FALSE)</f>
        <v>Electra Townie Original 7D EQ - 2016</v>
      </c>
      <c r="I399">
        <f>VLOOKUP(C399,[1]products!$A:$D,4,FALSE)</f>
        <v>3</v>
      </c>
      <c r="J399" t="str">
        <f>VLOOKUP(I399,[2]categories!$A$1:$B$8,2,FALSE)</f>
        <v>Cruisers Bicycles</v>
      </c>
    </row>
    <row r="400" customHeight="1" spans="1:10">
      <c r="A400" s="1">
        <v>138</v>
      </c>
      <c r="B400" s="1">
        <v>2</v>
      </c>
      <c r="C400" s="1">
        <v>6</v>
      </c>
      <c r="D400" s="1">
        <v>1</v>
      </c>
      <c r="E400" s="1">
        <v>469.99</v>
      </c>
      <c r="F400" s="1">
        <v>0.2</v>
      </c>
      <c r="G400">
        <f t="shared" si="6"/>
        <v>469.79</v>
      </c>
      <c r="H400" t="str">
        <f>VLOOKUP(C400,[1]products!$A:$B,2,FALSE)</f>
        <v>Surly Ice Cream Truck Frameset - 2016</v>
      </c>
      <c r="I400">
        <f>VLOOKUP(C400,[1]products!$A:$D,4,FALSE)</f>
        <v>6</v>
      </c>
      <c r="J400" t="str">
        <f>VLOOKUP(I400,[2]categories!$A$1:$B$8,2,FALSE)</f>
        <v>Mountain Bikes</v>
      </c>
    </row>
    <row r="401" customHeight="1" spans="1:10">
      <c r="A401" s="1">
        <v>139</v>
      </c>
      <c r="B401" s="1">
        <v>1</v>
      </c>
      <c r="C401" s="1">
        <v>19</v>
      </c>
      <c r="D401" s="1">
        <v>2</v>
      </c>
      <c r="E401" s="1">
        <v>449</v>
      </c>
      <c r="F401" s="1">
        <v>0.07</v>
      </c>
      <c r="G401">
        <f t="shared" si="6"/>
        <v>897.93</v>
      </c>
      <c r="H401" t="str">
        <f>VLOOKUP(C401,[1]products!$A:$B,2,FALSE)</f>
        <v>Pure Cycles William 3-Speed - 2016</v>
      </c>
      <c r="I401">
        <f>VLOOKUP(C401,[1]products!$A:$D,4,FALSE)</f>
        <v>3</v>
      </c>
      <c r="J401" t="str">
        <f>VLOOKUP(I401,[2]categories!$A$1:$B$8,2,FALSE)</f>
        <v>Cruisers Bicycles</v>
      </c>
    </row>
    <row r="402" customHeight="1" spans="1:10">
      <c r="A402" s="1">
        <v>139</v>
      </c>
      <c r="B402" s="1">
        <v>2</v>
      </c>
      <c r="C402" s="1">
        <v>3</v>
      </c>
      <c r="D402" s="1">
        <v>1</v>
      </c>
      <c r="E402" s="1">
        <v>999.99</v>
      </c>
      <c r="F402" s="1">
        <v>0.07</v>
      </c>
      <c r="G402">
        <f t="shared" si="6"/>
        <v>999.92</v>
      </c>
      <c r="H402" t="str">
        <f>VLOOKUP(C402,[1]products!$A:$B,2,FALSE)</f>
        <v>Surly Wednesday Frameset - 2016</v>
      </c>
      <c r="I402">
        <f>VLOOKUP(C402,[1]products!$A:$D,4,FALSE)</f>
        <v>6</v>
      </c>
      <c r="J402" t="str">
        <f>VLOOKUP(I402,[2]categories!$A$1:$B$8,2,FALSE)</f>
        <v>Mountain Bikes</v>
      </c>
    </row>
    <row r="403" customHeight="1" spans="1:10">
      <c r="A403" s="1">
        <v>140</v>
      </c>
      <c r="B403" s="1">
        <v>1</v>
      </c>
      <c r="C403" s="1">
        <v>15</v>
      </c>
      <c r="D403" s="1">
        <v>1</v>
      </c>
      <c r="E403" s="1">
        <v>529.99</v>
      </c>
      <c r="F403" s="1">
        <v>0.2</v>
      </c>
      <c r="G403">
        <f t="shared" si="6"/>
        <v>529.79</v>
      </c>
      <c r="H403" t="str">
        <f>VLOOKUP(C403,[1]products!$A:$B,2,FALSE)</f>
        <v>Electra Moto 1 - 2016</v>
      </c>
      <c r="I403">
        <f>VLOOKUP(C403,[1]products!$A:$D,4,FALSE)</f>
        <v>3</v>
      </c>
      <c r="J403" t="str">
        <f>VLOOKUP(I403,[2]categories!$A$1:$B$8,2,FALSE)</f>
        <v>Cruisers Bicycles</v>
      </c>
    </row>
    <row r="404" customHeight="1" spans="1:10">
      <c r="A404" s="1">
        <v>140</v>
      </c>
      <c r="B404" s="1">
        <v>2</v>
      </c>
      <c r="C404" s="1">
        <v>21</v>
      </c>
      <c r="D404" s="1">
        <v>1</v>
      </c>
      <c r="E404" s="1">
        <v>269.99</v>
      </c>
      <c r="F404" s="1">
        <v>0.2</v>
      </c>
      <c r="G404">
        <f t="shared" si="6"/>
        <v>269.79</v>
      </c>
      <c r="H404" t="str">
        <f>VLOOKUP(C404,[1]products!$A:$B,2,FALSE)</f>
        <v>Electra Cruiser 1 (24-Inch) - 2016</v>
      </c>
      <c r="I404">
        <f>VLOOKUP(C404,[1]products!$A:$D,4,FALSE)</f>
        <v>1</v>
      </c>
      <c r="J404" t="str">
        <f>VLOOKUP(I404,[2]categories!$A$1:$B$8,2,FALSE)</f>
        <v>Children Bicycles</v>
      </c>
    </row>
    <row r="405" customHeight="1" spans="1:10">
      <c r="A405" s="1">
        <v>140</v>
      </c>
      <c r="B405" s="1">
        <v>3</v>
      </c>
      <c r="C405" s="1">
        <v>12</v>
      </c>
      <c r="D405" s="1">
        <v>2</v>
      </c>
      <c r="E405" s="1">
        <v>549.99</v>
      </c>
      <c r="F405" s="1">
        <v>0.2</v>
      </c>
      <c r="G405">
        <f t="shared" si="6"/>
        <v>1099.78</v>
      </c>
      <c r="H405" t="str">
        <f>VLOOKUP(C405,[1]products!$A:$B,2,FALSE)</f>
        <v>Electra Townie Original 21D - 2016</v>
      </c>
      <c r="I405">
        <f>VLOOKUP(C405,[1]products!$A:$D,4,FALSE)</f>
        <v>3</v>
      </c>
      <c r="J405" t="str">
        <f>VLOOKUP(I405,[2]categories!$A$1:$B$8,2,FALSE)</f>
        <v>Cruisers Bicycles</v>
      </c>
    </row>
    <row r="406" customHeight="1" spans="1:10">
      <c r="A406" s="1">
        <v>140</v>
      </c>
      <c r="B406" s="1">
        <v>4</v>
      </c>
      <c r="C406" s="1">
        <v>3</v>
      </c>
      <c r="D406" s="1">
        <v>1</v>
      </c>
      <c r="E406" s="1">
        <v>999.99</v>
      </c>
      <c r="F406" s="1">
        <v>0.05</v>
      </c>
      <c r="G406">
        <f t="shared" si="6"/>
        <v>999.94</v>
      </c>
      <c r="H406" t="str">
        <f>VLOOKUP(C406,[1]products!$A:$B,2,FALSE)</f>
        <v>Surly Wednesday Frameset - 2016</v>
      </c>
      <c r="I406">
        <f>VLOOKUP(C406,[1]products!$A:$D,4,FALSE)</f>
        <v>6</v>
      </c>
      <c r="J406" t="str">
        <f>VLOOKUP(I406,[2]categories!$A$1:$B$8,2,FALSE)</f>
        <v>Mountain Bikes</v>
      </c>
    </row>
    <row r="407" customHeight="1" spans="1:10">
      <c r="A407" s="1">
        <v>141</v>
      </c>
      <c r="B407" s="1">
        <v>1</v>
      </c>
      <c r="C407" s="1">
        <v>18</v>
      </c>
      <c r="D407" s="1">
        <v>1</v>
      </c>
      <c r="E407" s="1">
        <v>449</v>
      </c>
      <c r="F407" s="1">
        <v>0.2</v>
      </c>
      <c r="G407">
        <f t="shared" si="6"/>
        <v>448.8</v>
      </c>
      <c r="H407" t="str">
        <f>VLOOKUP(C407,[1]products!$A:$B,2,FALSE)</f>
        <v>Pure Cycles Western 3-Speed - Women's - 2015/2016</v>
      </c>
      <c r="I407">
        <f>VLOOKUP(C407,[1]products!$A:$D,4,FALSE)</f>
        <v>3</v>
      </c>
      <c r="J407" t="str">
        <f>VLOOKUP(I407,[2]categories!$A$1:$B$8,2,FALSE)</f>
        <v>Cruisers Bicycles</v>
      </c>
    </row>
    <row r="408" customHeight="1" spans="1:10">
      <c r="A408" s="1">
        <v>142</v>
      </c>
      <c r="B408" s="1">
        <v>1</v>
      </c>
      <c r="C408" s="1">
        <v>16</v>
      </c>
      <c r="D408" s="1">
        <v>2</v>
      </c>
      <c r="E408" s="1">
        <v>599.99</v>
      </c>
      <c r="F408" s="1">
        <v>0.1</v>
      </c>
      <c r="G408">
        <f t="shared" si="6"/>
        <v>1199.88</v>
      </c>
      <c r="H408" t="str">
        <f>VLOOKUP(C408,[1]products!$A:$B,2,FALSE)</f>
        <v>Electra Townie Original 7D EQ - 2016</v>
      </c>
      <c r="I408">
        <f>VLOOKUP(C408,[1]products!$A:$D,4,FALSE)</f>
        <v>3</v>
      </c>
      <c r="J408" t="str">
        <f>VLOOKUP(I408,[2]categories!$A$1:$B$8,2,FALSE)</f>
        <v>Cruisers Bicycles</v>
      </c>
    </row>
    <row r="409" customHeight="1" spans="1:10">
      <c r="A409" s="1">
        <v>142</v>
      </c>
      <c r="B409" s="1">
        <v>2</v>
      </c>
      <c r="C409" s="1">
        <v>11</v>
      </c>
      <c r="D409" s="1">
        <v>2</v>
      </c>
      <c r="E409" s="1">
        <v>1680.99</v>
      </c>
      <c r="F409" s="1">
        <v>0.1</v>
      </c>
      <c r="G409">
        <f t="shared" si="6"/>
        <v>3361.88</v>
      </c>
      <c r="H409" t="str">
        <f>VLOOKUP(C409,[1]products!$A:$B,2,FALSE)</f>
        <v>Surly Straggler 650b - 2016</v>
      </c>
      <c r="I409">
        <f>VLOOKUP(C409,[1]products!$A:$D,4,FALSE)</f>
        <v>4</v>
      </c>
      <c r="J409" t="str">
        <f>VLOOKUP(I409,[2]categories!$A$1:$B$8,2,FALSE)</f>
        <v>Cyclocross Bicycles</v>
      </c>
    </row>
    <row r="410" customHeight="1" spans="1:10">
      <c r="A410" s="1">
        <v>142</v>
      </c>
      <c r="B410" s="1">
        <v>3</v>
      </c>
      <c r="C410" s="1">
        <v>19</v>
      </c>
      <c r="D410" s="1">
        <v>1</v>
      </c>
      <c r="E410" s="1">
        <v>449</v>
      </c>
      <c r="F410" s="1">
        <v>0.07</v>
      </c>
      <c r="G410">
        <f t="shared" si="6"/>
        <v>448.93</v>
      </c>
      <c r="H410" t="str">
        <f>VLOOKUP(C410,[1]products!$A:$B,2,FALSE)</f>
        <v>Pure Cycles William 3-Speed - 2016</v>
      </c>
      <c r="I410">
        <f>VLOOKUP(C410,[1]products!$A:$D,4,FALSE)</f>
        <v>3</v>
      </c>
      <c r="J410" t="str">
        <f>VLOOKUP(I410,[2]categories!$A$1:$B$8,2,FALSE)</f>
        <v>Cruisers Bicycles</v>
      </c>
    </row>
    <row r="411" customHeight="1" spans="1:10">
      <c r="A411" s="1">
        <v>143</v>
      </c>
      <c r="B411" s="1">
        <v>1</v>
      </c>
      <c r="C411" s="1">
        <v>6</v>
      </c>
      <c r="D411" s="1">
        <v>1</v>
      </c>
      <c r="E411" s="1">
        <v>469.99</v>
      </c>
      <c r="F411" s="1">
        <v>0.2</v>
      </c>
      <c r="G411">
        <f t="shared" si="6"/>
        <v>469.79</v>
      </c>
      <c r="H411" t="str">
        <f>VLOOKUP(C411,[1]products!$A:$B,2,FALSE)</f>
        <v>Surly Ice Cream Truck Frameset - 2016</v>
      </c>
      <c r="I411">
        <f>VLOOKUP(C411,[1]products!$A:$D,4,FALSE)</f>
        <v>6</v>
      </c>
      <c r="J411" t="str">
        <f>VLOOKUP(I411,[2]categories!$A$1:$B$8,2,FALSE)</f>
        <v>Mountain Bikes</v>
      </c>
    </row>
    <row r="412" customHeight="1" spans="1:10">
      <c r="A412" s="1">
        <v>144</v>
      </c>
      <c r="B412" s="1">
        <v>1</v>
      </c>
      <c r="C412" s="1">
        <v>8</v>
      </c>
      <c r="D412" s="1">
        <v>2</v>
      </c>
      <c r="E412" s="1">
        <v>1799.99</v>
      </c>
      <c r="F412" s="1">
        <v>0.05</v>
      </c>
      <c r="G412">
        <f t="shared" si="6"/>
        <v>3599.93</v>
      </c>
      <c r="H412" t="str">
        <f>VLOOKUP(C412,[1]products!$A:$B,2,FALSE)</f>
        <v>Trek Remedy 29 Carbon Frameset - 2016</v>
      </c>
      <c r="I412">
        <f>VLOOKUP(C412,[1]products!$A:$D,4,FALSE)</f>
        <v>6</v>
      </c>
      <c r="J412" t="str">
        <f>VLOOKUP(I412,[2]categories!$A$1:$B$8,2,FALSE)</f>
        <v>Mountain Bikes</v>
      </c>
    </row>
    <row r="413" customHeight="1" spans="1:10">
      <c r="A413" s="1">
        <v>145</v>
      </c>
      <c r="B413" s="1">
        <v>1</v>
      </c>
      <c r="C413" s="1">
        <v>11</v>
      </c>
      <c r="D413" s="1">
        <v>1</v>
      </c>
      <c r="E413" s="1">
        <v>1680.99</v>
      </c>
      <c r="F413" s="1">
        <v>0.2</v>
      </c>
      <c r="G413">
        <f t="shared" si="6"/>
        <v>1680.79</v>
      </c>
      <c r="H413" t="str">
        <f>VLOOKUP(C413,[1]products!$A:$B,2,FALSE)</f>
        <v>Surly Straggler 650b - 2016</v>
      </c>
      <c r="I413">
        <f>VLOOKUP(C413,[1]products!$A:$D,4,FALSE)</f>
        <v>4</v>
      </c>
      <c r="J413" t="str">
        <f>VLOOKUP(I413,[2]categories!$A$1:$B$8,2,FALSE)</f>
        <v>Cyclocross Bicycles</v>
      </c>
    </row>
    <row r="414" customHeight="1" spans="1:10">
      <c r="A414" s="1">
        <v>145</v>
      </c>
      <c r="B414" s="1">
        <v>2</v>
      </c>
      <c r="C414" s="1">
        <v>9</v>
      </c>
      <c r="D414" s="1">
        <v>2</v>
      </c>
      <c r="E414" s="1">
        <v>2999.99</v>
      </c>
      <c r="F414" s="1">
        <v>0.1</v>
      </c>
      <c r="G414">
        <f t="shared" si="6"/>
        <v>5999.88</v>
      </c>
      <c r="H414" t="str">
        <f>VLOOKUP(C414,[1]products!$A:$B,2,FALSE)</f>
        <v>Trek Conduit+ - 2016</v>
      </c>
      <c r="I414">
        <f>VLOOKUP(C414,[1]products!$A:$D,4,FALSE)</f>
        <v>5</v>
      </c>
      <c r="J414" t="str">
        <f>VLOOKUP(I414,[2]categories!$A$1:$B$8,2,FALSE)</f>
        <v>Electric Bikes</v>
      </c>
    </row>
    <row r="415" customHeight="1" spans="1:10">
      <c r="A415" s="1">
        <v>146</v>
      </c>
      <c r="B415" s="1">
        <v>1</v>
      </c>
      <c r="C415" s="1">
        <v>3</v>
      </c>
      <c r="D415" s="1">
        <v>2</v>
      </c>
      <c r="E415" s="1">
        <v>999.99</v>
      </c>
      <c r="F415" s="1">
        <v>0.2</v>
      </c>
      <c r="G415">
        <f t="shared" si="6"/>
        <v>1999.78</v>
      </c>
      <c r="H415" t="str">
        <f>VLOOKUP(C415,[1]products!$A:$B,2,FALSE)</f>
        <v>Surly Wednesday Frameset - 2016</v>
      </c>
      <c r="I415">
        <f>VLOOKUP(C415,[1]products!$A:$D,4,FALSE)</f>
        <v>6</v>
      </c>
      <c r="J415" t="str">
        <f>VLOOKUP(I415,[2]categories!$A$1:$B$8,2,FALSE)</f>
        <v>Mountain Bikes</v>
      </c>
    </row>
    <row r="416" customHeight="1" spans="1:10">
      <c r="A416" s="1">
        <v>146</v>
      </c>
      <c r="B416" s="1">
        <v>2</v>
      </c>
      <c r="C416" s="1">
        <v>12</v>
      </c>
      <c r="D416" s="1">
        <v>1</v>
      </c>
      <c r="E416" s="1">
        <v>549.99</v>
      </c>
      <c r="F416" s="1">
        <v>0.1</v>
      </c>
      <c r="G416">
        <f t="shared" si="6"/>
        <v>549.89</v>
      </c>
      <c r="H416" t="str">
        <f>VLOOKUP(C416,[1]products!$A:$B,2,FALSE)</f>
        <v>Electra Townie Original 21D - 2016</v>
      </c>
      <c r="I416">
        <f>VLOOKUP(C416,[1]products!$A:$D,4,FALSE)</f>
        <v>3</v>
      </c>
      <c r="J416" t="str">
        <f>VLOOKUP(I416,[2]categories!$A$1:$B$8,2,FALSE)</f>
        <v>Cruisers Bicycles</v>
      </c>
    </row>
    <row r="417" customHeight="1" spans="1:10">
      <c r="A417" s="1">
        <v>146</v>
      </c>
      <c r="B417" s="1">
        <v>3</v>
      </c>
      <c r="C417" s="1">
        <v>20</v>
      </c>
      <c r="D417" s="1">
        <v>2</v>
      </c>
      <c r="E417" s="1">
        <v>599.99</v>
      </c>
      <c r="F417" s="1">
        <v>0.1</v>
      </c>
      <c r="G417">
        <f t="shared" si="6"/>
        <v>1199.88</v>
      </c>
      <c r="H417" t="str">
        <f>VLOOKUP(C417,[1]products!$A:$B,2,FALSE)</f>
        <v>Electra Townie Original 7D EQ - Women's - 2016</v>
      </c>
      <c r="I417">
        <f>VLOOKUP(C417,[1]products!$A:$D,4,FALSE)</f>
        <v>3</v>
      </c>
      <c r="J417" t="str">
        <f>VLOOKUP(I417,[2]categories!$A$1:$B$8,2,FALSE)</f>
        <v>Cruisers Bicycles</v>
      </c>
    </row>
    <row r="418" customHeight="1" spans="1:10">
      <c r="A418" s="1">
        <v>146</v>
      </c>
      <c r="B418" s="1">
        <v>4</v>
      </c>
      <c r="C418" s="1">
        <v>6</v>
      </c>
      <c r="D418" s="1">
        <v>2</v>
      </c>
      <c r="E418" s="1">
        <v>469.99</v>
      </c>
      <c r="F418" s="1">
        <v>0.05</v>
      </c>
      <c r="G418">
        <f t="shared" si="6"/>
        <v>939.93</v>
      </c>
      <c r="H418" t="str">
        <f>VLOOKUP(C418,[1]products!$A:$B,2,FALSE)</f>
        <v>Surly Ice Cream Truck Frameset - 2016</v>
      </c>
      <c r="I418">
        <f>VLOOKUP(C418,[1]products!$A:$D,4,FALSE)</f>
        <v>6</v>
      </c>
      <c r="J418" t="str">
        <f>VLOOKUP(I418,[2]categories!$A$1:$B$8,2,FALSE)</f>
        <v>Mountain Bikes</v>
      </c>
    </row>
    <row r="419" customHeight="1" spans="1:10">
      <c r="A419" s="1">
        <v>146</v>
      </c>
      <c r="B419" s="1">
        <v>5</v>
      </c>
      <c r="C419" s="1">
        <v>2</v>
      </c>
      <c r="D419" s="1">
        <v>1</v>
      </c>
      <c r="E419" s="1">
        <v>749.99</v>
      </c>
      <c r="F419" s="1">
        <v>0.07</v>
      </c>
      <c r="G419">
        <f t="shared" si="6"/>
        <v>749.92</v>
      </c>
      <c r="H419" t="str">
        <f>VLOOKUP(C419,[1]products!$A:$B,2,FALSE)</f>
        <v>Ritchey Timberwolf Frameset - 2016</v>
      </c>
      <c r="I419">
        <f>VLOOKUP(C419,[1]products!$A:$D,4,FALSE)</f>
        <v>6</v>
      </c>
      <c r="J419" t="str">
        <f>VLOOKUP(I419,[2]categories!$A$1:$B$8,2,FALSE)</f>
        <v>Mountain Bikes</v>
      </c>
    </row>
    <row r="420" customHeight="1" spans="1:10">
      <c r="A420" s="1">
        <v>147</v>
      </c>
      <c r="B420" s="1">
        <v>1</v>
      </c>
      <c r="C420" s="1">
        <v>26</v>
      </c>
      <c r="D420" s="1">
        <v>2</v>
      </c>
      <c r="E420" s="1">
        <v>599.99</v>
      </c>
      <c r="F420" s="1">
        <v>0.2</v>
      </c>
      <c r="G420">
        <f t="shared" si="6"/>
        <v>1199.78</v>
      </c>
      <c r="H420" t="str">
        <f>VLOOKUP(C420,[1]products!$A:$B,2,FALSE)</f>
        <v>Electra Townie Original 7D EQ - 2016</v>
      </c>
      <c r="I420">
        <f>VLOOKUP(C420,[1]products!$A:$D,4,FALSE)</f>
        <v>2</v>
      </c>
      <c r="J420" t="str">
        <f>VLOOKUP(I420,[2]categories!$A$1:$B$8,2,FALSE)</f>
        <v>Comfort Bicycles</v>
      </c>
    </row>
    <row r="421" customHeight="1" spans="1:10">
      <c r="A421" s="1">
        <v>148</v>
      </c>
      <c r="B421" s="1">
        <v>1</v>
      </c>
      <c r="C421" s="1">
        <v>14</v>
      </c>
      <c r="D421" s="1">
        <v>1</v>
      </c>
      <c r="E421" s="1">
        <v>269.99</v>
      </c>
      <c r="F421" s="1">
        <v>0.05</v>
      </c>
      <c r="G421">
        <f t="shared" si="6"/>
        <v>269.94</v>
      </c>
      <c r="H421" t="str">
        <f>VLOOKUP(C421,[1]products!$A:$B,2,FALSE)</f>
        <v>Electra Girl's Hawaii 1 (16-inch) - 2015/2016</v>
      </c>
      <c r="I421">
        <f>VLOOKUP(C421,[1]products!$A:$D,4,FALSE)</f>
        <v>3</v>
      </c>
      <c r="J421" t="str">
        <f>VLOOKUP(I421,[2]categories!$A$1:$B$8,2,FALSE)</f>
        <v>Cruisers Bicycles</v>
      </c>
    </row>
    <row r="422" customHeight="1" spans="1:10">
      <c r="A422" s="1">
        <v>149</v>
      </c>
      <c r="B422" s="1">
        <v>1</v>
      </c>
      <c r="C422" s="1">
        <v>12</v>
      </c>
      <c r="D422" s="1">
        <v>2</v>
      </c>
      <c r="E422" s="1">
        <v>549.99</v>
      </c>
      <c r="F422" s="1">
        <v>0.07</v>
      </c>
      <c r="G422">
        <f t="shared" si="6"/>
        <v>1099.91</v>
      </c>
      <c r="H422" t="str">
        <f>VLOOKUP(C422,[1]products!$A:$B,2,FALSE)</f>
        <v>Electra Townie Original 21D - 2016</v>
      </c>
      <c r="I422">
        <f>VLOOKUP(C422,[1]products!$A:$D,4,FALSE)</f>
        <v>3</v>
      </c>
      <c r="J422" t="str">
        <f>VLOOKUP(I422,[2]categories!$A$1:$B$8,2,FALSE)</f>
        <v>Cruisers Bicycles</v>
      </c>
    </row>
    <row r="423" customHeight="1" spans="1:10">
      <c r="A423" s="1">
        <v>149</v>
      </c>
      <c r="B423" s="1">
        <v>2</v>
      </c>
      <c r="C423" s="1">
        <v>21</v>
      </c>
      <c r="D423" s="1">
        <v>2</v>
      </c>
      <c r="E423" s="1">
        <v>269.99</v>
      </c>
      <c r="F423" s="1">
        <v>0.07</v>
      </c>
      <c r="G423">
        <f t="shared" si="6"/>
        <v>539.91</v>
      </c>
      <c r="H423" t="str">
        <f>VLOOKUP(C423,[1]products!$A:$B,2,FALSE)</f>
        <v>Electra Cruiser 1 (24-Inch) - 2016</v>
      </c>
      <c r="I423">
        <f>VLOOKUP(C423,[1]products!$A:$D,4,FALSE)</f>
        <v>1</v>
      </c>
      <c r="J423" t="str">
        <f>VLOOKUP(I423,[2]categories!$A$1:$B$8,2,FALSE)</f>
        <v>Children Bicycles</v>
      </c>
    </row>
    <row r="424" customHeight="1" spans="1:10">
      <c r="A424" s="1">
        <v>150</v>
      </c>
      <c r="B424" s="1">
        <v>1</v>
      </c>
      <c r="C424" s="1">
        <v>7</v>
      </c>
      <c r="D424" s="1">
        <v>1</v>
      </c>
      <c r="E424" s="1">
        <v>3999.99</v>
      </c>
      <c r="F424" s="1">
        <v>0.1</v>
      </c>
      <c r="G424">
        <f t="shared" si="6"/>
        <v>3999.89</v>
      </c>
      <c r="H424" t="str">
        <f>VLOOKUP(C424,[1]products!$A:$B,2,FALSE)</f>
        <v>Trek Slash 8 27.5 - 2016</v>
      </c>
      <c r="I424">
        <f>VLOOKUP(C424,[1]products!$A:$D,4,FALSE)</f>
        <v>6</v>
      </c>
      <c r="J424" t="str">
        <f>VLOOKUP(I424,[2]categories!$A$1:$B$8,2,FALSE)</f>
        <v>Mountain Bikes</v>
      </c>
    </row>
    <row r="425" customHeight="1" spans="1:10">
      <c r="A425" s="1">
        <v>150</v>
      </c>
      <c r="B425" s="1">
        <v>2</v>
      </c>
      <c r="C425" s="1">
        <v>3</v>
      </c>
      <c r="D425" s="1">
        <v>1</v>
      </c>
      <c r="E425" s="1">
        <v>999.99</v>
      </c>
      <c r="F425" s="1">
        <v>0.2</v>
      </c>
      <c r="G425">
        <f t="shared" si="6"/>
        <v>999.79</v>
      </c>
      <c r="H425" t="str">
        <f>VLOOKUP(C425,[1]products!$A:$B,2,FALSE)</f>
        <v>Surly Wednesday Frameset - 2016</v>
      </c>
      <c r="I425">
        <f>VLOOKUP(C425,[1]products!$A:$D,4,FALSE)</f>
        <v>6</v>
      </c>
      <c r="J425" t="str">
        <f>VLOOKUP(I425,[2]categories!$A$1:$B$8,2,FALSE)</f>
        <v>Mountain Bikes</v>
      </c>
    </row>
    <row r="426" customHeight="1" spans="1:10">
      <c r="A426" s="1">
        <v>150</v>
      </c>
      <c r="B426" s="1">
        <v>3</v>
      </c>
      <c r="C426" s="1">
        <v>17</v>
      </c>
      <c r="D426" s="1">
        <v>1</v>
      </c>
      <c r="E426" s="1">
        <v>429</v>
      </c>
      <c r="F426" s="1">
        <v>0.07</v>
      </c>
      <c r="G426">
        <f t="shared" si="6"/>
        <v>428.93</v>
      </c>
      <c r="H426" t="str">
        <f>VLOOKUP(C426,[1]products!$A:$B,2,FALSE)</f>
        <v>Pure Cycles Vine 8-Speed - 2016</v>
      </c>
      <c r="I426">
        <f>VLOOKUP(C426,[1]products!$A:$D,4,FALSE)</f>
        <v>3</v>
      </c>
      <c r="J426" t="str">
        <f>VLOOKUP(I426,[2]categories!$A$1:$B$8,2,FALSE)</f>
        <v>Cruisers Bicycles</v>
      </c>
    </row>
    <row r="427" customHeight="1" spans="1:10">
      <c r="A427" s="1">
        <v>150</v>
      </c>
      <c r="B427" s="1">
        <v>4</v>
      </c>
      <c r="C427" s="1">
        <v>25</v>
      </c>
      <c r="D427" s="1">
        <v>2</v>
      </c>
      <c r="E427" s="1">
        <v>499.99</v>
      </c>
      <c r="F427" s="1">
        <v>0.07</v>
      </c>
      <c r="G427">
        <f t="shared" si="6"/>
        <v>999.91</v>
      </c>
      <c r="H427" t="str">
        <f>VLOOKUP(C427,[1]products!$A:$B,2,FALSE)</f>
        <v>Electra Townie Original 7D - 2015/2016</v>
      </c>
      <c r="I427">
        <f>VLOOKUP(C427,[1]products!$A:$D,4,FALSE)</f>
        <v>2</v>
      </c>
      <c r="J427" t="str">
        <f>VLOOKUP(I427,[2]categories!$A$1:$B$8,2,FALSE)</f>
        <v>Comfort Bicycles</v>
      </c>
    </row>
    <row r="428" customHeight="1" spans="1:10">
      <c r="A428" s="1">
        <v>151</v>
      </c>
      <c r="B428" s="1">
        <v>1</v>
      </c>
      <c r="C428" s="1">
        <v>17</v>
      </c>
      <c r="D428" s="1">
        <v>1</v>
      </c>
      <c r="E428" s="1">
        <v>429</v>
      </c>
      <c r="F428" s="1">
        <v>0.1</v>
      </c>
      <c r="G428">
        <f t="shared" si="6"/>
        <v>428.9</v>
      </c>
      <c r="H428" t="str">
        <f>VLOOKUP(C428,[1]products!$A:$B,2,FALSE)</f>
        <v>Pure Cycles Vine 8-Speed - 2016</v>
      </c>
      <c r="I428">
        <f>VLOOKUP(C428,[1]products!$A:$D,4,FALSE)</f>
        <v>3</v>
      </c>
      <c r="J428" t="str">
        <f>VLOOKUP(I428,[2]categories!$A$1:$B$8,2,FALSE)</f>
        <v>Cruisers Bicycles</v>
      </c>
    </row>
    <row r="429" customHeight="1" spans="1:10">
      <c r="A429" s="1">
        <v>151</v>
      </c>
      <c r="B429" s="1">
        <v>2</v>
      </c>
      <c r="C429" s="1">
        <v>26</v>
      </c>
      <c r="D429" s="1">
        <v>1</v>
      </c>
      <c r="E429" s="1">
        <v>599.99</v>
      </c>
      <c r="F429" s="1">
        <v>0.1</v>
      </c>
      <c r="G429">
        <f t="shared" si="6"/>
        <v>599.89</v>
      </c>
      <c r="H429" t="str">
        <f>VLOOKUP(C429,[1]products!$A:$B,2,FALSE)</f>
        <v>Electra Townie Original 7D EQ - 2016</v>
      </c>
      <c r="I429">
        <f>VLOOKUP(C429,[1]products!$A:$D,4,FALSE)</f>
        <v>2</v>
      </c>
      <c r="J429" t="str">
        <f>VLOOKUP(I429,[2]categories!$A$1:$B$8,2,FALSE)</f>
        <v>Comfort Bicycles</v>
      </c>
    </row>
    <row r="430" customHeight="1" spans="1:10">
      <c r="A430" s="1">
        <v>152</v>
      </c>
      <c r="B430" s="1">
        <v>1</v>
      </c>
      <c r="C430" s="1">
        <v>6</v>
      </c>
      <c r="D430" s="1">
        <v>2</v>
      </c>
      <c r="E430" s="1">
        <v>469.99</v>
      </c>
      <c r="F430" s="1">
        <v>0.2</v>
      </c>
      <c r="G430">
        <f t="shared" si="6"/>
        <v>939.78</v>
      </c>
      <c r="H430" t="str">
        <f>VLOOKUP(C430,[1]products!$A:$B,2,FALSE)</f>
        <v>Surly Ice Cream Truck Frameset - 2016</v>
      </c>
      <c r="I430">
        <f>VLOOKUP(C430,[1]products!$A:$D,4,FALSE)</f>
        <v>6</v>
      </c>
      <c r="J430" t="str">
        <f>VLOOKUP(I430,[2]categories!$A$1:$B$8,2,FALSE)</f>
        <v>Mountain Bikes</v>
      </c>
    </row>
    <row r="431" customHeight="1" spans="1:10">
      <c r="A431" s="1">
        <v>152</v>
      </c>
      <c r="B431" s="1">
        <v>2</v>
      </c>
      <c r="C431" s="1">
        <v>22</v>
      </c>
      <c r="D431" s="1">
        <v>2</v>
      </c>
      <c r="E431" s="1">
        <v>269.99</v>
      </c>
      <c r="F431" s="1">
        <v>0.2</v>
      </c>
      <c r="G431">
        <f t="shared" si="6"/>
        <v>539.78</v>
      </c>
      <c r="H431" t="str">
        <f>VLOOKUP(C431,[1]products!$A:$B,2,FALSE)</f>
        <v>Electra Girl's Hawaii 1 (16-inch) - 2015/2016</v>
      </c>
      <c r="I431">
        <f>VLOOKUP(C431,[1]products!$A:$D,4,FALSE)</f>
        <v>1</v>
      </c>
      <c r="J431" t="str">
        <f>VLOOKUP(I431,[2]categories!$A$1:$B$8,2,FALSE)</f>
        <v>Children Bicycles</v>
      </c>
    </row>
    <row r="432" customHeight="1" spans="1:10">
      <c r="A432" s="1">
        <v>152</v>
      </c>
      <c r="B432" s="1">
        <v>3</v>
      </c>
      <c r="C432" s="1">
        <v>16</v>
      </c>
      <c r="D432" s="1">
        <v>2</v>
      </c>
      <c r="E432" s="1">
        <v>599.99</v>
      </c>
      <c r="F432" s="1">
        <v>0.07</v>
      </c>
      <c r="G432">
        <f t="shared" si="6"/>
        <v>1199.91</v>
      </c>
      <c r="H432" t="str">
        <f>VLOOKUP(C432,[1]products!$A:$B,2,FALSE)</f>
        <v>Electra Townie Original 7D EQ - 2016</v>
      </c>
      <c r="I432">
        <f>VLOOKUP(C432,[1]products!$A:$D,4,FALSE)</f>
        <v>3</v>
      </c>
      <c r="J432" t="str">
        <f>VLOOKUP(I432,[2]categories!$A$1:$B$8,2,FALSE)</f>
        <v>Cruisers Bicycles</v>
      </c>
    </row>
    <row r="433" customHeight="1" spans="1:10">
      <c r="A433" s="1">
        <v>153</v>
      </c>
      <c r="B433" s="1">
        <v>1</v>
      </c>
      <c r="C433" s="1">
        <v>16</v>
      </c>
      <c r="D433" s="1">
        <v>1</v>
      </c>
      <c r="E433" s="1">
        <v>599.99</v>
      </c>
      <c r="F433" s="1">
        <v>0.07</v>
      </c>
      <c r="G433">
        <f t="shared" si="6"/>
        <v>599.92</v>
      </c>
      <c r="H433" t="str">
        <f>VLOOKUP(C433,[1]products!$A:$B,2,FALSE)</f>
        <v>Electra Townie Original 7D EQ - 2016</v>
      </c>
      <c r="I433">
        <f>VLOOKUP(C433,[1]products!$A:$D,4,FALSE)</f>
        <v>3</v>
      </c>
      <c r="J433" t="str">
        <f>VLOOKUP(I433,[2]categories!$A$1:$B$8,2,FALSE)</f>
        <v>Cruisers Bicycles</v>
      </c>
    </row>
    <row r="434" customHeight="1" spans="1:10">
      <c r="A434" s="1">
        <v>153</v>
      </c>
      <c r="B434" s="1">
        <v>2</v>
      </c>
      <c r="C434" s="1">
        <v>8</v>
      </c>
      <c r="D434" s="1">
        <v>1</v>
      </c>
      <c r="E434" s="1">
        <v>1799.99</v>
      </c>
      <c r="F434" s="1">
        <v>0.07</v>
      </c>
      <c r="G434">
        <f t="shared" si="6"/>
        <v>1799.92</v>
      </c>
      <c r="H434" t="str">
        <f>VLOOKUP(C434,[1]products!$A:$B,2,FALSE)</f>
        <v>Trek Remedy 29 Carbon Frameset - 2016</v>
      </c>
      <c r="I434">
        <f>VLOOKUP(C434,[1]products!$A:$D,4,FALSE)</f>
        <v>6</v>
      </c>
      <c r="J434" t="str">
        <f>VLOOKUP(I434,[2]categories!$A$1:$B$8,2,FALSE)</f>
        <v>Mountain Bikes</v>
      </c>
    </row>
    <row r="435" customHeight="1" spans="1:10">
      <c r="A435" s="1">
        <v>153</v>
      </c>
      <c r="B435" s="1">
        <v>3</v>
      </c>
      <c r="C435" s="1">
        <v>15</v>
      </c>
      <c r="D435" s="1">
        <v>2</v>
      </c>
      <c r="E435" s="1">
        <v>529.99</v>
      </c>
      <c r="F435" s="1">
        <v>0.05</v>
      </c>
      <c r="G435">
        <f t="shared" si="6"/>
        <v>1059.93</v>
      </c>
      <c r="H435" t="str">
        <f>VLOOKUP(C435,[1]products!$A:$B,2,FALSE)</f>
        <v>Electra Moto 1 - 2016</v>
      </c>
      <c r="I435">
        <f>VLOOKUP(C435,[1]products!$A:$D,4,FALSE)</f>
        <v>3</v>
      </c>
      <c r="J435" t="str">
        <f>VLOOKUP(I435,[2]categories!$A$1:$B$8,2,FALSE)</f>
        <v>Cruisers Bicycles</v>
      </c>
    </row>
    <row r="436" customHeight="1" spans="1:10">
      <c r="A436" s="1">
        <v>154</v>
      </c>
      <c r="B436" s="1">
        <v>1</v>
      </c>
      <c r="C436" s="1">
        <v>12</v>
      </c>
      <c r="D436" s="1">
        <v>1</v>
      </c>
      <c r="E436" s="1">
        <v>549.99</v>
      </c>
      <c r="F436" s="1">
        <v>0.1</v>
      </c>
      <c r="G436">
        <f t="shared" si="6"/>
        <v>549.89</v>
      </c>
      <c r="H436" t="str">
        <f>VLOOKUP(C436,[1]products!$A:$B,2,FALSE)</f>
        <v>Electra Townie Original 21D - 2016</v>
      </c>
      <c r="I436">
        <f>VLOOKUP(C436,[1]products!$A:$D,4,FALSE)</f>
        <v>3</v>
      </c>
      <c r="J436" t="str">
        <f>VLOOKUP(I436,[2]categories!$A$1:$B$8,2,FALSE)</f>
        <v>Cruisers Bicycles</v>
      </c>
    </row>
    <row r="437" customHeight="1" spans="1:10">
      <c r="A437" s="1">
        <v>155</v>
      </c>
      <c r="B437" s="1">
        <v>1</v>
      </c>
      <c r="C437" s="1">
        <v>8</v>
      </c>
      <c r="D437" s="1">
        <v>1</v>
      </c>
      <c r="E437" s="1">
        <v>1799.99</v>
      </c>
      <c r="F437" s="1">
        <v>0.1</v>
      </c>
      <c r="G437">
        <f t="shared" si="6"/>
        <v>1799.89</v>
      </c>
      <c r="H437" t="str">
        <f>VLOOKUP(C437,[1]products!$A:$B,2,FALSE)</f>
        <v>Trek Remedy 29 Carbon Frameset - 2016</v>
      </c>
      <c r="I437">
        <f>VLOOKUP(C437,[1]products!$A:$D,4,FALSE)</f>
        <v>6</v>
      </c>
      <c r="J437" t="str">
        <f>VLOOKUP(I437,[2]categories!$A$1:$B$8,2,FALSE)</f>
        <v>Mountain Bikes</v>
      </c>
    </row>
    <row r="438" customHeight="1" spans="1:10">
      <c r="A438" s="1">
        <v>156</v>
      </c>
      <c r="B438" s="1">
        <v>1</v>
      </c>
      <c r="C438" s="1">
        <v>18</v>
      </c>
      <c r="D438" s="1">
        <v>2</v>
      </c>
      <c r="E438" s="1">
        <v>449</v>
      </c>
      <c r="F438" s="1">
        <v>0.2</v>
      </c>
      <c r="G438">
        <f t="shared" si="6"/>
        <v>897.8</v>
      </c>
      <c r="H438" t="str">
        <f>VLOOKUP(C438,[1]products!$A:$B,2,FALSE)</f>
        <v>Pure Cycles Western 3-Speed - Women's - 2015/2016</v>
      </c>
      <c r="I438">
        <f>VLOOKUP(C438,[1]products!$A:$D,4,FALSE)</f>
        <v>3</v>
      </c>
      <c r="J438" t="str">
        <f>VLOOKUP(I438,[2]categories!$A$1:$B$8,2,FALSE)</f>
        <v>Cruisers Bicycles</v>
      </c>
    </row>
    <row r="439" customHeight="1" spans="1:10">
      <c r="A439" s="1">
        <v>156</v>
      </c>
      <c r="B439" s="1">
        <v>2</v>
      </c>
      <c r="C439" s="1">
        <v>17</v>
      </c>
      <c r="D439" s="1">
        <v>2</v>
      </c>
      <c r="E439" s="1">
        <v>429</v>
      </c>
      <c r="F439" s="1">
        <v>0.05</v>
      </c>
      <c r="G439">
        <f t="shared" si="6"/>
        <v>857.95</v>
      </c>
      <c r="H439" t="str">
        <f>VLOOKUP(C439,[1]products!$A:$B,2,FALSE)</f>
        <v>Pure Cycles Vine 8-Speed - 2016</v>
      </c>
      <c r="I439">
        <f>VLOOKUP(C439,[1]products!$A:$D,4,FALSE)</f>
        <v>3</v>
      </c>
      <c r="J439" t="str">
        <f>VLOOKUP(I439,[2]categories!$A$1:$B$8,2,FALSE)</f>
        <v>Cruisers Bicycles</v>
      </c>
    </row>
    <row r="440" customHeight="1" spans="1:10">
      <c r="A440" s="1">
        <v>156</v>
      </c>
      <c r="B440" s="1">
        <v>3</v>
      </c>
      <c r="C440" s="1">
        <v>6</v>
      </c>
      <c r="D440" s="1">
        <v>1</v>
      </c>
      <c r="E440" s="1">
        <v>469.99</v>
      </c>
      <c r="F440" s="1">
        <v>0.07</v>
      </c>
      <c r="G440">
        <f t="shared" si="6"/>
        <v>469.92</v>
      </c>
      <c r="H440" t="str">
        <f>VLOOKUP(C440,[1]products!$A:$B,2,FALSE)</f>
        <v>Surly Ice Cream Truck Frameset - 2016</v>
      </c>
      <c r="I440">
        <f>VLOOKUP(C440,[1]products!$A:$D,4,FALSE)</f>
        <v>6</v>
      </c>
      <c r="J440" t="str">
        <f>VLOOKUP(I440,[2]categories!$A$1:$B$8,2,FALSE)</f>
        <v>Mountain Bikes</v>
      </c>
    </row>
    <row r="441" customHeight="1" spans="1:10">
      <c r="A441" s="1">
        <v>157</v>
      </c>
      <c r="B441" s="1">
        <v>1</v>
      </c>
      <c r="C441" s="1">
        <v>4</v>
      </c>
      <c r="D441" s="1">
        <v>1</v>
      </c>
      <c r="E441" s="1">
        <v>2899.99</v>
      </c>
      <c r="F441" s="1">
        <v>0.1</v>
      </c>
      <c r="G441">
        <f t="shared" si="6"/>
        <v>2899.89</v>
      </c>
      <c r="H441" t="str">
        <f>VLOOKUP(C441,[1]products!$A:$B,2,FALSE)</f>
        <v>Trek Fuel EX 8 29 - 2016</v>
      </c>
      <c r="I441">
        <f>VLOOKUP(C441,[1]products!$A:$D,4,FALSE)</f>
        <v>6</v>
      </c>
      <c r="J441" t="str">
        <f>VLOOKUP(I441,[2]categories!$A$1:$B$8,2,FALSE)</f>
        <v>Mountain Bikes</v>
      </c>
    </row>
    <row r="442" customHeight="1" spans="1:10">
      <c r="A442" s="1">
        <v>157</v>
      </c>
      <c r="B442" s="1">
        <v>2</v>
      </c>
      <c r="C442" s="1">
        <v>7</v>
      </c>
      <c r="D442" s="1">
        <v>2</v>
      </c>
      <c r="E442" s="1">
        <v>3999.99</v>
      </c>
      <c r="F442" s="1">
        <v>0.07</v>
      </c>
      <c r="G442">
        <f t="shared" si="6"/>
        <v>7999.91</v>
      </c>
      <c r="H442" t="str">
        <f>VLOOKUP(C442,[1]products!$A:$B,2,FALSE)</f>
        <v>Trek Slash 8 27.5 - 2016</v>
      </c>
      <c r="I442">
        <f>VLOOKUP(C442,[1]products!$A:$D,4,FALSE)</f>
        <v>6</v>
      </c>
      <c r="J442" t="str">
        <f>VLOOKUP(I442,[2]categories!$A$1:$B$8,2,FALSE)</f>
        <v>Mountain Bikes</v>
      </c>
    </row>
    <row r="443" customHeight="1" spans="1:10">
      <c r="A443" s="1">
        <v>158</v>
      </c>
      <c r="B443" s="1">
        <v>1</v>
      </c>
      <c r="C443" s="1">
        <v>24</v>
      </c>
      <c r="D443" s="1">
        <v>1</v>
      </c>
      <c r="E443" s="1">
        <v>549.99</v>
      </c>
      <c r="F443" s="1">
        <v>0.1</v>
      </c>
      <c r="G443">
        <f t="shared" si="6"/>
        <v>549.89</v>
      </c>
      <c r="H443" t="str">
        <f>VLOOKUP(C443,[1]products!$A:$B,2,FALSE)</f>
        <v>Electra Townie Original 21D - 2016</v>
      </c>
      <c r="I443">
        <f>VLOOKUP(C443,[1]products!$A:$D,4,FALSE)</f>
        <v>2</v>
      </c>
      <c r="J443" t="str">
        <f>VLOOKUP(I443,[2]categories!$A$1:$B$8,2,FALSE)</f>
        <v>Comfort Bicycles</v>
      </c>
    </row>
    <row r="444" customHeight="1" spans="1:10">
      <c r="A444" s="1">
        <v>159</v>
      </c>
      <c r="B444" s="1">
        <v>1</v>
      </c>
      <c r="C444" s="1">
        <v>13</v>
      </c>
      <c r="D444" s="1">
        <v>1</v>
      </c>
      <c r="E444" s="1">
        <v>269.99</v>
      </c>
      <c r="F444" s="1">
        <v>0.2</v>
      </c>
      <c r="G444">
        <f t="shared" si="6"/>
        <v>269.79</v>
      </c>
      <c r="H444" t="str">
        <f>VLOOKUP(C444,[1]products!$A:$B,2,FALSE)</f>
        <v>Electra Cruiser 1 (24-Inch) - 2016</v>
      </c>
      <c r="I444">
        <f>VLOOKUP(C444,[1]products!$A:$D,4,FALSE)</f>
        <v>3</v>
      </c>
      <c r="J444" t="str">
        <f>VLOOKUP(I444,[2]categories!$A$1:$B$8,2,FALSE)</f>
        <v>Cruisers Bicycles</v>
      </c>
    </row>
    <row r="445" customHeight="1" spans="1:10">
      <c r="A445" s="1">
        <v>160</v>
      </c>
      <c r="B445" s="1">
        <v>1</v>
      </c>
      <c r="C445" s="1">
        <v>21</v>
      </c>
      <c r="D445" s="1">
        <v>1</v>
      </c>
      <c r="E445" s="1">
        <v>269.99</v>
      </c>
      <c r="F445" s="1">
        <v>0.07</v>
      </c>
      <c r="G445">
        <f t="shared" si="6"/>
        <v>269.92</v>
      </c>
      <c r="H445" t="str">
        <f>VLOOKUP(C445,[1]products!$A:$B,2,FALSE)</f>
        <v>Electra Cruiser 1 (24-Inch) - 2016</v>
      </c>
      <c r="I445">
        <f>VLOOKUP(C445,[1]products!$A:$D,4,FALSE)</f>
        <v>1</v>
      </c>
      <c r="J445" t="str">
        <f>VLOOKUP(I445,[2]categories!$A$1:$B$8,2,FALSE)</f>
        <v>Children Bicycles</v>
      </c>
    </row>
    <row r="446" customHeight="1" spans="1:10">
      <c r="A446" s="1">
        <v>160</v>
      </c>
      <c r="B446" s="1">
        <v>2</v>
      </c>
      <c r="C446" s="1">
        <v>15</v>
      </c>
      <c r="D446" s="1">
        <v>2</v>
      </c>
      <c r="E446" s="1">
        <v>529.99</v>
      </c>
      <c r="F446" s="1">
        <v>0.07</v>
      </c>
      <c r="G446">
        <f t="shared" si="6"/>
        <v>1059.91</v>
      </c>
      <c r="H446" t="str">
        <f>VLOOKUP(C446,[1]products!$A:$B,2,FALSE)</f>
        <v>Electra Moto 1 - 2016</v>
      </c>
      <c r="I446">
        <f>VLOOKUP(C446,[1]products!$A:$D,4,FALSE)</f>
        <v>3</v>
      </c>
      <c r="J446" t="str">
        <f>VLOOKUP(I446,[2]categories!$A$1:$B$8,2,FALSE)</f>
        <v>Cruisers Bicycles</v>
      </c>
    </row>
    <row r="447" customHeight="1" spans="1:10">
      <c r="A447" s="1">
        <v>160</v>
      </c>
      <c r="B447" s="1">
        <v>3</v>
      </c>
      <c r="C447" s="1">
        <v>18</v>
      </c>
      <c r="D447" s="1">
        <v>2</v>
      </c>
      <c r="E447" s="1">
        <v>449</v>
      </c>
      <c r="F447" s="1">
        <v>0.1</v>
      </c>
      <c r="G447">
        <f t="shared" si="6"/>
        <v>897.9</v>
      </c>
      <c r="H447" t="str">
        <f>VLOOKUP(C447,[1]products!$A:$B,2,FALSE)</f>
        <v>Pure Cycles Western 3-Speed - Women's - 2015/2016</v>
      </c>
      <c r="I447">
        <f>VLOOKUP(C447,[1]products!$A:$D,4,FALSE)</f>
        <v>3</v>
      </c>
      <c r="J447" t="str">
        <f>VLOOKUP(I447,[2]categories!$A$1:$B$8,2,FALSE)</f>
        <v>Cruisers Bicycles</v>
      </c>
    </row>
    <row r="448" customHeight="1" spans="1:10">
      <c r="A448" s="1">
        <v>160</v>
      </c>
      <c r="B448" s="1">
        <v>4</v>
      </c>
      <c r="C448" s="1">
        <v>11</v>
      </c>
      <c r="D448" s="1">
        <v>1</v>
      </c>
      <c r="E448" s="1">
        <v>1680.99</v>
      </c>
      <c r="F448" s="1">
        <v>0.05</v>
      </c>
      <c r="G448">
        <f t="shared" si="6"/>
        <v>1680.94</v>
      </c>
      <c r="H448" t="str">
        <f>VLOOKUP(C448,[1]products!$A:$B,2,FALSE)</f>
        <v>Surly Straggler 650b - 2016</v>
      </c>
      <c r="I448">
        <f>VLOOKUP(C448,[1]products!$A:$D,4,FALSE)</f>
        <v>4</v>
      </c>
      <c r="J448" t="str">
        <f>VLOOKUP(I448,[2]categories!$A$1:$B$8,2,FALSE)</f>
        <v>Cyclocross Bicycles</v>
      </c>
    </row>
    <row r="449" customHeight="1" spans="1:10">
      <c r="A449" s="1">
        <v>161</v>
      </c>
      <c r="B449" s="1">
        <v>1</v>
      </c>
      <c r="C449" s="1">
        <v>24</v>
      </c>
      <c r="D449" s="1">
        <v>2</v>
      </c>
      <c r="E449" s="1">
        <v>549.99</v>
      </c>
      <c r="F449" s="1">
        <v>0.07</v>
      </c>
      <c r="G449">
        <f t="shared" si="6"/>
        <v>1099.91</v>
      </c>
      <c r="H449" t="str">
        <f>VLOOKUP(C449,[1]products!$A:$B,2,FALSE)</f>
        <v>Electra Townie Original 21D - 2016</v>
      </c>
      <c r="I449">
        <f>VLOOKUP(C449,[1]products!$A:$D,4,FALSE)</f>
        <v>2</v>
      </c>
      <c r="J449" t="str">
        <f>VLOOKUP(I449,[2]categories!$A$1:$B$8,2,FALSE)</f>
        <v>Comfort Bicycles</v>
      </c>
    </row>
    <row r="450" customHeight="1" spans="1:10">
      <c r="A450" s="1">
        <v>161</v>
      </c>
      <c r="B450" s="1">
        <v>2</v>
      </c>
      <c r="C450" s="1">
        <v>22</v>
      </c>
      <c r="D450" s="1">
        <v>1</v>
      </c>
      <c r="E450" s="1">
        <v>269.99</v>
      </c>
      <c r="F450" s="1">
        <v>0.05</v>
      </c>
      <c r="G450">
        <f t="shared" si="6"/>
        <v>269.94</v>
      </c>
      <c r="H450" t="str">
        <f>VLOOKUP(C450,[1]products!$A:$B,2,FALSE)</f>
        <v>Electra Girl's Hawaii 1 (16-inch) - 2015/2016</v>
      </c>
      <c r="I450">
        <f>VLOOKUP(C450,[1]products!$A:$D,4,FALSE)</f>
        <v>1</v>
      </c>
      <c r="J450" t="str">
        <f>VLOOKUP(I450,[2]categories!$A$1:$B$8,2,FALSE)</f>
        <v>Children Bicycles</v>
      </c>
    </row>
    <row r="451" customHeight="1" spans="1:10">
      <c r="A451" s="1">
        <v>161</v>
      </c>
      <c r="B451" s="1">
        <v>3</v>
      </c>
      <c r="C451" s="1">
        <v>7</v>
      </c>
      <c r="D451" s="1">
        <v>2</v>
      </c>
      <c r="E451" s="1">
        <v>3999.99</v>
      </c>
      <c r="F451" s="1">
        <v>0.05</v>
      </c>
      <c r="G451">
        <f t="shared" ref="G451:G514" si="7">(E451*D451)-F451</f>
        <v>7999.93</v>
      </c>
      <c r="H451" t="str">
        <f>VLOOKUP(C451,[1]products!$A:$B,2,FALSE)</f>
        <v>Trek Slash 8 27.5 - 2016</v>
      </c>
      <c r="I451">
        <f>VLOOKUP(C451,[1]products!$A:$D,4,FALSE)</f>
        <v>6</v>
      </c>
      <c r="J451" t="str">
        <f>VLOOKUP(I451,[2]categories!$A$1:$B$8,2,FALSE)</f>
        <v>Mountain Bikes</v>
      </c>
    </row>
    <row r="452" customHeight="1" spans="1:10">
      <c r="A452" s="1">
        <v>162</v>
      </c>
      <c r="B452" s="1">
        <v>1</v>
      </c>
      <c r="C452" s="1">
        <v>18</v>
      </c>
      <c r="D452" s="1">
        <v>1</v>
      </c>
      <c r="E452" s="1">
        <v>449</v>
      </c>
      <c r="F452" s="1">
        <v>0.07</v>
      </c>
      <c r="G452">
        <f t="shared" si="7"/>
        <v>448.93</v>
      </c>
      <c r="H452" t="str">
        <f>VLOOKUP(C452,[1]products!$A:$B,2,FALSE)</f>
        <v>Pure Cycles Western 3-Speed - Women's - 2015/2016</v>
      </c>
      <c r="I452">
        <f>VLOOKUP(C452,[1]products!$A:$D,4,FALSE)</f>
        <v>3</v>
      </c>
      <c r="J452" t="str">
        <f>VLOOKUP(I452,[2]categories!$A$1:$B$8,2,FALSE)</f>
        <v>Cruisers Bicycles</v>
      </c>
    </row>
    <row r="453" customHeight="1" spans="1:10">
      <c r="A453" s="1">
        <v>162</v>
      </c>
      <c r="B453" s="1">
        <v>2</v>
      </c>
      <c r="C453" s="1">
        <v>21</v>
      </c>
      <c r="D453" s="1">
        <v>2</v>
      </c>
      <c r="E453" s="1">
        <v>269.99</v>
      </c>
      <c r="F453" s="1">
        <v>0.07</v>
      </c>
      <c r="G453">
        <f t="shared" si="7"/>
        <v>539.91</v>
      </c>
      <c r="H453" t="str">
        <f>VLOOKUP(C453,[1]products!$A:$B,2,FALSE)</f>
        <v>Electra Cruiser 1 (24-Inch) - 2016</v>
      </c>
      <c r="I453">
        <f>VLOOKUP(C453,[1]products!$A:$D,4,FALSE)</f>
        <v>1</v>
      </c>
      <c r="J453" t="str">
        <f>VLOOKUP(I453,[2]categories!$A$1:$B$8,2,FALSE)</f>
        <v>Children Bicycles</v>
      </c>
    </row>
    <row r="454" customHeight="1" spans="1:10">
      <c r="A454" s="1">
        <v>162</v>
      </c>
      <c r="B454" s="1">
        <v>3</v>
      </c>
      <c r="C454" s="1">
        <v>3</v>
      </c>
      <c r="D454" s="1">
        <v>2</v>
      </c>
      <c r="E454" s="1">
        <v>999.99</v>
      </c>
      <c r="F454" s="1">
        <v>0.1</v>
      </c>
      <c r="G454">
        <f t="shared" si="7"/>
        <v>1999.88</v>
      </c>
      <c r="H454" t="str">
        <f>VLOOKUP(C454,[1]products!$A:$B,2,FALSE)</f>
        <v>Surly Wednesday Frameset - 2016</v>
      </c>
      <c r="I454">
        <f>VLOOKUP(C454,[1]products!$A:$D,4,FALSE)</f>
        <v>6</v>
      </c>
      <c r="J454" t="str">
        <f>VLOOKUP(I454,[2]categories!$A$1:$B$8,2,FALSE)</f>
        <v>Mountain Bikes</v>
      </c>
    </row>
    <row r="455" customHeight="1" spans="1:10">
      <c r="A455" s="1">
        <v>163</v>
      </c>
      <c r="B455" s="1">
        <v>1</v>
      </c>
      <c r="C455" s="1">
        <v>12</v>
      </c>
      <c r="D455" s="1">
        <v>1</v>
      </c>
      <c r="E455" s="1">
        <v>549.99</v>
      </c>
      <c r="F455" s="1">
        <v>0.1</v>
      </c>
      <c r="G455">
        <f t="shared" si="7"/>
        <v>549.89</v>
      </c>
      <c r="H455" t="str">
        <f>VLOOKUP(C455,[1]products!$A:$B,2,FALSE)</f>
        <v>Electra Townie Original 21D - 2016</v>
      </c>
      <c r="I455">
        <f>VLOOKUP(C455,[1]products!$A:$D,4,FALSE)</f>
        <v>3</v>
      </c>
      <c r="J455" t="str">
        <f>VLOOKUP(I455,[2]categories!$A$1:$B$8,2,FALSE)</f>
        <v>Cruisers Bicycles</v>
      </c>
    </row>
    <row r="456" customHeight="1" spans="1:10">
      <c r="A456" s="1">
        <v>163</v>
      </c>
      <c r="B456" s="1">
        <v>2</v>
      </c>
      <c r="C456" s="1">
        <v>18</v>
      </c>
      <c r="D456" s="1">
        <v>1</v>
      </c>
      <c r="E456" s="1">
        <v>449</v>
      </c>
      <c r="F456" s="1">
        <v>0.2</v>
      </c>
      <c r="G456">
        <f t="shared" si="7"/>
        <v>448.8</v>
      </c>
      <c r="H456" t="str">
        <f>VLOOKUP(C456,[1]products!$A:$B,2,FALSE)</f>
        <v>Pure Cycles Western 3-Speed - Women's - 2015/2016</v>
      </c>
      <c r="I456">
        <f>VLOOKUP(C456,[1]products!$A:$D,4,FALSE)</f>
        <v>3</v>
      </c>
      <c r="J456" t="str">
        <f>VLOOKUP(I456,[2]categories!$A$1:$B$8,2,FALSE)</f>
        <v>Cruisers Bicycles</v>
      </c>
    </row>
    <row r="457" customHeight="1" spans="1:10">
      <c r="A457" s="1">
        <v>164</v>
      </c>
      <c r="B457" s="1">
        <v>1</v>
      </c>
      <c r="C457" s="1">
        <v>4</v>
      </c>
      <c r="D457" s="1">
        <v>2</v>
      </c>
      <c r="E457" s="1">
        <v>2899.99</v>
      </c>
      <c r="F457" s="1">
        <v>0.05</v>
      </c>
      <c r="G457">
        <f t="shared" si="7"/>
        <v>5799.93</v>
      </c>
      <c r="H457" t="str">
        <f>VLOOKUP(C457,[1]products!$A:$B,2,FALSE)</f>
        <v>Trek Fuel EX 8 29 - 2016</v>
      </c>
      <c r="I457">
        <f>VLOOKUP(C457,[1]products!$A:$D,4,FALSE)</f>
        <v>6</v>
      </c>
      <c r="J457" t="str">
        <f>VLOOKUP(I457,[2]categories!$A$1:$B$8,2,FALSE)</f>
        <v>Mountain Bikes</v>
      </c>
    </row>
    <row r="458" customHeight="1" spans="1:10">
      <c r="A458" s="1">
        <v>164</v>
      </c>
      <c r="B458" s="1">
        <v>2</v>
      </c>
      <c r="C458" s="1">
        <v>10</v>
      </c>
      <c r="D458" s="1">
        <v>2</v>
      </c>
      <c r="E458" s="1">
        <v>1549</v>
      </c>
      <c r="F458" s="1">
        <v>0.05</v>
      </c>
      <c r="G458">
        <f t="shared" si="7"/>
        <v>3097.95</v>
      </c>
      <c r="H458" t="str">
        <f>VLOOKUP(C458,[1]products!$A:$B,2,FALSE)</f>
        <v>Surly Straggler - 2016</v>
      </c>
      <c r="I458">
        <f>VLOOKUP(C458,[1]products!$A:$D,4,FALSE)</f>
        <v>4</v>
      </c>
      <c r="J458" t="str">
        <f>VLOOKUP(I458,[2]categories!$A$1:$B$8,2,FALSE)</f>
        <v>Cyclocross Bicycles</v>
      </c>
    </row>
    <row r="459" customHeight="1" spans="1:10">
      <c r="A459" s="1">
        <v>164</v>
      </c>
      <c r="B459" s="1">
        <v>3</v>
      </c>
      <c r="C459" s="1">
        <v>14</v>
      </c>
      <c r="D459" s="1">
        <v>1</v>
      </c>
      <c r="E459" s="1">
        <v>269.99</v>
      </c>
      <c r="F459" s="1">
        <v>0.1</v>
      </c>
      <c r="G459">
        <f t="shared" si="7"/>
        <v>269.89</v>
      </c>
      <c r="H459" t="str">
        <f>VLOOKUP(C459,[1]products!$A:$B,2,FALSE)</f>
        <v>Electra Girl's Hawaii 1 (16-inch) - 2015/2016</v>
      </c>
      <c r="I459">
        <f>VLOOKUP(C459,[1]products!$A:$D,4,FALSE)</f>
        <v>3</v>
      </c>
      <c r="J459" t="str">
        <f>VLOOKUP(I459,[2]categories!$A$1:$B$8,2,FALSE)</f>
        <v>Cruisers Bicycles</v>
      </c>
    </row>
    <row r="460" customHeight="1" spans="1:10">
      <c r="A460" s="1">
        <v>165</v>
      </c>
      <c r="B460" s="1">
        <v>1</v>
      </c>
      <c r="C460" s="1">
        <v>4</v>
      </c>
      <c r="D460" s="1">
        <v>2</v>
      </c>
      <c r="E460" s="1">
        <v>2899.99</v>
      </c>
      <c r="F460" s="1">
        <v>0.05</v>
      </c>
      <c r="G460">
        <f t="shared" si="7"/>
        <v>5799.93</v>
      </c>
      <c r="H460" t="str">
        <f>VLOOKUP(C460,[1]products!$A:$B,2,FALSE)</f>
        <v>Trek Fuel EX 8 29 - 2016</v>
      </c>
      <c r="I460">
        <f>VLOOKUP(C460,[1]products!$A:$D,4,FALSE)</f>
        <v>6</v>
      </c>
      <c r="J460" t="str">
        <f>VLOOKUP(I460,[2]categories!$A$1:$B$8,2,FALSE)</f>
        <v>Mountain Bikes</v>
      </c>
    </row>
    <row r="461" customHeight="1" spans="1:10">
      <c r="A461" s="1">
        <v>165</v>
      </c>
      <c r="B461" s="1">
        <v>2</v>
      </c>
      <c r="C461" s="1">
        <v>23</v>
      </c>
      <c r="D461" s="1">
        <v>1</v>
      </c>
      <c r="E461" s="1">
        <v>299.99</v>
      </c>
      <c r="F461" s="1">
        <v>0.2</v>
      </c>
      <c r="G461">
        <f t="shared" si="7"/>
        <v>299.79</v>
      </c>
      <c r="H461" t="str">
        <f>VLOOKUP(C461,[1]products!$A:$B,2,FALSE)</f>
        <v>Electra Girl's Hawaii 1 (20-inch) - 2015/2016</v>
      </c>
      <c r="I461">
        <f>VLOOKUP(C461,[1]products!$A:$D,4,FALSE)</f>
        <v>1</v>
      </c>
      <c r="J461" t="str">
        <f>VLOOKUP(I461,[2]categories!$A$1:$B$8,2,FALSE)</f>
        <v>Children Bicycles</v>
      </c>
    </row>
    <row r="462" customHeight="1" spans="1:10">
      <c r="A462" s="1">
        <v>165</v>
      </c>
      <c r="B462" s="1">
        <v>3</v>
      </c>
      <c r="C462" s="1">
        <v>2</v>
      </c>
      <c r="D462" s="1">
        <v>1</v>
      </c>
      <c r="E462" s="1">
        <v>749.99</v>
      </c>
      <c r="F462" s="1">
        <v>0.05</v>
      </c>
      <c r="G462">
        <f t="shared" si="7"/>
        <v>749.94</v>
      </c>
      <c r="H462" t="str">
        <f>VLOOKUP(C462,[1]products!$A:$B,2,FALSE)</f>
        <v>Ritchey Timberwolf Frameset - 2016</v>
      </c>
      <c r="I462">
        <f>VLOOKUP(C462,[1]products!$A:$D,4,FALSE)</f>
        <v>6</v>
      </c>
      <c r="J462" t="str">
        <f>VLOOKUP(I462,[2]categories!$A$1:$B$8,2,FALSE)</f>
        <v>Mountain Bikes</v>
      </c>
    </row>
    <row r="463" customHeight="1" spans="1:10">
      <c r="A463" s="1">
        <v>166</v>
      </c>
      <c r="B463" s="1">
        <v>1</v>
      </c>
      <c r="C463" s="1">
        <v>10</v>
      </c>
      <c r="D463" s="1">
        <v>2</v>
      </c>
      <c r="E463" s="1">
        <v>1549</v>
      </c>
      <c r="F463" s="1">
        <v>0.1</v>
      </c>
      <c r="G463">
        <f t="shared" si="7"/>
        <v>3097.9</v>
      </c>
      <c r="H463" t="str">
        <f>VLOOKUP(C463,[1]products!$A:$B,2,FALSE)</f>
        <v>Surly Straggler - 2016</v>
      </c>
      <c r="I463">
        <f>VLOOKUP(C463,[1]products!$A:$D,4,FALSE)</f>
        <v>4</v>
      </c>
      <c r="J463" t="str">
        <f>VLOOKUP(I463,[2]categories!$A$1:$B$8,2,FALSE)</f>
        <v>Cyclocross Bicycles</v>
      </c>
    </row>
    <row r="464" customHeight="1" spans="1:10">
      <c r="A464" s="1">
        <v>166</v>
      </c>
      <c r="B464" s="1">
        <v>2</v>
      </c>
      <c r="C464" s="1">
        <v>11</v>
      </c>
      <c r="D464" s="1">
        <v>1</v>
      </c>
      <c r="E464" s="1">
        <v>1680.99</v>
      </c>
      <c r="F464" s="1">
        <v>0.2</v>
      </c>
      <c r="G464">
        <f t="shared" si="7"/>
        <v>1680.79</v>
      </c>
      <c r="H464" t="str">
        <f>VLOOKUP(C464,[1]products!$A:$B,2,FALSE)</f>
        <v>Surly Straggler 650b - 2016</v>
      </c>
      <c r="I464">
        <f>VLOOKUP(C464,[1]products!$A:$D,4,FALSE)</f>
        <v>4</v>
      </c>
      <c r="J464" t="str">
        <f>VLOOKUP(I464,[2]categories!$A$1:$B$8,2,FALSE)</f>
        <v>Cyclocross Bicycles</v>
      </c>
    </row>
    <row r="465" customHeight="1" spans="1:10">
      <c r="A465" s="1">
        <v>167</v>
      </c>
      <c r="B465" s="1">
        <v>1</v>
      </c>
      <c r="C465" s="1">
        <v>12</v>
      </c>
      <c r="D465" s="1">
        <v>1</v>
      </c>
      <c r="E465" s="1">
        <v>549.99</v>
      </c>
      <c r="F465" s="1">
        <v>0.05</v>
      </c>
      <c r="G465">
        <f t="shared" si="7"/>
        <v>549.94</v>
      </c>
      <c r="H465" t="str">
        <f>VLOOKUP(C465,[1]products!$A:$B,2,FALSE)</f>
        <v>Electra Townie Original 21D - 2016</v>
      </c>
      <c r="I465">
        <f>VLOOKUP(C465,[1]products!$A:$D,4,FALSE)</f>
        <v>3</v>
      </c>
      <c r="J465" t="str">
        <f>VLOOKUP(I465,[2]categories!$A$1:$B$8,2,FALSE)</f>
        <v>Cruisers Bicycles</v>
      </c>
    </row>
    <row r="466" customHeight="1" spans="1:10">
      <c r="A466" s="1">
        <v>167</v>
      </c>
      <c r="B466" s="1">
        <v>2</v>
      </c>
      <c r="C466" s="1">
        <v>10</v>
      </c>
      <c r="D466" s="1">
        <v>1</v>
      </c>
      <c r="E466" s="1">
        <v>1549</v>
      </c>
      <c r="F466" s="1">
        <v>0.2</v>
      </c>
      <c r="G466">
        <f t="shared" si="7"/>
        <v>1548.8</v>
      </c>
      <c r="H466" t="str">
        <f>VLOOKUP(C466,[1]products!$A:$B,2,FALSE)</f>
        <v>Surly Straggler - 2016</v>
      </c>
      <c r="I466">
        <f>VLOOKUP(C466,[1]products!$A:$D,4,FALSE)</f>
        <v>4</v>
      </c>
      <c r="J466" t="str">
        <f>VLOOKUP(I466,[2]categories!$A$1:$B$8,2,FALSE)</f>
        <v>Cyclocross Bicycles</v>
      </c>
    </row>
    <row r="467" customHeight="1" spans="1:10">
      <c r="A467" s="1">
        <v>167</v>
      </c>
      <c r="B467" s="1">
        <v>3</v>
      </c>
      <c r="C467" s="1">
        <v>13</v>
      </c>
      <c r="D467" s="1">
        <v>2</v>
      </c>
      <c r="E467" s="1">
        <v>269.99</v>
      </c>
      <c r="F467" s="1">
        <v>0.05</v>
      </c>
      <c r="G467">
        <f t="shared" si="7"/>
        <v>539.93</v>
      </c>
      <c r="H467" t="str">
        <f>VLOOKUP(C467,[1]products!$A:$B,2,FALSE)</f>
        <v>Electra Cruiser 1 (24-Inch) - 2016</v>
      </c>
      <c r="I467">
        <f>VLOOKUP(C467,[1]products!$A:$D,4,FALSE)</f>
        <v>3</v>
      </c>
      <c r="J467" t="str">
        <f>VLOOKUP(I467,[2]categories!$A$1:$B$8,2,FALSE)</f>
        <v>Cruisers Bicycles</v>
      </c>
    </row>
    <row r="468" customHeight="1" spans="1:10">
      <c r="A468" s="1">
        <v>167</v>
      </c>
      <c r="B468" s="1">
        <v>4</v>
      </c>
      <c r="C468" s="1">
        <v>7</v>
      </c>
      <c r="D468" s="1">
        <v>2</v>
      </c>
      <c r="E468" s="1">
        <v>3999.99</v>
      </c>
      <c r="F468" s="1">
        <v>0.05</v>
      </c>
      <c r="G468">
        <f t="shared" si="7"/>
        <v>7999.93</v>
      </c>
      <c r="H468" t="str">
        <f>VLOOKUP(C468,[1]products!$A:$B,2,FALSE)</f>
        <v>Trek Slash 8 27.5 - 2016</v>
      </c>
      <c r="I468">
        <f>VLOOKUP(C468,[1]products!$A:$D,4,FALSE)</f>
        <v>6</v>
      </c>
      <c r="J468" t="str">
        <f>VLOOKUP(I468,[2]categories!$A$1:$B$8,2,FALSE)</f>
        <v>Mountain Bikes</v>
      </c>
    </row>
    <row r="469" customHeight="1" spans="1:10">
      <c r="A469" s="1">
        <v>168</v>
      </c>
      <c r="B469" s="1">
        <v>1</v>
      </c>
      <c r="C469" s="1">
        <v>6</v>
      </c>
      <c r="D469" s="1">
        <v>1</v>
      </c>
      <c r="E469" s="1">
        <v>469.99</v>
      </c>
      <c r="F469" s="1">
        <v>0.1</v>
      </c>
      <c r="G469">
        <f t="shared" si="7"/>
        <v>469.89</v>
      </c>
      <c r="H469" t="str">
        <f>VLOOKUP(C469,[1]products!$A:$B,2,FALSE)</f>
        <v>Surly Ice Cream Truck Frameset - 2016</v>
      </c>
      <c r="I469">
        <f>VLOOKUP(C469,[1]products!$A:$D,4,FALSE)</f>
        <v>6</v>
      </c>
      <c r="J469" t="str">
        <f>VLOOKUP(I469,[2]categories!$A$1:$B$8,2,FALSE)</f>
        <v>Mountain Bikes</v>
      </c>
    </row>
    <row r="470" customHeight="1" spans="1:10">
      <c r="A470" s="1">
        <v>168</v>
      </c>
      <c r="B470" s="1">
        <v>2</v>
      </c>
      <c r="C470" s="1">
        <v>11</v>
      </c>
      <c r="D470" s="1">
        <v>2</v>
      </c>
      <c r="E470" s="1">
        <v>1680.99</v>
      </c>
      <c r="F470" s="1">
        <v>0.07</v>
      </c>
      <c r="G470">
        <f t="shared" si="7"/>
        <v>3361.91</v>
      </c>
      <c r="H470" t="str">
        <f>VLOOKUP(C470,[1]products!$A:$B,2,FALSE)</f>
        <v>Surly Straggler 650b - 2016</v>
      </c>
      <c r="I470">
        <f>VLOOKUP(C470,[1]products!$A:$D,4,FALSE)</f>
        <v>4</v>
      </c>
      <c r="J470" t="str">
        <f>VLOOKUP(I470,[2]categories!$A$1:$B$8,2,FALSE)</f>
        <v>Cyclocross Bicycles</v>
      </c>
    </row>
    <row r="471" customHeight="1" spans="1:10">
      <c r="A471" s="1">
        <v>168</v>
      </c>
      <c r="B471" s="1">
        <v>3</v>
      </c>
      <c r="C471" s="1">
        <v>12</v>
      </c>
      <c r="D471" s="1">
        <v>2</v>
      </c>
      <c r="E471" s="1">
        <v>549.99</v>
      </c>
      <c r="F471" s="1">
        <v>0.07</v>
      </c>
      <c r="G471">
        <f t="shared" si="7"/>
        <v>1099.91</v>
      </c>
      <c r="H471" t="str">
        <f>VLOOKUP(C471,[1]products!$A:$B,2,FALSE)</f>
        <v>Electra Townie Original 21D - 2016</v>
      </c>
      <c r="I471">
        <f>VLOOKUP(C471,[1]products!$A:$D,4,FALSE)</f>
        <v>3</v>
      </c>
      <c r="J471" t="str">
        <f>VLOOKUP(I471,[2]categories!$A$1:$B$8,2,FALSE)</f>
        <v>Cruisers Bicycles</v>
      </c>
    </row>
    <row r="472" customHeight="1" spans="1:10">
      <c r="A472" s="1">
        <v>168</v>
      </c>
      <c r="B472" s="1">
        <v>4</v>
      </c>
      <c r="C472" s="1">
        <v>22</v>
      </c>
      <c r="D472" s="1">
        <v>2</v>
      </c>
      <c r="E472" s="1">
        <v>269.99</v>
      </c>
      <c r="F472" s="1">
        <v>0.2</v>
      </c>
      <c r="G472">
        <f t="shared" si="7"/>
        <v>539.78</v>
      </c>
      <c r="H472" t="str">
        <f>VLOOKUP(C472,[1]products!$A:$B,2,FALSE)</f>
        <v>Electra Girl's Hawaii 1 (16-inch) - 2015/2016</v>
      </c>
      <c r="I472">
        <f>VLOOKUP(C472,[1]products!$A:$D,4,FALSE)</f>
        <v>1</v>
      </c>
      <c r="J472" t="str">
        <f>VLOOKUP(I472,[2]categories!$A$1:$B$8,2,FALSE)</f>
        <v>Children Bicycles</v>
      </c>
    </row>
    <row r="473" customHeight="1" spans="1:10">
      <c r="A473" s="1">
        <v>169</v>
      </c>
      <c r="B473" s="1">
        <v>1</v>
      </c>
      <c r="C473" s="1">
        <v>20</v>
      </c>
      <c r="D473" s="1">
        <v>2</v>
      </c>
      <c r="E473" s="1">
        <v>599.99</v>
      </c>
      <c r="F473" s="1">
        <v>0.1</v>
      </c>
      <c r="G473">
        <f t="shared" si="7"/>
        <v>1199.88</v>
      </c>
      <c r="H473" t="str">
        <f>VLOOKUP(C473,[1]products!$A:$B,2,FALSE)</f>
        <v>Electra Townie Original 7D EQ - Women's - 2016</v>
      </c>
      <c r="I473">
        <f>VLOOKUP(C473,[1]products!$A:$D,4,FALSE)</f>
        <v>3</v>
      </c>
      <c r="J473" t="str">
        <f>VLOOKUP(I473,[2]categories!$A$1:$B$8,2,FALSE)</f>
        <v>Cruisers Bicycles</v>
      </c>
    </row>
    <row r="474" customHeight="1" spans="1:10">
      <c r="A474" s="1">
        <v>169</v>
      </c>
      <c r="B474" s="1">
        <v>2</v>
      </c>
      <c r="C474" s="1">
        <v>5</v>
      </c>
      <c r="D474" s="1">
        <v>1</v>
      </c>
      <c r="E474" s="1">
        <v>1320.99</v>
      </c>
      <c r="F474" s="1">
        <v>0.05</v>
      </c>
      <c r="G474">
        <f t="shared" si="7"/>
        <v>1320.94</v>
      </c>
      <c r="H474" t="str">
        <f>VLOOKUP(C474,[1]products!$A:$B,2,FALSE)</f>
        <v>Heller Shagamaw Frame - 2016</v>
      </c>
      <c r="I474">
        <f>VLOOKUP(C474,[1]products!$A:$D,4,FALSE)</f>
        <v>6</v>
      </c>
      <c r="J474" t="str">
        <f>VLOOKUP(I474,[2]categories!$A$1:$B$8,2,FALSE)</f>
        <v>Mountain Bikes</v>
      </c>
    </row>
    <row r="475" customHeight="1" spans="1:10">
      <c r="A475" s="1">
        <v>169</v>
      </c>
      <c r="B475" s="1">
        <v>3</v>
      </c>
      <c r="C475" s="1">
        <v>10</v>
      </c>
      <c r="D475" s="1">
        <v>1</v>
      </c>
      <c r="E475" s="1">
        <v>1549</v>
      </c>
      <c r="F475" s="1">
        <v>0.2</v>
      </c>
      <c r="G475">
        <f t="shared" si="7"/>
        <v>1548.8</v>
      </c>
      <c r="H475" t="str">
        <f>VLOOKUP(C475,[1]products!$A:$B,2,FALSE)</f>
        <v>Surly Straggler - 2016</v>
      </c>
      <c r="I475">
        <f>VLOOKUP(C475,[1]products!$A:$D,4,FALSE)</f>
        <v>4</v>
      </c>
      <c r="J475" t="str">
        <f>VLOOKUP(I475,[2]categories!$A$1:$B$8,2,FALSE)</f>
        <v>Cyclocross Bicycles</v>
      </c>
    </row>
    <row r="476" customHeight="1" spans="1:10">
      <c r="A476" s="1">
        <v>169</v>
      </c>
      <c r="B476" s="1">
        <v>4</v>
      </c>
      <c r="C476" s="1">
        <v>11</v>
      </c>
      <c r="D476" s="1">
        <v>1</v>
      </c>
      <c r="E476" s="1">
        <v>1680.99</v>
      </c>
      <c r="F476" s="1">
        <v>0.2</v>
      </c>
      <c r="G476">
        <f t="shared" si="7"/>
        <v>1680.79</v>
      </c>
      <c r="H476" t="str">
        <f>VLOOKUP(C476,[1]products!$A:$B,2,FALSE)</f>
        <v>Surly Straggler 650b - 2016</v>
      </c>
      <c r="I476">
        <f>VLOOKUP(C476,[1]products!$A:$D,4,FALSE)</f>
        <v>4</v>
      </c>
      <c r="J476" t="str">
        <f>VLOOKUP(I476,[2]categories!$A$1:$B$8,2,FALSE)</f>
        <v>Cyclocross Bicycles</v>
      </c>
    </row>
    <row r="477" customHeight="1" spans="1:10">
      <c r="A477" s="1">
        <v>169</v>
      </c>
      <c r="B477" s="1">
        <v>5</v>
      </c>
      <c r="C477" s="1">
        <v>14</v>
      </c>
      <c r="D477" s="1">
        <v>2</v>
      </c>
      <c r="E477" s="1">
        <v>269.99</v>
      </c>
      <c r="F477" s="1">
        <v>0.05</v>
      </c>
      <c r="G477">
        <f t="shared" si="7"/>
        <v>539.93</v>
      </c>
      <c r="H477" t="str">
        <f>VLOOKUP(C477,[1]products!$A:$B,2,FALSE)</f>
        <v>Electra Girl's Hawaii 1 (16-inch) - 2015/2016</v>
      </c>
      <c r="I477">
        <f>VLOOKUP(C477,[1]products!$A:$D,4,FALSE)</f>
        <v>3</v>
      </c>
      <c r="J477" t="str">
        <f>VLOOKUP(I477,[2]categories!$A$1:$B$8,2,FALSE)</f>
        <v>Cruisers Bicycles</v>
      </c>
    </row>
    <row r="478" customHeight="1" spans="1:10">
      <c r="A478" s="1">
        <v>170</v>
      </c>
      <c r="B478" s="1">
        <v>1</v>
      </c>
      <c r="C478" s="1">
        <v>12</v>
      </c>
      <c r="D478" s="1">
        <v>2</v>
      </c>
      <c r="E478" s="1">
        <v>549.99</v>
      </c>
      <c r="F478" s="1">
        <v>0.1</v>
      </c>
      <c r="G478">
        <f t="shared" si="7"/>
        <v>1099.88</v>
      </c>
      <c r="H478" t="str">
        <f>VLOOKUP(C478,[1]products!$A:$B,2,FALSE)</f>
        <v>Electra Townie Original 21D - 2016</v>
      </c>
      <c r="I478">
        <f>VLOOKUP(C478,[1]products!$A:$D,4,FALSE)</f>
        <v>3</v>
      </c>
      <c r="J478" t="str">
        <f>VLOOKUP(I478,[2]categories!$A$1:$B$8,2,FALSE)</f>
        <v>Cruisers Bicycles</v>
      </c>
    </row>
    <row r="479" customHeight="1" spans="1:10">
      <c r="A479" s="1">
        <v>170</v>
      </c>
      <c r="B479" s="1">
        <v>2</v>
      </c>
      <c r="C479" s="1">
        <v>24</v>
      </c>
      <c r="D479" s="1">
        <v>1</v>
      </c>
      <c r="E479" s="1">
        <v>549.99</v>
      </c>
      <c r="F479" s="1">
        <v>0.05</v>
      </c>
      <c r="G479">
        <f t="shared" si="7"/>
        <v>549.94</v>
      </c>
      <c r="H479" t="str">
        <f>VLOOKUP(C479,[1]products!$A:$B,2,FALSE)</f>
        <v>Electra Townie Original 21D - 2016</v>
      </c>
      <c r="I479">
        <f>VLOOKUP(C479,[1]products!$A:$D,4,FALSE)</f>
        <v>2</v>
      </c>
      <c r="J479" t="str">
        <f>VLOOKUP(I479,[2]categories!$A$1:$B$8,2,FALSE)</f>
        <v>Comfort Bicycles</v>
      </c>
    </row>
    <row r="480" customHeight="1" spans="1:10">
      <c r="A480" s="1">
        <v>170</v>
      </c>
      <c r="B480" s="1">
        <v>3</v>
      </c>
      <c r="C480" s="1">
        <v>7</v>
      </c>
      <c r="D480" s="1">
        <v>1</v>
      </c>
      <c r="E480" s="1">
        <v>3999.99</v>
      </c>
      <c r="F480" s="1">
        <v>0.2</v>
      </c>
      <c r="G480">
        <f t="shared" si="7"/>
        <v>3999.79</v>
      </c>
      <c r="H480" t="str">
        <f>VLOOKUP(C480,[1]products!$A:$B,2,FALSE)</f>
        <v>Trek Slash 8 27.5 - 2016</v>
      </c>
      <c r="I480">
        <f>VLOOKUP(C480,[1]products!$A:$D,4,FALSE)</f>
        <v>6</v>
      </c>
      <c r="J480" t="str">
        <f>VLOOKUP(I480,[2]categories!$A$1:$B$8,2,FALSE)</f>
        <v>Mountain Bikes</v>
      </c>
    </row>
    <row r="481" customHeight="1" spans="1:10">
      <c r="A481" s="1">
        <v>170</v>
      </c>
      <c r="B481" s="1">
        <v>4</v>
      </c>
      <c r="C481" s="1">
        <v>18</v>
      </c>
      <c r="D481" s="1">
        <v>2</v>
      </c>
      <c r="E481" s="1">
        <v>449</v>
      </c>
      <c r="F481" s="1">
        <v>0.05</v>
      </c>
      <c r="G481">
        <f t="shared" si="7"/>
        <v>897.95</v>
      </c>
      <c r="H481" t="str">
        <f>VLOOKUP(C481,[1]products!$A:$B,2,FALSE)</f>
        <v>Pure Cycles Western 3-Speed - Women's - 2015/2016</v>
      </c>
      <c r="I481">
        <f>VLOOKUP(C481,[1]products!$A:$D,4,FALSE)</f>
        <v>3</v>
      </c>
      <c r="J481" t="str">
        <f>VLOOKUP(I481,[2]categories!$A$1:$B$8,2,FALSE)</f>
        <v>Cruisers Bicycles</v>
      </c>
    </row>
    <row r="482" customHeight="1" spans="1:10">
      <c r="A482" s="1">
        <v>171</v>
      </c>
      <c r="B482" s="1">
        <v>1</v>
      </c>
      <c r="C482" s="1">
        <v>8</v>
      </c>
      <c r="D482" s="1">
        <v>1</v>
      </c>
      <c r="E482" s="1">
        <v>1799.99</v>
      </c>
      <c r="F482" s="1">
        <v>0.05</v>
      </c>
      <c r="G482">
        <f t="shared" si="7"/>
        <v>1799.94</v>
      </c>
      <c r="H482" t="str">
        <f>VLOOKUP(C482,[1]products!$A:$B,2,FALSE)</f>
        <v>Trek Remedy 29 Carbon Frameset - 2016</v>
      </c>
      <c r="I482">
        <f>VLOOKUP(C482,[1]products!$A:$D,4,FALSE)</f>
        <v>6</v>
      </c>
      <c r="J482" t="str">
        <f>VLOOKUP(I482,[2]categories!$A$1:$B$8,2,FALSE)</f>
        <v>Mountain Bikes</v>
      </c>
    </row>
    <row r="483" customHeight="1" spans="1:10">
      <c r="A483" s="1">
        <v>172</v>
      </c>
      <c r="B483" s="1">
        <v>1</v>
      </c>
      <c r="C483" s="1">
        <v>23</v>
      </c>
      <c r="D483" s="1">
        <v>1</v>
      </c>
      <c r="E483" s="1">
        <v>299.99</v>
      </c>
      <c r="F483" s="1">
        <v>0.07</v>
      </c>
      <c r="G483">
        <f t="shared" si="7"/>
        <v>299.92</v>
      </c>
      <c r="H483" t="str">
        <f>VLOOKUP(C483,[1]products!$A:$B,2,FALSE)</f>
        <v>Electra Girl's Hawaii 1 (20-inch) - 2015/2016</v>
      </c>
      <c r="I483">
        <f>VLOOKUP(C483,[1]products!$A:$D,4,FALSE)</f>
        <v>1</v>
      </c>
      <c r="J483" t="str">
        <f>VLOOKUP(I483,[2]categories!$A$1:$B$8,2,FALSE)</f>
        <v>Children Bicycles</v>
      </c>
    </row>
    <row r="484" customHeight="1" spans="1:10">
      <c r="A484" s="1">
        <v>172</v>
      </c>
      <c r="B484" s="1">
        <v>2</v>
      </c>
      <c r="C484" s="1">
        <v>16</v>
      </c>
      <c r="D484" s="1">
        <v>1</v>
      </c>
      <c r="E484" s="1">
        <v>599.99</v>
      </c>
      <c r="F484" s="1">
        <v>0.2</v>
      </c>
      <c r="G484">
        <f t="shared" si="7"/>
        <v>599.79</v>
      </c>
      <c r="H484" t="str">
        <f>VLOOKUP(C484,[1]products!$A:$B,2,FALSE)</f>
        <v>Electra Townie Original 7D EQ - 2016</v>
      </c>
      <c r="I484">
        <f>VLOOKUP(C484,[1]products!$A:$D,4,FALSE)</f>
        <v>3</v>
      </c>
      <c r="J484" t="str">
        <f>VLOOKUP(I484,[2]categories!$A$1:$B$8,2,FALSE)</f>
        <v>Cruisers Bicycles</v>
      </c>
    </row>
    <row r="485" customHeight="1" spans="1:10">
      <c r="A485" s="1">
        <v>173</v>
      </c>
      <c r="B485" s="1">
        <v>1</v>
      </c>
      <c r="C485" s="1">
        <v>14</v>
      </c>
      <c r="D485" s="1">
        <v>1</v>
      </c>
      <c r="E485" s="1">
        <v>269.99</v>
      </c>
      <c r="F485" s="1">
        <v>0.05</v>
      </c>
      <c r="G485">
        <f t="shared" si="7"/>
        <v>269.94</v>
      </c>
      <c r="H485" t="str">
        <f>VLOOKUP(C485,[1]products!$A:$B,2,FALSE)</f>
        <v>Electra Girl's Hawaii 1 (16-inch) - 2015/2016</v>
      </c>
      <c r="I485">
        <f>VLOOKUP(C485,[1]products!$A:$D,4,FALSE)</f>
        <v>3</v>
      </c>
      <c r="J485" t="str">
        <f>VLOOKUP(I485,[2]categories!$A$1:$B$8,2,FALSE)</f>
        <v>Cruisers Bicycles</v>
      </c>
    </row>
    <row r="486" customHeight="1" spans="1:10">
      <c r="A486" s="1">
        <v>173</v>
      </c>
      <c r="B486" s="1">
        <v>2</v>
      </c>
      <c r="C486" s="1">
        <v>16</v>
      </c>
      <c r="D486" s="1">
        <v>1</v>
      </c>
      <c r="E486" s="1">
        <v>599.99</v>
      </c>
      <c r="F486" s="1">
        <v>0.2</v>
      </c>
      <c r="G486">
        <f t="shared" si="7"/>
        <v>599.79</v>
      </c>
      <c r="H486" t="str">
        <f>VLOOKUP(C486,[1]products!$A:$B,2,FALSE)</f>
        <v>Electra Townie Original 7D EQ - 2016</v>
      </c>
      <c r="I486">
        <f>VLOOKUP(C486,[1]products!$A:$D,4,FALSE)</f>
        <v>3</v>
      </c>
      <c r="J486" t="str">
        <f>VLOOKUP(I486,[2]categories!$A$1:$B$8,2,FALSE)</f>
        <v>Cruisers Bicycles</v>
      </c>
    </row>
    <row r="487" customHeight="1" spans="1:10">
      <c r="A487" s="1">
        <v>173</v>
      </c>
      <c r="B487" s="1">
        <v>3</v>
      </c>
      <c r="C487" s="1">
        <v>20</v>
      </c>
      <c r="D487" s="1">
        <v>2</v>
      </c>
      <c r="E487" s="1">
        <v>599.99</v>
      </c>
      <c r="F487" s="1">
        <v>0.05</v>
      </c>
      <c r="G487">
        <f t="shared" si="7"/>
        <v>1199.93</v>
      </c>
      <c r="H487" t="str">
        <f>VLOOKUP(C487,[1]products!$A:$B,2,FALSE)</f>
        <v>Electra Townie Original 7D EQ - Women's - 2016</v>
      </c>
      <c r="I487">
        <f>VLOOKUP(C487,[1]products!$A:$D,4,FALSE)</f>
        <v>3</v>
      </c>
      <c r="J487" t="str">
        <f>VLOOKUP(I487,[2]categories!$A$1:$B$8,2,FALSE)</f>
        <v>Cruisers Bicycles</v>
      </c>
    </row>
    <row r="488" customHeight="1" spans="1:10">
      <c r="A488" s="1">
        <v>174</v>
      </c>
      <c r="B488" s="1">
        <v>1</v>
      </c>
      <c r="C488" s="1">
        <v>22</v>
      </c>
      <c r="D488" s="1">
        <v>2</v>
      </c>
      <c r="E488" s="1">
        <v>269.99</v>
      </c>
      <c r="F488" s="1">
        <v>0.2</v>
      </c>
      <c r="G488">
        <f t="shared" si="7"/>
        <v>539.78</v>
      </c>
      <c r="H488" t="str">
        <f>VLOOKUP(C488,[1]products!$A:$B,2,FALSE)</f>
        <v>Electra Girl's Hawaii 1 (16-inch) - 2015/2016</v>
      </c>
      <c r="I488">
        <f>VLOOKUP(C488,[1]products!$A:$D,4,FALSE)</f>
        <v>1</v>
      </c>
      <c r="J488" t="str">
        <f>VLOOKUP(I488,[2]categories!$A$1:$B$8,2,FALSE)</f>
        <v>Children Bicycles</v>
      </c>
    </row>
    <row r="489" customHeight="1" spans="1:10">
      <c r="A489" s="1">
        <v>174</v>
      </c>
      <c r="B489" s="1">
        <v>2</v>
      </c>
      <c r="C489" s="1">
        <v>19</v>
      </c>
      <c r="D489" s="1">
        <v>2</v>
      </c>
      <c r="E489" s="1">
        <v>449</v>
      </c>
      <c r="F489" s="1">
        <v>0.1</v>
      </c>
      <c r="G489">
        <f t="shared" si="7"/>
        <v>897.9</v>
      </c>
      <c r="H489" t="str">
        <f>VLOOKUP(C489,[1]products!$A:$B,2,FALSE)</f>
        <v>Pure Cycles William 3-Speed - 2016</v>
      </c>
      <c r="I489">
        <f>VLOOKUP(C489,[1]products!$A:$D,4,FALSE)</f>
        <v>3</v>
      </c>
      <c r="J489" t="str">
        <f>VLOOKUP(I489,[2]categories!$A$1:$B$8,2,FALSE)</f>
        <v>Cruisers Bicycles</v>
      </c>
    </row>
    <row r="490" customHeight="1" spans="1:10">
      <c r="A490" s="1">
        <v>175</v>
      </c>
      <c r="B490" s="1">
        <v>1</v>
      </c>
      <c r="C490" s="1">
        <v>5</v>
      </c>
      <c r="D490" s="1">
        <v>1</v>
      </c>
      <c r="E490" s="1">
        <v>1320.99</v>
      </c>
      <c r="F490" s="1">
        <v>0.1</v>
      </c>
      <c r="G490">
        <f t="shared" si="7"/>
        <v>1320.89</v>
      </c>
      <c r="H490" t="str">
        <f>VLOOKUP(C490,[1]products!$A:$B,2,FALSE)</f>
        <v>Heller Shagamaw Frame - 2016</v>
      </c>
      <c r="I490">
        <f>VLOOKUP(C490,[1]products!$A:$D,4,FALSE)</f>
        <v>6</v>
      </c>
      <c r="J490" t="str">
        <f>VLOOKUP(I490,[2]categories!$A$1:$B$8,2,FALSE)</f>
        <v>Mountain Bikes</v>
      </c>
    </row>
    <row r="491" customHeight="1" spans="1:10">
      <c r="A491" s="1">
        <v>175</v>
      </c>
      <c r="B491" s="1">
        <v>2</v>
      </c>
      <c r="C491" s="1">
        <v>2</v>
      </c>
      <c r="D491" s="1">
        <v>2</v>
      </c>
      <c r="E491" s="1">
        <v>749.99</v>
      </c>
      <c r="F491" s="1">
        <v>0.2</v>
      </c>
      <c r="G491">
        <f t="shared" si="7"/>
        <v>1499.78</v>
      </c>
      <c r="H491" t="str">
        <f>VLOOKUP(C491,[1]products!$A:$B,2,FALSE)</f>
        <v>Ritchey Timberwolf Frameset - 2016</v>
      </c>
      <c r="I491">
        <f>VLOOKUP(C491,[1]products!$A:$D,4,FALSE)</f>
        <v>6</v>
      </c>
      <c r="J491" t="str">
        <f>VLOOKUP(I491,[2]categories!$A$1:$B$8,2,FALSE)</f>
        <v>Mountain Bikes</v>
      </c>
    </row>
    <row r="492" customHeight="1" spans="1:10">
      <c r="A492" s="1">
        <v>175</v>
      </c>
      <c r="B492" s="1">
        <v>3</v>
      </c>
      <c r="C492" s="1">
        <v>21</v>
      </c>
      <c r="D492" s="1">
        <v>2</v>
      </c>
      <c r="E492" s="1">
        <v>269.99</v>
      </c>
      <c r="F492" s="1">
        <v>0.1</v>
      </c>
      <c r="G492">
        <f t="shared" si="7"/>
        <v>539.88</v>
      </c>
      <c r="H492" t="str">
        <f>VLOOKUP(C492,[1]products!$A:$B,2,FALSE)</f>
        <v>Electra Cruiser 1 (24-Inch) - 2016</v>
      </c>
      <c r="I492">
        <f>VLOOKUP(C492,[1]products!$A:$D,4,FALSE)</f>
        <v>1</v>
      </c>
      <c r="J492" t="str">
        <f>VLOOKUP(I492,[2]categories!$A$1:$B$8,2,FALSE)</f>
        <v>Children Bicycles</v>
      </c>
    </row>
    <row r="493" customHeight="1" spans="1:10">
      <c r="A493" s="1">
        <v>175</v>
      </c>
      <c r="B493" s="1">
        <v>4</v>
      </c>
      <c r="C493" s="1">
        <v>19</v>
      </c>
      <c r="D493" s="1">
        <v>1</v>
      </c>
      <c r="E493" s="1">
        <v>449</v>
      </c>
      <c r="F493" s="1">
        <v>0.07</v>
      </c>
      <c r="G493">
        <f t="shared" si="7"/>
        <v>448.93</v>
      </c>
      <c r="H493" t="str">
        <f>VLOOKUP(C493,[1]products!$A:$B,2,FALSE)</f>
        <v>Pure Cycles William 3-Speed - 2016</v>
      </c>
      <c r="I493">
        <f>VLOOKUP(C493,[1]products!$A:$D,4,FALSE)</f>
        <v>3</v>
      </c>
      <c r="J493" t="str">
        <f>VLOOKUP(I493,[2]categories!$A$1:$B$8,2,FALSE)</f>
        <v>Cruisers Bicycles</v>
      </c>
    </row>
    <row r="494" customHeight="1" spans="1:10">
      <c r="A494" s="1">
        <v>176</v>
      </c>
      <c r="B494" s="1">
        <v>1</v>
      </c>
      <c r="C494" s="1">
        <v>2</v>
      </c>
      <c r="D494" s="1">
        <v>2</v>
      </c>
      <c r="E494" s="1">
        <v>749.99</v>
      </c>
      <c r="F494" s="1">
        <v>0.07</v>
      </c>
      <c r="G494">
        <f t="shared" si="7"/>
        <v>1499.91</v>
      </c>
      <c r="H494" t="str">
        <f>VLOOKUP(C494,[1]products!$A:$B,2,FALSE)</f>
        <v>Ritchey Timberwolf Frameset - 2016</v>
      </c>
      <c r="I494">
        <f>VLOOKUP(C494,[1]products!$A:$D,4,FALSE)</f>
        <v>6</v>
      </c>
      <c r="J494" t="str">
        <f>VLOOKUP(I494,[2]categories!$A$1:$B$8,2,FALSE)</f>
        <v>Mountain Bikes</v>
      </c>
    </row>
    <row r="495" customHeight="1" spans="1:10">
      <c r="A495" s="1">
        <v>176</v>
      </c>
      <c r="B495" s="1">
        <v>2</v>
      </c>
      <c r="C495" s="1">
        <v>11</v>
      </c>
      <c r="D495" s="1">
        <v>2</v>
      </c>
      <c r="E495" s="1">
        <v>1680.99</v>
      </c>
      <c r="F495" s="1">
        <v>0.2</v>
      </c>
      <c r="G495">
        <f t="shared" si="7"/>
        <v>3361.78</v>
      </c>
      <c r="H495" t="str">
        <f>VLOOKUP(C495,[1]products!$A:$B,2,FALSE)</f>
        <v>Surly Straggler 650b - 2016</v>
      </c>
      <c r="I495">
        <f>VLOOKUP(C495,[1]products!$A:$D,4,FALSE)</f>
        <v>4</v>
      </c>
      <c r="J495" t="str">
        <f>VLOOKUP(I495,[2]categories!$A$1:$B$8,2,FALSE)</f>
        <v>Cyclocross Bicycles</v>
      </c>
    </row>
    <row r="496" customHeight="1" spans="1:10">
      <c r="A496" s="1">
        <v>176</v>
      </c>
      <c r="B496" s="1">
        <v>3</v>
      </c>
      <c r="C496" s="1">
        <v>16</v>
      </c>
      <c r="D496" s="1">
        <v>2</v>
      </c>
      <c r="E496" s="1">
        <v>599.99</v>
      </c>
      <c r="F496" s="1">
        <v>0.05</v>
      </c>
      <c r="G496">
        <f t="shared" si="7"/>
        <v>1199.93</v>
      </c>
      <c r="H496" t="str">
        <f>VLOOKUP(C496,[1]products!$A:$B,2,FALSE)</f>
        <v>Electra Townie Original 7D EQ - 2016</v>
      </c>
      <c r="I496">
        <f>VLOOKUP(C496,[1]products!$A:$D,4,FALSE)</f>
        <v>3</v>
      </c>
      <c r="J496" t="str">
        <f>VLOOKUP(I496,[2]categories!$A$1:$B$8,2,FALSE)</f>
        <v>Cruisers Bicycles</v>
      </c>
    </row>
    <row r="497" customHeight="1" spans="1:10">
      <c r="A497" s="1">
        <v>177</v>
      </c>
      <c r="B497" s="1">
        <v>1</v>
      </c>
      <c r="C497" s="1">
        <v>20</v>
      </c>
      <c r="D497" s="1">
        <v>2</v>
      </c>
      <c r="E497" s="1">
        <v>599.99</v>
      </c>
      <c r="F497" s="1">
        <v>0.1</v>
      </c>
      <c r="G497">
        <f t="shared" si="7"/>
        <v>1199.88</v>
      </c>
      <c r="H497" t="str">
        <f>VLOOKUP(C497,[1]products!$A:$B,2,FALSE)</f>
        <v>Electra Townie Original 7D EQ - Women's - 2016</v>
      </c>
      <c r="I497">
        <f>VLOOKUP(C497,[1]products!$A:$D,4,FALSE)</f>
        <v>3</v>
      </c>
      <c r="J497" t="str">
        <f>VLOOKUP(I497,[2]categories!$A$1:$B$8,2,FALSE)</f>
        <v>Cruisers Bicycles</v>
      </c>
    </row>
    <row r="498" customHeight="1" spans="1:10">
      <c r="A498" s="1">
        <v>178</v>
      </c>
      <c r="B498" s="1">
        <v>1</v>
      </c>
      <c r="C498" s="1">
        <v>10</v>
      </c>
      <c r="D498" s="1">
        <v>2</v>
      </c>
      <c r="E498" s="1">
        <v>1549</v>
      </c>
      <c r="F498" s="1">
        <v>0.2</v>
      </c>
      <c r="G498">
        <f t="shared" si="7"/>
        <v>3097.8</v>
      </c>
      <c r="H498" t="str">
        <f>VLOOKUP(C498,[1]products!$A:$B,2,FALSE)</f>
        <v>Surly Straggler - 2016</v>
      </c>
      <c r="I498">
        <f>VLOOKUP(C498,[1]products!$A:$D,4,FALSE)</f>
        <v>4</v>
      </c>
      <c r="J498" t="str">
        <f>VLOOKUP(I498,[2]categories!$A$1:$B$8,2,FALSE)</f>
        <v>Cyclocross Bicycles</v>
      </c>
    </row>
    <row r="499" customHeight="1" spans="1:10">
      <c r="A499" s="1">
        <v>178</v>
      </c>
      <c r="B499" s="1">
        <v>2</v>
      </c>
      <c r="C499" s="1">
        <v>12</v>
      </c>
      <c r="D499" s="1">
        <v>1</v>
      </c>
      <c r="E499" s="1">
        <v>549.99</v>
      </c>
      <c r="F499" s="1">
        <v>0.05</v>
      </c>
      <c r="G499">
        <f t="shared" si="7"/>
        <v>549.94</v>
      </c>
      <c r="H499" t="str">
        <f>VLOOKUP(C499,[1]products!$A:$B,2,FALSE)</f>
        <v>Electra Townie Original 21D - 2016</v>
      </c>
      <c r="I499">
        <f>VLOOKUP(C499,[1]products!$A:$D,4,FALSE)</f>
        <v>3</v>
      </c>
      <c r="J499" t="str">
        <f>VLOOKUP(I499,[2]categories!$A$1:$B$8,2,FALSE)</f>
        <v>Cruisers Bicycles</v>
      </c>
    </row>
    <row r="500" customHeight="1" spans="1:10">
      <c r="A500" s="1">
        <v>178</v>
      </c>
      <c r="B500" s="1">
        <v>3</v>
      </c>
      <c r="C500" s="1">
        <v>3</v>
      </c>
      <c r="D500" s="1">
        <v>1</v>
      </c>
      <c r="E500" s="1">
        <v>999.99</v>
      </c>
      <c r="F500" s="1">
        <v>0.1</v>
      </c>
      <c r="G500">
        <f t="shared" si="7"/>
        <v>999.89</v>
      </c>
      <c r="H500" t="str">
        <f>VLOOKUP(C500,[1]products!$A:$B,2,FALSE)</f>
        <v>Surly Wednesday Frameset - 2016</v>
      </c>
      <c r="I500">
        <f>VLOOKUP(C500,[1]products!$A:$D,4,FALSE)</f>
        <v>6</v>
      </c>
      <c r="J500" t="str">
        <f>VLOOKUP(I500,[2]categories!$A$1:$B$8,2,FALSE)</f>
        <v>Mountain Bikes</v>
      </c>
    </row>
    <row r="501" customHeight="1" spans="1:10">
      <c r="A501" s="1">
        <v>178</v>
      </c>
      <c r="B501" s="1">
        <v>4</v>
      </c>
      <c r="C501" s="1">
        <v>18</v>
      </c>
      <c r="D501" s="1">
        <v>1</v>
      </c>
      <c r="E501" s="1">
        <v>449</v>
      </c>
      <c r="F501" s="1">
        <v>0.07</v>
      </c>
      <c r="G501">
        <f t="shared" si="7"/>
        <v>448.93</v>
      </c>
      <c r="H501" t="str">
        <f>VLOOKUP(C501,[1]products!$A:$B,2,FALSE)</f>
        <v>Pure Cycles Western 3-Speed - Women's - 2015/2016</v>
      </c>
      <c r="I501">
        <f>VLOOKUP(C501,[1]products!$A:$D,4,FALSE)</f>
        <v>3</v>
      </c>
      <c r="J501" t="str">
        <f>VLOOKUP(I501,[2]categories!$A$1:$B$8,2,FALSE)</f>
        <v>Cruisers Bicycles</v>
      </c>
    </row>
    <row r="502" customHeight="1" spans="1:10">
      <c r="A502" s="1">
        <v>179</v>
      </c>
      <c r="B502" s="1">
        <v>1</v>
      </c>
      <c r="C502" s="1">
        <v>13</v>
      </c>
      <c r="D502" s="1">
        <v>2</v>
      </c>
      <c r="E502" s="1">
        <v>269.99</v>
      </c>
      <c r="F502" s="1">
        <v>0.05</v>
      </c>
      <c r="G502">
        <f t="shared" si="7"/>
        <v>539.93</v>
      </c>
      <c r="H502" t="str">
        <f>VLOOKUP(C502,[1]products!$A:$B,2,FALSE)</f>
        <v>Electra Cruiser 1 (24-Inch) - 2016</v>
      </c>
      <c r="I502">
        <f>VLOOKUP(C502,[1]products!$A:$D,4,FALSE)</f>
        <v>3</v>
      </c>
      <c r="J502" t="str">
        <f>VLOOKUP(I502,[2]categories!$A$1:$B$8,2,FALSE)</f>
        <v>Cruisers Bicycles</v>
      </c>
    </row>
    <row r="503" customHeight="1" spans="1:10">
      <c r="A503" s="1">
        <v>179</v>
      </c>
      <c r="B503" s="1">
        <v>2</v>
      </c>
      <c r="C503" s="1">
        <v>26</v>
      </c>
      <c r="D503" s="1">
        <v>1</v>
      </c>
      <c r="E503" s="1">
        <v>599.99</v>
      </c>
      <c r="F503" s="1">
        <v>0.1</v>
      </c>
      <c r="G503">
        <f t="shared" si="7"/>
        <v>599.89</v>
      </c>
      <c r="H503" t="str">
        <f>VLOOKUP(C503,[1]products!$A:$B,2,FALSE)</f>
        <v>Electra Townie Original 7D EQ - 2016</v>
      </c>
      <c r="I503">
        <f>VLOOKUP(C503,[1]products!$A:$D,4,FALSE)</f>
        <v>2</v>
      </c>
      <c r="J503" t="str">
        <f>VLOOKUP(I503,[2]categories!$A$1:$B$8,2,FALSE)</f>
        <v>Comfort Bicycles</v>
      </c>
    </row>
    <row r="504" customHeight="1" spans="1:10">
      <c r="A504" s="1">
        <v>179</v>
      </c>
      <c r="B504" s="1">
        <v>3</v>
      </c>
      <c r="C504" s="1">
        <v>18</v>
      </c>
      <c r="D504" s="1">
        <v>1</v>
      </c>
      <c r="E504" s="1">
        <v>449</v>
      </c>
      <c r="F504" s="1">
        <v>0.2</v>
      </c>
      <c r="G504">
        <f t="shared" si="7"/>
        <v>448.8</v>
      </c>
      <c r="H504" t="str">
        <f>VLOOKUP(C504,[1]products!$A:$B,2,FALSE)</f>
        <v>Pure Cycles Western 3-Speed - Women's - 2015/2016</v>
      </c>
      <c r="I504">
        <f>VLOOKUP(C504,[1]products!$A:$D,4,FALSE)</f>
        <v>3</v>
      </c>
      <c r="J504" t="str">
        <f>VLOOKUP(I504,[2]categories!$A$1:$B$8,2,FALSE)</f>
        <v>Cruisers Bicycles</v>
      </c>
    </row>
    <row r="505" customHeight="1" spans="1:10">
      <c r="A505" s="1">
        <v>179</v>
      </c>
      <c r="B505" s="1">
        <v>4</v>
      </c>
      <c r="C505" s="1">
        <v>12</v>
      </c>
      <c r="D505" s="1">
        <v>2</v>
      </c>
      <c r="E505" s="1">
        <v>549.99</v>
      </c>
      <c r="F505" s="1">
        <v>0.2</v>
      </c>
      <c r="G505">
        <f t="shared" si="7"/>
        <v>1099.78</v>
      </c>
      <c r="H505" t="str">
        <f>VLOOKUP(C505,[1]products!$A:$B,2,FALSE)</f>
        <v>Electra Townie Original 21D - 2016</v>
      </c>
      <c r="I505">
        <f>VLOOKUP(C505,[1]products!$A:$D,4,FALSE)</f>
        <v>3</v>
      </c>
      <c r="J505" t="str">
        <f>VLOOKUP(I505,[2]categories!$A$1:$B$8,2,FALSE)</f>
        <v>Cruisers Bicycles</v>
      </c>
    </row>
    <row r="506" customHeight="1" spans="1:10">
      <c r="A506" s="1">
        <v>179</v>
      </c>
      <c r="B506" s="1">
        <v>5</v>
      </c>
      <c r="C506" s="1">
        <v>20</v>
      </c>
      <c r="D506" s="1">
        <v>2</v>
      </c>
      <c r="E506" s="1">
        <v>599.99</v>
      </c>
      <c r="F506" s="1">
        <v>0.1</v>
      </c>
      <c r="G506">
        <f t="shared" si="7"/>
        <v>1199.88</v>
      </c>
      <c r="H506" t="str">
        <f>VLOOKUP(C506,[1]products!$A:$B,2,FALSE)</f>
        <v>Electra Townie Original 7D EQ - Women's - 2016</v>
      </c>
      <c r="I506">
        <f>VLOOKUP(C506,[1]products!$A:$D,4,FALSE)</f>
        <v>3</v>
      </c>
      <c r="J506" t="str">
        <f>VLOOKUP(I506,[2]categories!$A$1:$B$8,2,FALSE)</f>
        <v>Cruisers Bicycles</v>
      </c>
    </row>
    <row r="507" customHeight="1" spans="1:10">
      <c r="A507" s="1">
        <v>180</v>
      </c>
      <c r="B507" s="1">
        <v>1</v>
      </c>
      <c r="C507" s="1">
        <v>16</v>
      </c>
      <c r="D507" s="1">
        <v>1</v>
      </c>
      <c r="E507" s="1">
        <v>599.99</v>
      </c>
      <c r="F507" s="1">
        <v>0.07</v>
      </c>
      <c r="G507">
        <f t="shared" si="7"/>
        <v>599.92</v>
      </c>
      <c r="H507" t="str">
        <f>VLOOKUP(C507,[1]products!$A:$B,2,FALSE)</f>
        <v>Electra Townie Original 7D EQ - 2016</v>
      </c>
      <c r="I507">
        <f>VLOOKUP(C507,[1]products!$A:$D,4,FALSE)</f>
        <v>3</v>
      </c>
      <c r="J507" t="str">
        <f>VLOOKUP(I507,[2]categories!$A$1:$B$8,2,FALSE)</f>
        <v>Cruisers Bicycles</v>
      </c>
    </row>
    <row r="508" customHeight="1" spans="1:10">
      <c r="A508" s="1">
        <v>181</v>
      </c>
      <c r="B508" s="1">
        <v>1</v>
      </c>
      <c r="C508" s="1">
        <v>10</v>
      </c>
      <c r="D508" s="1">
        <v>1</v>
      </c>
      <c r="E508" s="1">
        <v>1549</v>
      </c>
      <c r="F508" s="1">
        <v>0.05</v>
      </c>
      <c r="G508">
        <f t="shared" si="7"/>
        <v>1548.95</v>
      </c>
      <c r="H508" t="str">
        <f>VLOOKUP(C508,[1]products!$A:$B,2,FALSE)</f>
        <v>Surly Straggler - 2016</v>
      </c>
      <c r="I508">
        <f>VLOOKUP(C508,[1]products!$A:$D,4,FALSE)</f>
        <v>4</v>
      </c>
      <c r="J508" t="str">
        <f>VLOOKUP(I508,[2]categories!$A$1:$B$8,2,FALSE)</f>
        <v>Cyclocross Bicycles</v>
      </c>
    </row>
    <row r="509" customHeight="1" spans="1:10">
      <c r="A509" s="1">
        <v>181</v>
      </c>
      <c r="B509" s="1">
        <v>2</v>
      </c>
      <c r="C509" s="1">
        <v>11</v>
      </c>
      <c r="D509" s="1">
        <v>1</v>
      </c>
      <c r="E509" s="1">
        <v>1680.99</v>
      </c>
      <c r="F509" s="1">
        <v>0.1</v>
      </c>
      <c r="G509">
        <f t="shared" si="7"/>
        <v>1680.89</v>
      </c>
      <c r="H509" t="str">
        <f>VLOOKUP(C509,[1]products!$A:$B,2,FALSE)</f>
        <v>Surly Straggler 650b - 2016</v>
      </c>
      <c r="I509">
        <f>VLOOKUP(C509,[1]products!$A:$D,4,FALSE)</f>
        <v>4</v>
      </c>
      <c r="J509" t="str">
        <f>VLOOKUP(I509,[2]categories!$A$1:$B$8,2,FALSE)</f>
        <v>Cyclocross Bicycles</v>
      </c>
    </row>
    <row r="510" customHeight="1" spans="1:10">
      <c r="A510" s="1">
        <v>181</v>
      </c>
      <c r="B510" s="1">
        <v>3</v>
      </c>
      <c r="C510" s="1">
        <v>15</v>
      </c>
      <c r="D510" s="1">
        <v>2</v>
      </c>
      <c r="E510" s="1">
        <v>529.99</v>
      </c>
      <c r="F510" s="1">
        <v>0.2</v>
      </c>
      <c r="G510">
        <f t="shared" si="7"/>
        <v>1059.78</v>
      </c>
      <c r="H510" t="str">
        <f>VLOOKUP(C510,[1]products!$A:$B,2,FALSE)</f>
        <v>Electra Moto 1 - 2016</v>
      </c>
      <c r="I510">
        <f>VLOOKUP(C510,[1]products!$A:$D,4,FALSE)</f>
        <v>3</v>
      </c>
      <c r="J510" t="str">
        <f>VLOOKUP(I510,[2]categories!$A$1:$B$8,2,FALSE)</f>
        <v>Cruisers Bicycles</v>
      </c>
    </row>
    <row r="511" customHeight="1" spans="1:10">
      <c r="A511" s="1">
        <v>181</v>
      </c>
      <c r="B511" s="1">
        <v>4</v>
      </c>
      <c r="C511" s="1">
        <v>24</v>
      </c>
      <c r="D511" s="1">
        <v>2</v>
      </c>
      <c r="E511" s="1">
        <v>549.99</v>
      </c>
      <c r="F511" s="1">
        <v>0.05</v>
      </c>
      <c r="G511">
        <f t="shared" si="7"/>
        <v>1099.93</v>
      </c>
      <c r="H511" t="str">
        <f>VLOOKUP(C511,[1]products!$A:$B,2,FALSE)</f>
        <v>Electra Townie Original 21D - 2016</v>
      </c>
      <c r="I511">
        <f>VLOOKUP(C511,[1]products!$A:$D,4,FALSE)</f>
        <v>2</v>
      </c>
      <c r="J511" t="str">
        <f>VLOOKUP(I511,[2]categories!$A$1:$B$8,2,FALSE)</f>
        <v>Comfort Bicycles</v>
      </c>
    </row>
    <row r="512" customHeight="1" spans="1:10">
      <c r="A512" s="1">
        <v>182</v>
      </c>
      <c r="B512" s="1">
        <v>1</v>
      </c>
      <c r="C512" s="1">
        <v>25</v>
      </c>
      <c r="D512" s="1">
        <v>2</v>
      </c>
      <c r="E512" s="1">
        <v>499.99</v>
      </c>
      <c r="F512" s="1">
        <v>0.05</v>
      </c>
      <c r="G512">
        <f t="shared" si="7"/>
        <v>999.93</v>
      </c>
      <c r="H512" t="str">
        <f>VLOOKUP(C512,[1]products!$A:$B,2,FALSE)</f>
        <v>Electra Townie Original 7D - 2015/2016</v>
      </c>
      <c r="I512">
        <f>VLOOKUP(C512,[1]products!$A:$D,4,FALSE)</f>
        <v>2</v>
      </c>
      <c r="J512" t="str">
        <f>VLOOKUP(I512,[2]categories!$A$1:$B$8,2,FALSE)</f>
        <v>Comfort Bicycles</v>
      </c>
    </row>
    <row r="513" customHeight="1" spans="1:10">
      <c r="A513" s="1">
        <v>182</v>
      </c>
      <c r="B513" s="1">
        <v>2</v>
      </c>
      <c r="C513" s="1">
        <v>24</v>
      </c>
      <c r="D513" s="1">
        <v>2</v>
      </c>
      <c r="E513" s="1">
        <v>549.99</v>
      </c>
      <c r="F513" s="1">
        <v>0.07</v>
      </c>
      <c r="G513">
        <f t="shared" si="7"/>
        <v>1099.91</v>
      </c>
      <c r="H513" t="str">
        <f>VLOOKUP(C513,[1]products!$A:$B,2,FALSE)</f>
        <v>Electra Townie Original 21D - 2016</v>
      </c>
      <c r="I513">
        <f>VLOOKUP(C513,[1]products!$A:$D,4,FALSE)</f>
        <v>2</v>
      </c>
      <c r="J513" t="str">
        <f>VLOOKUP(I513,[2]categories!$A$1:$B$8,2,FALSE)</f>
        <v>Comfort Bicycles</v>
      </c>
    </row>
    <row r="514" customHeight="1" spans="1:10">
      <c r="A514" s="1">
        <v>183</v>
      </c>
      <c r="B514" s="1">
        <v>1</v>
      </c>
      <c r="C514" s="1">
        <v>11</v>
      </c>
      <c r="D514" s="1">
        <v>2</v>
      </c>
      <c r="E514" s="1">
        <v>1680.99</v>
      </c>
      <c r="F514" s="1">
        <v>0.2</v>
      </c>
      <c r="G514">
        <f t="shared" si="7"/>
        <v>3361.78</v>
      </c>
      <c r="H514" t="str">
        <f>VLOOKUP(C514,[1]products!$A:$B,2,FALSE)</f>
        <v>Surly Straggler 650b - 2016</v>
      </c>
      <c r="I514">
        <f>VLOOKUP(C514,[1]products!$A:$D,4,FALSE)</f>
        <v>4</v>
      </c>
      <c r="J514" t="str">
        <f>VLOOKUP(I514,[2]categories!$A$1:$B$8,2,FALSE)</f>
        <v>Cyclocross Bicycles</v>
      </c>
    </row>
    <row r="515" customHeight="1" spans="1:10">
      <c r="A515" s="1">
        <v>183</v>
      </c>
      <c r="B515" s="1">
        <v>2</v>
      </c>
      <c r="C515" s="1">
        <v>12</v>
      </c>
      <c r="D515" s="1">
        <v>2</v>
      </c>
      <c r="E515" s="1">
        <v>549.99</v>
      </c>
      <c r="F515" s="1">
        <v>0.05</v>
      </c>
      <c r="G515">
        <f t="shared" ref="G515:G578" si="8">(E515*D515)-F515</f>
        <v>1099.93</v>
      </c>
      <c r="H515" t="str">
        <f>VLOOKUP(C515,[1]products!$A:$B,2,FALSE)</f>
        <v>Electra Townie Original 21D - 2016</v>
      </c>
      <c r="I515">
        <f>VLOOKUP(C515,[1]products!$A:$D,4,FALSE)</f>
        <v>3</v>
      </c>
      <c r="J515" t="str">
        <f>VLOOKUP(I515,[2]categories!$A$1:$B$8,2,FALSE)</f>
        <v>Cruisers Bicycles</v>
      </c>
    </row>
    <row r="516" customHeight="1" spans="1:10">
      <c r="A516" s="1">
        <v>183</v>
      </c>
      <c r="B516" s="1">
        <v>3</v>
      </c>
      <c r="C516" s="1">
        <v>19</v>
      </c>
      <c r="D516" s="1">
        <v>1</v>
      </c>
      <c r="E516" s="1">
        <v>449</v>
      </c>
      <c r="F516" s="1">
        <v>0.07</v>
      </c>
      <c r="G516">
        <f t="shared" si="8"/>
        <v>448.93</v>
      </c>
      <c r="H516" t="str">
        <f>VLOOKUP(C516,[1]products!$A:$B,2,FALSE)</f>
        <v>Pure Cycles William 3-Speed - 2016</v>
      </c>
      <c r="I516">
        <f>VLOOKUP(C516,[1]products!$A:$D,4,FALSE)</f>
        <v>3</v>
      </c>
      <c r="J516" t="str">
        <f>VLOOKUP(I516,[2]categories!$A$1:$B$8,2,FALSE)</f>
        <v>Cruisers Bicycles</v>
      </c>
    </row>
    <row r="517" customHeight="1" spans="1:10">
      <c r="A517" s="1">
        <v>183</v>
      </c>
      <c r="B517" s="1">
        <v>4</v>
      </c>
      <c r="C517" s="1">
        <v>17</v>
      </c>
      <c r="D517" s="1">
        <v>1</v>
      </c>
      <c r="E517" s="1">
        <v>429</v>
      </c>
      <c r="F517" s="1">
        <v>0.07</v>
      </c>
      <c r="G517">
        <f t="shared" si="8"/>
        <v>428.93</v>
      </c>
      <c r="H517" t="str">
        <f>VLOOKUP(C517,[1]products!$A:$B,2,FALSE)</f>
        <v>Pure Cycles Vine 8-Speed - 2016</v>
      </c>
      <c r="I517">
        <f>VLOOKUP(C517,[1]products!$A:$D,4,FALSE)</f>
        <v>3</v>
      </c>
      <c r="J517" t="str">
        <f>VLOOKUP(I517,[2]categories!$A$1:$B$8,2,FALSE)</f>
        <v>Cruisers Bicycles</v>
      </c>
    </row>
    <row r="518" customHeight="1" spans="1:10">
      <c r="A518" s="1">
        <v>184</v>
      </c>
      <c r="B518" s="1">
        <v>1</v>
      </c>
      <c r="C518" s="1">
        <v>4</v>
      </c>
      <c r="D518" s="1">
        <v>1</v>
      </c>
      <c r="E518" s="1">
        <v>2899.99</v>
      </c>
      <c r="F518" s="1">
        <v>0.2</v>
      </c>
      <c r="G518">
        <f t="shared" si="8"/>
        <v>2899.79</v>
      </c>
      <c r="H518" t="str">
        <f>VLOOKUP(C518,[1]products!$A:$B,2,FALSE)</f>
        <v>Trek Fuel EX 8 29 - 2016</v>
      </c>
      <c r="I518">
        <f>VLOOKUP(C518,[1]products!$A:$D,4,FALSE)</f>
        <v>6</v>
      </c>
      <c r="J518" t="str">
        <f>VLOOKUP(I518,[2]categories!$A$1:$B$8,2,FALSE)</f>
        <v>Mountain Bikes</v>
      </c>
    </row>
    <row r="519" customHeight="1" spans="1:10">
      <c r="A519" s="1">
        <v>184</v>
      </c>
      <c r="B519" s="1">
        <v>2</v>
      </c>
      <c r="C519" s="1">
        <v>5</v>
      </c>
      <c r="D519" s="1">
        <v>1</v>
      </c>
      <c r="E519" s="1">
        <v>1320.99</v>
      </c>
      <c r="F519" s="1">
        <v>0.1</v>
      </c>
      <c r="G519">
        <f t="shared" si="8"/>
        <v>1320.89</v>
      </c>
      <c r="H519" t="str">
        <f>VLOOKUP(C519,[1]products!$A:$B,2,FALSE)</f>
        <v>Heller Shagamaw Frame - 2016</v>
      </c>
      <c r="I519">
        <f>VLOOKUP(C519,[1]products!$A:$D,4,FALSE)</f>
        <v>6</v>
      </c>
      <c r="J519" t="str">
        <f>VLOOKUP(I519,[2]categories!$A$1:$B$8,2,FALSE)</f>
        <v>Mountain Bikes</v>
      </c>
    </row>
    <row r="520" customHeight="1" spans="1:10">
      <c r="A520" s="1">
        <v>184</v>
      </c>
      <c r="B520" s="1">
        <v>3</v>
      </c>
      <c r="C520" s="1">
        <v>14</v>
      </c>
      <c r="D520" s="1">
        <v>1</v>
      </c>
      <c r="E520" s="1">
        <v>269.99</v>
      </c>
      <c r="F520" s="1">
        <v>0.1</v>
      </c>
      <c r="G520">
        <f t="shared" si="8"/>
        <v>269.89</v>
      </c>
      <c r="H520" t="str">
        <f>VLOOKUP(C520,[1]products!$A:$B,2,FALSE)</f>
        <v>Electra Girl's Hawaii 1 (16-inch) - 2015/2016</v>
      </c>
      <c r="I520">
        <f>VLOOKUP(C520,[1]products!$A:$D,4,FALSE)</f>
        <v>3</v>
      </c>
      <c r="J520" t="str">
        <f>VLOOKUP(I520,[2]categories!$A$1:$B$8,2,FALSE)</f>
        <v>Cruisers Bicycles</v>
      </c>
    </row>
    <row r="521" customHeight="1" spans="1:10">
      <c r="A521" s="1">
        <v>185</v>
      </c>
      <c r="B521" s="1">
        <v>1</v>
      </c>
      <c r="C521" s="1">
        <v>20</v>
      </c>
      <c r="D521" s="1">
        <v>1</v>
      </c>
      <c r="E521" s="1">
        <v>599.99</v>
      </c>
      <c r="F521" s="1">
        <v>0.1</v>
      </c>
      <c r="G521">
        <f t="shared" si="8"/>
        <v>599.89</v>
      </c>
      <c r="H521" t="str">
        <f>VLOOKUP(C521,[1]products!$A:$B,2,FALSE)</f>
        <v>Electra Townie Original 7D EQ - Women's - 2016</v>
      </c>
      <c r="I521">
        <f>VLOOKUP(C521,[1]products!$A:$D,4,FALSE)</f>
        <v>3</v>
      </c>
      <c r="J521" t="str">
        <f>VLOOKUP(I521,[2]categories!$A$1:$B$8,2,FALSE)</f>
        <v>Cruisers Bicycles</v>
      </c>
    </row>
    <row r="522" customHeight="1" spans="1:10">
      <c r="A522" s="1">
        <v>185</v>
      </c>
      <c r="B522" s="1">
        <v>2</v>
      </c>
      <c r="C522" s="1">
        <v>8</v>
      </c>
      <c r="D522" s="1">
        <v>1</v>
      </c>
      <c r="E522" s="1">
        <v>1799.99</v>
      </c>
      <c r="F522" s="1">
        <v>0.05</v>
      </c>
      <c r="G522">
        <f t="shared" si="8"/>
        <v>1799.94</v>
      </c>
      <c r="H522" t="str">
        <f>VLOOKUP(C522,[1]products!$A:$B,2,FALSE)</f>
        <v>Trek Remedy 29 Carbon Frameset - 2016</v>
      </c>
      <c r="I522">
        <f>VLOOKUP(C522,[1]products!$A:$D,4,FALSE)</f>
        <v>6</v>
      </c>
      <c r="J522" t="str">
        <f>VLOOKUP(I522,[2]categories!$A$1:$B$8,2,FALSE)</f>
        <v>Mountain Bikes</v>
      </c>
    </row>
    <row r="523" customHeight="1" spans="1:10">
      <c r="A523" s="1">
        <v>186</v>
      </c>
      <c r="B523" s="1">
        <v>1</v>
      </c>
      <c r="C523" s="1">
        <v>4</v>
      </c>
      <c r="D523" s="1">
        <v>1</v>
      </c>
      <c r="E523" s="1">
        <v>2899.99</v>
      </c>
      <c r="F523" s="1">
        <v>0.1</v>
      </c>
      <c r="G523">
        <f t="shared" si="8"/>
        <v>2899.89</v>
      </c>
      <c r="H523" t="str">
        <f>VLOOKUP(C523,[1]products!$A:$B,2,FALSE)</f>
        <v>Trek Fuel EX 8 29 - 2016</v>
      </c>
      <c r="I523">
        <f>VLOOKUP(C523,[1]products!$A:$D,4,FALSE)</f>
        <v>6</v>
      </c>
      <c r="J523" t="str">
        <f>VLOOKUP(I523,[2]categories!$A$1:$B$8,2,FALSE)</f>
        <v>Mountain Bikes</v>
      </c>
    </row>
    <row r="524" customHeight="1" spans="1:10">
      <c r="A524" s="1">
        <v>186</v>
      </c>
      <c r="B524" s="1">
        <v>2</v>
      </c>
      <c r="C524" s="1">
        <v>6</v>
      </c>
      <c r="D524" s="1">
        <v>1</v>
      </c>
      <c r="E524" s="1">
        <v>469.99</v>
      </c>
      <c r="F524" s="1">
        <v>0.1</v>
      </c>
      <c r="G524">
        <f t="shared" si="8"/>
        <v>469.89</v>
      </c>
      <c r="H524" t="str">
        <f>VLOOKUP(C524,[1]products!$A:$B,2,FALSE)</f>
        <v>Surly Ice Cream Truck Frameset - 2016</v>
      </c>
      <c r="I524">
        <f>VLOOKUP(C524,[1]products!$A:$D,4,FALSE)</f>
        <v>6</v>
      </c>
      <c r="J524" t="str">
        <f>VLOOKUP(I524,[2]categories!$A$1:$B$8,2,FALSE)</f>
        <v>Mountain Bikes</v>
      </c>
    </row>
    <row r="525" customHeight="1" spans="1:10">
      <c r="A525" s="1">
        <v>187</v>
      </c>
      <c r="B525" s="1">
        <v>1</v>
      </c>
      <c r="C525" s="1">
        <v>5</v>
      </c>
      <c r="D525" s="1">
        <v>1</v>
      </c>
      <c r="E525" s="1">
        <v>1320.99</v>
      </c>
      <c r="F525" s="1">
        <v>0.05</v>
      </c>
      <c r="G525">
        <f t="shared" si="8"/>
        <v>1320.94</v>
      </c>
      <c r="H525" t="str">
        <f>VLOOKUP(C525,[1]products!$A:$B,2,FALSE)</f>
        <v>Heller Shagamaw Frame - 2016</v>
      </c>
      <c r="I525">
        <f>VLOOKUP(C525,[1]products!$A:$D,4,FALSE)</f>
        <v>6</v>
      </c>
      <c r="J525" t="str">
        <f>VLOOKUP(I525,[2]categories!$A$1:$B$8,2,FALSE)</f>
        <v>Mountain Bikes</v>
      </c>
    </row>
    <row r="526" customHeight="1" spans="1:10">
      <c r="A526" s="1">
        <v>188</v>
      </c>
      <c r="B526" s="1">
        <v>1</v>
      </c>
      <c r="C526" s="1">
        <v>7</v>
      </c>
      <c r="D526" s="1">
        <v>2</v>
      </c>
      <c r="E526" s="1">
        <v>3999.99</v>
      </c>
      <c r="F526" s="1">
        <v>0.07</v>
      </c>
      <c r="G526">
        <f t="shared" si="8"/>
        <v>7999.91</v>
      </c>
      <c r="H526" t="str">
        <f>VLOOKUP(C526,[1]products!$A:$B,2,FALSE)</f>
        <v>Trek Slash 8 27.5 - 2016</v>
      </c>
      <c r="I526">
        <f>VLOOKUP(C526,[1]products!$A:$D,4,FALSE)</f>
        <v>6</v>
      </c>
      <c r="J526" t="str">
        <f>VLOOKUP(I526,[2]categories!$A$1:$B$8,2,FALSE)</f>
        <v>Mountain Bikes</v>
      </c>
    </row>
    <row r="527" customHeight="1" spans="1:10">
      <c r="A527" s="1">
        <v>189</v>
      </c>
      <c r="B527" s="1">
        <v>1</v>
      </c>
      <c r="C527" s="1">
        <v>16</v>
      </c>
      <c r="D527" s="1">
        <v>2</v>
      </c>
      <c r="E527" s="1">
        <v>599.99</v>
      </c>
      <c r="F527" s="1">
        <v>0.2</v>
      </c>
      <c r="G527">
        <f t="shared" si="8"/>
        <v>1199.78</v>
      </c>
      <c r="H527" t="str">
        <f>VLOOKUP(C527,[1]products!$A:$B,2,FALSE)</f>
        <v>Electra Townie Original 7D EQ - 2016</v>
      </c>
      <c r="I527">
        <f>VLOOKUP(C527,[1]products!$A:$D,4,FALSE)</f>
        <v>3</v>
      </c>
      <c r="J527" t="str">
        <f>VLOOKUP(I527,[2]categories!$A$1:$B$8,2,FALSE)</f>
        <v>Cruisers Bicycles</v>
      </c>
    </row>
    <row r="528" customHeight="1" spans="1:10">
      <c r="A528" s="1">
        <v>190</v>
      </c>
      <c r="B528" s="1">
        <v>1</v>
      </c>
      <c r="C528" s="1">
        <v>24</v>
      </c>
      <c r="D528" s="1">
        <v>1</v>
      </c>
      <c r="E528" s="1">
        <v>549.99</v>
      </c>
      <c r="F528" s="1">
        <v>0.05</v>
      </c>
      <c r="G528">
        <f t="shared" si="8"/>
        <v>549.94</v>
      </c>
      <c r="H528" t="str">
        <f>VLOOKUP(C528,[1]products!$A:$B,2,FALSE)</f>
        <v>Electra Townie Original 21D - 2016</v>
      </c>
      <c r="I528">
        <f>VLOOKUP(C528,[1]products!$A:$D,4,FALSE)</f>
        <v>2</v>
      </c>
      <c r="J528" t="str">
        <f>VLOOKUP(I528,[2]categories!$A$1:$B$8,2,FALSE)</f>
        <v>Comfort Bicycles</v>
      </c>
    </row>
    <row r="529" customHeight="1" spans="1:10">
      <c r="A529" s="1">
        <v>190</v>
      </c>
      <c r="B529" s="1">
        <v>2</v>
      </c>
      <c r="C529" s="1">
        <v>15</v>
      </c>
      <c r="D529" s="1">
        <v>1</v>
      </c>
      <c r="E529" s="1">
        <v>529.99</v>
      </c>
      <c r="F529" s="1">
        <v>0.2</v>
      </c>
      <c r="G529">
        <f t="shared" si="8"/>
        <v>529.79</v>
      </c>
      <c r="H529" t="str">
        <f>VLOOKUP(C529,[1]products!$A:$B,2,FALSE)</f>
        <v>Electra Moto 1 - 2016</v>
      </c>
      <c r="I529">
        <f>VLOOKUP(C529,[1]products!$A:$D,4,FALSE)</f>
        <v>3</v>
      </c>
      <c r="J529" t="str">
        <f>VLOOKUP(I529,[2]categories!$A$1:$B$8,2,FALSE)</f>
        <v>Cruisers Bicycles</v>
      </c>
    </row>
    <row r="530" customHeight="1" spans="1:10">
      <c r="A530" s="1">
        <v>190</v>
      </c>
      <c r="B530" s="1">
        <v>3</v>
      </c>
      <c r="C530" s="1">
        <v>3</v>
      </c>
      <c r="D530" s="1">
        <v>2</v>
      </c>
      <c r="E530" s="1">
        <v>999.99</v>
      </c>
      <c r="F530" s="1">
        <v>0.2</v>
      </c>
      <c r="G530">
        <f t="shared" si="8"/>
        <v>1999.78</v>
      </c>
      <c r="H530" t="str">
        <f>VLOOKUP(C530,[1]products!$A:$B,2,FALSE)</f>
        <v>Surly Wednesday Frameset - 2016</v>
      </c>
      <c r="I530">
        <f>VLOOKUP(C530,[1]products!$A:$D,4,FALSE)</f>
        <v>6</v>
      </c>
      <c r="J530" t="str">
        <f>VLOOKUP(I530,[2]categories!$A$1:$B$8,2,FALSE)</f>
        <v>Mountain Bikes</v>
      </c>
    </row>
    <row r="531" customHeight="1" spans="1:10">
      <c r="A531" s="1">
        <v>191</v>
      </c>
      <c r="B531" s="1">
        <v>1</v>
      </c>
      <c r="C531" s="1">
        <v>25</v>
      </c>
      <c r="D531" s="1">
        <v>1</v>
      </c>
      <c r="E531" s="1">
        <v>499.99</v>
      </c>
      <c r="F531" s="1">
        <v>0.05</v>
      </c>
      <c r="G531">
        <f t="shared" si="8"/>
        <v>499.94</v>
      </c>
      <c r="H531" t="str">
        <f>VLOOKUP(C531,[1]products!$A:$B,2,FALSE)</f>
        <v>Electra Townie Original 7D - 2015/2016</v>
      </c>
      <c r="I531">
        <f>VLOOKUP(C531,[1]products!$A:$D,4,FALSE)</f>
        <v>2</v>
      </c>
      <c r="J531" t="str">
        <f>VLOOKUP(I531,[2]categories!$A$1:$B$8,2,FALSE)</f>
        <v>Comfort Bicycles</v>
      </c>
    </row>
    <row r="532" customHeight="1" spans="1:10">
      <c r="A532" s="1">
        <v>191</v>
      </c>
      <c r="B532" s="1">
        <v>2</v>
      </c>
      <c r="C532" s="1">
        <v>12</v>
      </c>
      <c r="D532" s="1">
        <v>2</v>
      </c>
      <c r="E532" s="1">
        <v>549.99</v>
      </c>
      <c r="F532" s="1">
        <v>0.2</v>
      </c>
      <c r="G532">
        <f t="shared" si="8"/>
        <v>1099.78</v>
      </c>
      <c r="H532" t="str">
        <f>VLOOKUP(C532,[1]products!$A:$B,2,FALSE)</f>
        <v>Electra Townie Original 21D - 2016</v>
      </c>
      <c r="I532">
        <f>VLOOKUP(C532,[1]products!$A:$D,4,FALSE)</f>
        <v>3</v>
      </c>
      <c r="J532" t="str">
        <f>VLOOKUP(I532,[2]categories!$A$1:$B$8,2,FALSE)</f>
        <v>Cruisers Bicycles</v>
      </c>
    </row>
    <row r="533" customHeight="1" spans="1:10">
      <c r="A533" s="1">
        <v>191</v>
      </c>
      <c r="B533" s="1">
        <v>3</v>
      </c>
      <c r="C533" s="1">
        <v>3</v>
      </c>
      <c r="D533" s="1">
        <v>1</v>
      </c>
      <c r="E533" s="1">
        <v>999.99</v>
      </c>
      <c r="F533" s="1">
        <v>0.07</v>
      </c>
      <c r="G533">
        <f t="shared" si="8"/>
        <v>999.92</v>
      </c>
      <c r="H533" t="str">
        <f>VLOOKUP(C533,[1]products!$A:$B,2,FALSE)</f>
        <v>Surly Wednesday Frameset - 2016</v>
      </c>
      <c r="I533">
        <f>VLOOKUP(C533,[1]products!$A:$D,4,FALSE)</f>
        <v>6</v>
      </c>
      <c r="J533" t="str">
        <f>VLOOKUP(I533,[2]categories!$A$1:$B$8,2,FALSE)</f>
        <v>Mountain Bikes</v>
      </c>
    </row>
    <row r="534" customHeight="1" spans="1:10">
      <c r="A534" s="1">
        <v>191</v>
      </c>
      <c r="B534" s="1">
        <v>4</v>
      </c>
      <c r="C534" s="1">
        <v>8</v>
      </c>
      <c r="D534" s="1">
        <v>2</v>
      </c>
      <c r="E534" s="1">
        <v>1799.99</v>
      </c>
      <c r="F534" s="1">
        <v>0.05</v>
      </c>
      <c r="G534">
        <f t="shared" si="8"/>
        <v>3599.93</v>
      </c>
      <c r="H534" t="str">
        <f>VLOOKUP(C534,[1]products!$A:$B,2,FALSE)</f>
        <v>Trek Remedy 29 Carbon Frameset - 2016</v>
      </c>
      <c r="I534">
        <f>VLOOKUP(C534,[1]products!$A:$D,4,FALSE)</f>
        <v>6</v>
      </c>
      <c r="J534" t="str">
        <f>VLOOKUP(I534,[2]categories!$A$1:$B$8,2,FALSE)</f>
        <v>Mountain Bikes</v>
      </c>
    </row>
    <row r="535" customHeight="1" spans="1:10">
      <c r="A535" s="1">
        <v>191</v>
      </c>
      <c r="B535" s="1">
        <v>5</v>
      </c>
      <c r="C535" s="1">
        <v>23</v>
      </c>
      <c r="D535" s="1">
        <v>1</v>
      </c>
      <c r="E535" s="1">
        <v>299.99</v>
      </c>
      <c r="F535" s="1">
        <v>0.05</v>
      </c>
      <c r="G535">
        <f t="shared" si="8"/>
        <v>299.94</v>
      </c>
      <c r="H535" t="str">
        <f>VLOOKUP(C535,[1]products!$A:$B,2,FALSE)</f>
        <v>Electra Girl's Hawaii 1 (20-inch) - 2015/2016</v>
      </c>
      <c r="I535">
        <f>VLOOKUP(C535,[1]products!$A:$D,4,FALSE)</f>
        <v>1</v>
      </c>
      <c r="J535" t="str">
        <f>VLOOKUP(I535,[2]categories!$A$1:$B$8,2,FALSE)</f>
        <v>Children Bicycles</v>
      </c>
    </row>
    <row r="536" customHeight="1" spans="1:10">
      <c r="A536" s="1">
        <v>192</v>
      </c>
      <c r="B536" s="1">
        <v>1</v>
      </c>
      <c r="C536" s="1">
        <v>8</v>
      </c>
      <c r="D536" s="1">
        <v>2</v>
      </c>
      <c r="E536" s="1">
        <v>1799.99</v>
      </c>
      <c r="F536" s="1">
        <v>0.1</v>
      </c>
      <c r="G536">
        <f t="shared" si="8"/>
        <v>3599.88</v>
      </c>
      <c r="H536" t="str">
        <f>VLOOKUP(C536,[1]products!$A:$B,2,FALSE)</f>
        <v>Trek Remedy 29 Carbon Frameset - 2016</v>
      </c>
      <c r="I536">
        <f>VLOOKUP(C536,[1]products!$A:$D,4,FALSE)</f>
        <v>6</v>
      </c>
      <c r="J536" t="str">
        <f>VLOOKUP(I536,[2]categories!$A$1:$B$8,2,FALSE)</f>
        <v>Mountain Bikes</v>
      </c>
    </row>
    <row r="537" customHeight="1" spans="1:10">
      <c r="A537" s="1">
        <v>192</v>
      </c>
      <c r="B537" s="1">
        <v>2</v>
      </c>
      <c r="C537" s="1">
        <v>25</v>
      </c>
      <c r="D537" s="1">
        <v>1</v>
      </c>
      <c r="E537" s="1">
        <v>499.99</v>
      </c>
      <c r="F537" s="1">
        <v>0.07</v>
      </c>
      <c r="G537">
        <f t="shared" si="8"/>
        <v>499.92</v>
      </c>
      <c r="H537" t="str">
        <f>VLOOKUP(C537,[1]products!$A:$B,2,FALSE)</f>
        <v>Electra Townie Original 7D - 2015/2016</v>
      </c>
      <c r="I537">
        <f>VLOOKUP(C537,[1]products!$A:$D,4,FALSE)</f>
        <v>2</v>
      </c>
      <c r="J537" t="str">
        <f>VLOOKUP(I537,[2]categories!$A$1:$B$8,2,FALSE)</f>
        <v>Comfort Bicycles</v>
      </c>
    </row>
    <row r="538" customHeight="1" spans="1:10">
      <c r="A538" s="1">
        <v>192</v>
      </c>
      <c r="B538" s="1">
        <v>3</v>
      </c>
      <c r="C538" s="1">
        <v>2</v>
      </c>
      <c r="D538" s="1">
        <v>1</v>
      </c>
      <c r="E538" s="1">
        <v>749.99</v>
      </c>
      <c r="F538" s="1">
        <v>0.05</v>
      </c>
      <c r="G538">
        <f t="shared" si="8"/>
        <v>749.94</v>
      </c>
      <c r="H538" t="str">
        <f>VLOOKUP(C538,[1]products!$A:$B,2,FALSE)</f>
        <v>Ritchey Timberwolf Frameset - 2016</v>
      </c>
      <c r="I538">
        <f>VLOOKUP(C538,[1]products!$A:$D,4,FALSE)</f>
        <v>6</v>
      </c>
      <c r="J538" t="str">
        <f>VLOOKUP(I538,[2]categories!$A$1:$B$8,2,FALSE)</f>
        <v>Mountain Bikes</v>
      </c>
    </row>
    <row r="539" customHeight="1" spans="1:10">
      <c r="A539" s="1">
        <v>192</v>
      </c>
      <c r="B539" s="1">
        <v>4</v>
      </c>
      <c r="C539" s="1">
        <v>24</v>
      </c>
      <c r="D539" s="1">
        <v>2</v>
      </c>
      <c r="E539" s="1">
        <v>549.99</v>
      </c>
      <c r="F539" s="1">
        <v>0.07</v>
      </c>
      <c r="G539">
        <f t="shared" si="8"/>
        <v>1099.91</v>
      </c>
      <c r="H539" t="str">
        <f>VLOOKUP(C539,[1]products!$A:$B,2,FALSE)</f>
        <v>Electra Townie Original 21D - 2016</v>
      </c>
      <c r="I539">
        <f>VLOOKUP(C539,[1]products!$A:$D,4,FALSE)</f>
        <v>2</v>
      </c>
      <c r="J539" t="str">
        <f>VLOOKUP(I539,[2]categories!$A$1:$B$8,2,FALSE)</f>
        <v>Comfort Bicycles</v>
      </c>
    </row>
    <row r="540" customHeight="1" spans="1:10">
      <c r="A540" s="1">
        <v>192</v>
      </c>
      <c r="B540" s="1">
        <v>5</v>
      </c>
      <c r="C540" s="1">
        <v>10</v>
      </c>
      <c r="D540" s="1">
        <v>2</v>
      </c>
      <c r="E540" s="1">
        <v>1549</v>
      </c>
      <c r="F540" s="1">
        <v>0.2</v>
      </c>
      <c r="G540">
        <f t="shared" si="8"/>
        <v>3097.8</v>
      </c>
      <c r="H540" t="str">
        <f>VLOOKUP(C540,[1]products!$A:$B,2,FALSE)</f>
        <v>Surly Straggler - 2016</v>
      </c>
      <c r="I540">
        <f>VLOOKUP(C540,[1]products!$A:$D,4,FALSE)</f>
        <v>4</v>
      </c>
      <c r="J540" t="str">
        <f>VLOOKUP(I540,[2]categories!$A$1:$B$8,2,FALSE)</f>
        <v>Cyclocross Bicycles</v>
      </c>
    </row>
    <row r="541" customHeight="1" spans="1:10">
      <c r="A541" s="1">
        <v>193</v>
      </c>
      <c r="B541" s="1">
        <v>1</v>
      </c>
      <c r="C541" s="1">
        <v>12</v>
      </c>
      <c r="D541" s="1">
        <v>2</v>
      </c>
      <c r="E541" s="1">
        <v>549.99</v>
      </c>
      <c r="F541" s="1">
        <v>0.1</v>
      </c>
      <c r="G541">
        <f t="shared" si="8"/>
        <v>1099.88</v>
      </c>
      <c r="H541" t="str">
        <f>VLOOKUP(C541,[1]products!$A:$B,2,FALSE)</f>
        <v>Electra Townie Original 21D - 2016</v>
      </c>
      <c r="I541">
        <f>VLOOKUP(C541,[1]products!$A:$D,4,FALSE)</f>
        <v>3</v>
      </c>
      <c r="J541" t="str">
        <f>VLOOKUP(I541,[2]categories!$A$1:$B$8,2,FALSE)</f>
        <v>Cruisers Bicycles</v>
      </c>
    </row>
    <row r="542" customHeight="1" spans="1:10">
      <c r="A542" s="1">
        <v>194</v>
      </c>
      <c r="B542" s="1">
        <v>1</v>
      </c>
      <c r="C542" s="1">
        <v>21</v>
      </c>
      <c r="D542" s="1">
        <v>2</v>
      </c>
      <c r="E542" s="1">
        <v>269.99</v>
      </c>
      <c r="F542" s="1">
        <v>0.2</v>
      </c>
      <c r="G542">
        <f t="shared" si="8"/>
        <v>539.78</v>
      </c>
      <c r="H542" t="str">
        <f>VLOOKUP(C542,[1]products!$A:$B,2,FALSE)</f>
        <v>Electra Cruiser 1 (24-Inch) - 2016</v>
      </c>
      <c r="I542">
        <f>VLOOKUP(C542,[1]products!$A:$D,4,FALSE)</f>
        <v>1</v>
      </c>
      <c r="J542" t="str">
        <f>VLOOKUP(I542,[2]categories!$A$1:$B$8,2,FALSE)</f>
        <v>Children Bicycles</v>
      </c>
    </row>
    <row r="543" customHeight="1" spans="1:10">
      <c r="A543" s="1">
        <v>195</v>
      </c>
      <c r="B543" s="1">
        <v>1</v>
      </c>
      <c r="C543" s="1">
        <v>18</v>
      </c>
      <c r="D543" s="1">
        <v>1</v>
      </c>
      <c r="E543" s="1">
        <v>449</v>
      </c>
      <c r="F543" s="1">
        <v>0.2</v>
      </c>
      <c r="G543">
        <f t="shared" si="8"/>
        <v>448.8</v>
      </c>
      <c r="H543" t="str">
        <f>VLOOKUP(C543,[1]products!$A:$B,2,FALSE)</f>
        <v>Pure Cycles Western 3-Speed - Women's - 2015/2016</v>
      </c>
      <c r="I543">
        <f>VLOOKUP(C543,[1]products!$A:$D,4,FALSE)</f>
        <v>3</v>
      </c>
      <c r="J543" t="str">
        <f>VLOOKUP(I543,[2]categories!$A$1:$B$8,2,FALSE)</f>
        <v>Cruisers Bicycles</v>
      </c>
    </row>
    <row r="544" customHeight="1" spans="1:10">
      <c r="A544" s="1">
        <v>195</v>
      </c>
      <c r="B544" s="1">
        <v>2</v>
      </c>
      <c r="C544" s="1">
        <v>14</v>
      </c>
      <c r="D544" s="1">
        <v>1</v>
      </c>
      <c r="E544" s="1">
        <v>269.99</v>
      </c>
      <c r="F544" s="1">
        <v>0.05</v>
      </c>
      <c r="G544">
        <f t="shared" si="8"/>
        <v>269.94</v>
      </c>
      <c r="H544" t="str">
        <f>VLOOKUP(C544,[1]products!$A:$B,2,FALSE)</f>
        <v>Electra Girl's Hawaii 1 (16-inch) - 2015/2016</v>
      </c>
      <c r="I544">
        <f>VLOOKUP(C544,[1]products!$A:$D,4,FALSE)</f>
        <v>3</v>
      </c>
      <c r="J544" t="str">
        <f>VLOOKUP(I544,[2]categories!$A$1:$B$8,2,FALSE)</f>
        <v>Cruisers Bicycles</v>
      </c>
    </row>
    <row r="545" customHeight="1" spans="1:10">
      <c r="A545" s="1">
        <v>195</v>
      </c>
      <c r="B545" s="1">
        <v>3</v>
      </c>
      <c r="C545" s="1">
        <v>5</v>
      </c>
      <c r="D545" s="1">
        <v>2</v>
      </c>
      <c r="E545" s="1">
        <v>1320.99</v>
      </c>
      <c r="F545" s="1">
        <v>0.2</v>
      </c>
      <c r="G545">
        <f t="shared" si="8"/>
        <v>2641.78</v>
      </c>
      <c r="H545" t="str">
        <f>VLOOKUP(C545,[1]products!$A:$B,2,FALSE)</f>
        <v>Heller Shagamaw Frame - 2016</v>
      </c>
      <c r="I545">
        <f>VLOOKUP(C545,[1]products!$A:$D,4,FALSE)</f>
        <v>6</v>
      </c>
      <c r="J545" t="str">
        <f>VLOOKUP(I545,[2]categories!$A$1:$B$8,2,FALSE)</f>
        <v>Mountain Bikes</v>
      </c>
    </row>
    <row r="546" customHeight="1" spans="1:10">
      <c r="A546" s="1">
        <v>195</v>
      </c>
      <c r="B546" s="1">
        <v>4</v>
      </c>
      <c r="C546" s="1">
        <v>4</v>
      </c>
      <c r="D546" s="1">
        <v>2</v>
      </c>
      <c r="E546" s="1">
        <v>2899.99</v>
      </c>
      <c r="F546" s="1">
        <v>0.2</v>
      </c>
      <c r="G546">
        <f t="shared" si="8"/>
        <v>5799.78</v>
      </c>
      <c r="H546" t="str">
        <f>VLOOKUP(C546,[1]products!$A:$B,2,FALSE)</f>
        <v>Trek Fuel EX 8 29 - 2016</v>
      </c>
      <c r="I546">
        <f>VLOOKUP(C546,[1]products!$A:$D,4,FALSE)</f>
        <v>6</v>
      </c>
      <c r="J546" t="str">
        <f>VLOOKUP(I546,[2]categories!$A$1:$B$8,2,FALSE)</f>
        <v>Mountain Bikes</v>
      </c>
    </row>
    <row r="547" customHeight="1" spans="1:10">
      <c r="A547" s="1">
        <v>195</v>
      </c>
      <c r="B547" s="1">
        <v>5</v>
      </c>
      <c r="C547" s="1">
        <v>21</v>
      </c>
      <c r="D547" s="1">
        <v>2</v>
      </c>
      <c r="E547" s="1">
        <v>269.99</v>
      </c>
      <c r="F547" s="1">
        <v>0.1</v>
      </c>
      <c r="G547">
        <f t="shared" si="8"/>
        <v>539.88</v>
      </c>
      <c r="H547" t="str">
        <f>VLOOKUP(C547,[1]products!$A:$B,2,FALSE)</f>
        <v>Electra Cruiser 1 (24-Inch) - 2016</v>
      </c>
      <c r="I547">
        <f>VLOOKUP(C547,[1]products!$A:$D,4,FALSE)</f>
        <v>1</v>
      </c>
      <c r="J547" t="str">
        <f>VLOOKUP(I547,[2]categories!$A$1:$B$8,2,FALSE)</f>
        <v>Children Bicycles</v>
      </c>
    </row>
    <row r="548" customHeight="1" spans="1:10">
      <c r="A548" s="1">
        <v>196</v>
      </c>
      <c r="B548" s="1">
        <v>1</v>
      </c>
      <c r="C548" s="1">
        <v>6</v>
      </c>
      <c r="D548" s="1">
        <v>1</v>
      </c>
      <c r="E548" s="1">
        <v>469.99</v>
      </c>
      <c r="F548" s="1">
        <v>0.05</v>
      </c>
      <c r="G548">
        <f t="shared" si="8"/>
        <v>469.94</v>
      </c>
      <c r="H548" t="str">
        <f>VLOOKUP(C548,[1]products!$A:$B,2,FALSE)</f>
        <v>Surly Ice Cream Truck Frameset - 2016</v>
      </c>
      <c r="I548">
        <f>VLOOKUP(C548,[1]products!$A:$D,4,FALSE)</f>
        <v>6</v>
      </c>
      <c r="J548" t="str">
        <f>VLOOKUP(I548,[2]categories!$A$1:$B$8,2,FALSE)</f>
        <v>Mountain Bikes</v>
      </c>
    </row>
    <row r="549" customHeight="1" spans="1:10">
      <c r="A549" s="1">
        <v>196</v>
      </c>
      <c r="B549" s="1">
        <v>2</v>
      </c>
      <c r="C549" s="1">
        <v>3</v>
      </c>
      <c r="D549" s="1">
        <v>2</v>
      </c>
      <c r="E549" s="1">
        <v>999.99</v>
      </c>
      <c r="F549" s="1">
        <v>0.07</v>
      </c>
      <c r="G549">
        <f t="shared" si="8"/>
        <v>1999.91</v>
      </c>
      <c r="H549" t="str">
        <f>VLOOKUP(C549,[1]products!$A:$B,2,FALSE)</f>
        <v>Surly Wednesday Frameset - 2016</v>
      </c>
      <c r="I549">
        <f>VLOOKUP(C549,[1]products!$A:$D,4,FALSE)</f>
        <v>6</v>
      </c>
      <c r="J549" t="str">
        <f>VLOOKUP(I549,[2]categories!$A$1:$B$8,2,FALSE)</f>
        <v>Mountain Bikes</v>
      </c>
    </row>
    <row r="550" customHeight="1" spans="1:10">
      <c r="A550" s="1">
        <v>196</v>
      </c>
      <c r="B550" s="1">
        <v>3</v>
      </c>
      <c r="C550" s="1">
        <v>10</v>
      </c>
      <c r="D550" s="1">
        <v>2</v>
      </c>
      <c r="E550" s="1">
        <v>1549</v>
      </c>
      <c r="F550" s="1">
        <v>0.07</v>
      </c>
      <c r="G550">
        <f t="shared" si="8"/>
        <v>3097.93</v>
      </c>
      <c r="H550" t="str">
        <f>VLOOKUP(C550,[1]products!$A:$B,2,FALSE)</f>
        <v>Surly Straggler - 2016</v>
      </c>
      <c r="I550">
        <f>VLOOKUP(C550,[1]products!$A:$D,4,FALSE)</f>
        <v>4</v>
      </c>
      <c r="J550" t="str">
        <f>VLOOKUP(I550,[2]categories!$A$1:$B$8,2,FALSE)</f>
        <v>Cyclocross Bicycles</v>
      </c>
    </row>
    <row r="551" customHeight="1" spans="1:10">
      <c r="A551" s="1">
        <v>196</v>
      </c>
      <c r="B551" s="1">
        <v>4</v>
      </c>
      <c r="C551" s="1">
        <v>12</v>
      </c>
      <c r="D551" s="1">
        <v>1</v>
      </c>
      <c r="E551" s="1">
        <v>549.99</v>
      </c>
      <c r="F551" s="1">
        <v>0.07</v>
      </c>
      <c r="G551">
        <f t="shared" si="8"/>
        <v>549.92</v>
      </c>
      <c r="H551" t="str">
        <f>VLOOKUP(C551,[1]products!$A:$B,2,FALSE)</f>
        <v>Electra Townie Original 21D - 2016</v>
      </c>
      <c r="I551">
        <f>VLOOKUP(C551,[1]products!$A:$D,4,FALSE)</f>
        <v>3</v>
      </c>
      <c r="J551" t="str">
        <f>VLOOKUP(I551,[2]categories!$A$1:$B$8,2,FALSE)</f>
        <v>Cruisers Bicycles</v>
      </c>
    </row>
    <row r="552" customHeight="1" spans="1:10">
      <c r="A552" s="1">
        <v>196</v>
      </c>
      <c r="B552" s="1">
        <v>5</v>
      </c>
      <c r="C552" s="1">
        <v>20</v>
      </c>
      <c r="D552" s="1">
        <v>1</v>
      </c>
      <c r="E552" s="1">
        <v>599.99</v>
      </c>
      <c r="F552" s="1">
        <v>0.1</v>
      </c>
      <c r="G552">
        <f t="shared" si="8"/>
        <v>599.89</v>
      </c>
      <c r="H552" t="str">
        <f>VLOOKUP(C552,[1]products!$A:$B,2,FALSE)</f>
        <v>Electra Townie Original 7D EQ - Women's - 2016</v>
      </c>
      <c r="I552">
        <f>VLOOKUP(C552,[1]products!$A:$D,4,FALSE)</f>
        <v>3</v>
      </c>
      <c r="J552" t="str">
        <f>VLOOKUP(I552,[2]categories!$A$1:$B$8,2,FALSE)</f>
        <v>Cruisers Bicycles</v>
      </c>
    </row>
    <row r="553" customHeight="1" spans="1:10">
      <c r="A553" s="1">
        <v>197</v>
      </c>
      <c r="B553" s="1">
        <v>1</v>
      </c>
      <c r="C553" s="1">
        <v>4</v>
      </c>
      <c r="D553" s="1">
        <v>2</v>
      </c>
      <c r="E553" s="1">
        <v>2899.99</v>
      </c>
      <c r="F553" s="1">
        <v>0.2</v>
      </c>
      <c r="G553">
        <f t="shared" si="8"/>
        <v>5799.78</v>
      </c>
      <c r="H553" t="str">
        <f>VLOOKUP(C553,[1]products!$A:$B,2,FALSE)</f>
        <v>Trek Fuel EX 8 29 - 2016</v>
      </c>
      <c r="I553">
        <f>VLOOKUP(C553,[1]products!$A:$D,4,FALSE)</f>
        <v>6</v>
      </c>
      <c r="J553" t="str">
        <f>VLOOKUP(I553,[2]categories!$A$1:$B$8,2,FALSE)</f>
        <v>Mountain Bikes</v>
      </c>
    </row>
    <row r="554" customHeight="1" spans="1:10">
      <c r="A554" s="1">
        <v>197</v>
      </c>
      <c r="B554" s="1">
        <v>2</v>
      </c>
      <c r="C554" s="1">
        <v>2</v>
      </c>
      <c r="D554" s="1">
        <v>2</v>
      </c>
      <c r="E554" s="1">
        <v>749.99</v>
      </c>
      <c r="F554" s="1">
        <v>0.07</v>
      </c>
      <c r="G554">
        <f t="shared" si="8"/>
        <v>1499.91</v>
      </c>
      <c r="H554" t="str">
        <f>VLOOKUP(C554,[1]products!$A:$B,2,FALSE)</f>
        <v>Ritchey Timberwolf Frameset - 2016</v>
      </c>
      <c r="I554">
        <f>VLOOKUP(C554,[1]products!$A:$D,4,FALSE)</f>
        <v>6</v>
      </c>
      <c r="J554" t="str">
        <f>VLOOKUP(I554,[2]categories!$A$1:$B$8,2,FALSE)</f>
        <v>Mountain Bikes</v>
      </c>
    </row>
    <row r="555" customHeight="1" spans="1:10">
      <c r="A555" s="1">
        <v>198</v>
      </c>
      <c r="B555" s="1">
        <v>1</v>
      </c>
      <c r="C555" s="1">
        <v>6</v>
      </c>
      <c r="D555" s="1">
        <v>2</v>
      </c>
      <c r="E555" s="1">
        <v>469.99</v>
      </c>
      <c r="F555" s="1">
        <v>0.05</v>
      </c>
      <c r="G555">
        <f t="shared" si="8"/>
        <v>939.93</v>
      </c>
      <c r="H555" t="str">
        <f>VLOOKUP(C555,[1]products!$A:$B,2,FALSE)</f>
        <v>Surly Ice Cream Truck Frameset - 2016</v>
      </c>
      <c r="I555">
        <f>VLOOKUP(C555,[1]products!$A:$D,4,FALSE)</f>
        <v>6</v>
      </c>
      <c r="J555" t="str">
        <f>VLOOKUP(I555,[2]categories!$A$1:$B$8,2,FALSE)</f>
        <v>Mountain Bikes</v>
      </c>
    </row>
    <row r="556" customHeight="1" spans="1:10">
      <c r="A556" s="1">
        <v>198</v>
      </c>
      <c r="B556" s="1">
        <v>2</v>
      </c>
      <c r="C556" s="1">
        <v>20</v>
      </c>
      <c r="D556" s="1">
        <v>2</v>
      </c>
      <c r="E556" s="1">
        <v>599.99</v>
      </c>
      <c r="F556" s="1">
        <v>0.07</v>
      </c>
      <c r="G556">
        <f t="shared" si="8"/>
        <v>1199.91</v>
      </c>
      <c r="H556" t="str">
        <f>VLOOKUP(C556,[1]products!$A:$B,2,FALSE)</f>
        <v>Electra Townie Original 7D EQ - Women's - 2016</v>
      </c>
      <c r="I556">
        <f>VLOOKUP(C556,[1]products!$A:$D,4,FALSE)</f>
        <v>3</v>
      </c>
      <c r="J556" t="str">
        <f>VLOOKUP(I556,[2]categories!$A$1:$B$8,2,FALSE)</f>
        <v>Cruisers Bicycles</v>
      </c>
    </row>
    <row r="557" customHeight="1" spans="1:10">
      <c r="A557" s="1">
        <v>198</v>
      </c>
      <c r="B557" s="1">
        <v>3</v>
      </c>
      <c r="C557" s="1">
        <v>8</v>
      </c>
      <c r="D557" s="1">
        <v>2</v>
      </c>
      <c r="E557" s="1">
        <v>1799.99</v>
      </c>
      <c r="F557" s="1">
        <v>0.2</v>
      </c>
      <c r="G557">
        <f t="shared" si="8"/>
        <v>3599.78</v>
      </c>
      <c r="H557" t="str">
        <f>VLOOKUP(C557,[1]products!$A:$B,2,FALSE)</f>
        <v>Trek Remedy 29 Carbon Frameset - 2016</v>
      </c>
      <c r="I557">
        <f>VLOOKUP(C557,[1]products!$A:$D,4,FALSE)</f>
        <v>6</v>
      </c>
      <c r="J557" t="str">
        <f>VLOOKUP(I557,[2]categories!$A$1:$B$8,2,FALSE)</f>
        <v>Mountain Bikes</v>
      </c>
    </row>
    <row r="558" customHeight="1" spans="1:10">
      <c r="A558" s="1">
        <v>198</v>
      </c>
      <c r="B558" s="1">
        <v>4</v>
      </c>
      <c r="C558" s="1">
        <v>13</v>
      </c>
      <c r="D558" s="1">
        <v>2</v>
      </c>
      <c r="E558" s="1">
        <v>269.99</v>
      </c>
      <c r="F558" s="1">
        <v>0.05</v>
      </c>
      <c r="G558">
        <f t="shared" si="8"/>
        <v>539.93</v>
      </c>
      <c r="H558" t="str">
        <f>VLOOKUP(C558,[1]products!$A:$B,2,FALSE)</f>
        <v>Electra Cruiser 1 (24-Inch) - 2016</v>
      </c>
      <c r="I558">
        <f>VLOOKUP(C558,[1]products!$A:$D,4,FALSE)</f>
        <v>3</v>
      </c>
      <c r="J558" t="str">
        <f>VLOOKUP(I558,[2]categories!$A$1:$B$8,2,FALSE)</f>
        <v>Cruisers Bicycles</v>
      </c>
    </row>
    <row r="559" customHeight="1" spans="1:10">
      <c r="A559" s="1">
        <v>198</v>
      </c>
      <c r="B559" s="1">
        <v>5</v>
      </c>
      <c r="C559" s="1">
        <v>17</v>
      </c>
      <c r="D559" s="1">
        <v>1</v>
      </c>
      <c r="E559" s="1">
        <v>429</v>
      </c>
      <c r="F559" s="1">
        <v>0.05</v>
      </c>
      <c r="G559">
        <f t="shared" si="8"/>
        <v>428.95</v>
      </c>
      <c r="H559" t="str">
        <f>VLOOKUP(C559,[1]products!$A:$B,2,FALSE)</f>
        <v>Pure Cycles Vine 8-Speed - 2016</v>
      </c>
      <c r="I559">
        <f>VLOOKUP(C559,[1]products!$A:$D,4,FALSE)</f>
        <v>3</v>
      </c>
      <c r="J559" t="str">
        <f>VLOOKUP(I559,[2]categories!$A$1:$B$8,2,FALSE)</f>
        <v>Cruisers Bicycles</v>
      </c>
    </row>
    <row r="560" customHeight="1" spans="1:10">
      <c r="A560" s="1">
        <v>199</v>
      </c>
      <c r="B560" s="1">
        <v>1</v>
      </c>
      <c r="C560" s="1">
        <v>25</v>
      </c>
      <c r="D560" s="1">
        <v>2</v>
      </c>
      <c r="E560" s="1">
        <v>499.99</v>
      </c>
      <c r="F560" s="1">
        <v>0.05</v>
      </c>
      <c r="G560">
        <f t="shared" si="8"/>
        <v>999.93</v>
      </c>
      <c r="H560" t="str">
        <f>VLOOKUP(C560,[1]products!$A:$B,2,FALSE)</f>
        <v>Electra Townie Original 7D - 2015/2016</v>
      </c>
      <c r="I560">
        <f>VLOOKUP(C560,[1]products!$A:$D,4,FALSE)</f>
        <v>2</v>
      </c>
      <c r="J560" t="str">
        <f>VLOOKUP(I560,[2]categories!$A$1:$B$8,2,FALSE)</f>
        <v>Comfort Bicycles</v>
      </c>
    </row>
    <row r="561" customHeight="1" spans="1:10">
      <c r="A561" s="1">
        <v>199</v>
      </c>
      <c r="B561" s="1">
        <v>2</v>
      </c>
      <c r="C561" s="1">
        <v>18</v>
      </c>
      <c r="D561" s="1">
        <v>2</v>
      </c>
      <c r="E561" s="1">
        <v>449</v>
      </c>
      <c r="F561" s="1">
        <v>0.07</v>
      </c>
      <c r="G561">
        <f t="shared" si="8"/>
        <v>897.93</v>
      </c>
      <c r="H561" t="str">
        <f>VLOOKUP(C561,[1]products!$A:$B,2,FALSE)</f>
        <v>Pure Cycles Western 3-Speed - Women's - 2015/2016</v>
      </c>
      <c r="I561">
        <f>VLOOKUP(C561,[1]products!$A:$D,4,FALSE)</f>
        <v>3</v>
      </c>
      <c r="J561" t="str">
        <f>VLOOKUP(I561,[2]categories!$A$1:$B$8,2,FALSE)</f>
        <v>Cruisers Bicycles</v>
      </c>
    </row>
    <row r="562" customHeight="1" spans="1:10">
      <c r="A562" s="1">
        <v>199</v>
      </c>
      <c r="B562" s="1">
        <v>3</v>
      </c>
      <c r="C562" s="1">
        <v>4</v>
      </c>
      <c r="D562" s="1">
        <v>1</v>
      </c>
      <c r="E562" s="1">
        <v>2899.99</v>
      </c>
      <c r="F562" s="1">
        <v>0.2</v>
      </c>
      <c r="G562">
        <f t="shared" si="8"/>
        <v>2899.79</v>
      </c>
      <c r="H562" t="str">
        <f>VLOOKUP(C562,[1]products!$A:$B,2,FALSE)</f>
        <v>Trek Fuel EX 8 29 - 2016</v>
      </c>
      <c r="I562">
        <f>VLOOKUP(C562,[1]products!$A:$D,4,FALSE)</f>
        <v>6</v>
      </c>
      <c r="J562" t="str">
        <f>VLOOKUP(I562,[2]categories!$A$1:$B$8,2,FALSE)</f>
        <v>Mountain Bikes</v>
      </c>
    </row>
    <row r="563" customHeight="1" spans="1:10">
      <c r="A563" s="1">
        <v>200</v>
      </c>
      <c r="B563" s="1">
        <v>1</v>
      </c>
      <c r="C563" s="1">
        <v>23</v>
      </c>
      <c r="D563" s="1">
        <v>2</v>
      </c>
      <c r="E563" s="1">
        <v>299.99</v>
      </c>
      <c r="F563" s="1">
        <v>0.05</v>
      </c>
      <c r="G563">
        <f t="shared" si="8"/>
        <v>599.93</v>
      </c>
      <c r="H563" t="str">
        <f>VLOOKUP(C563,[1]products!$A:$B,2,FALSE)</f>
        <v>Electra Girl's Hawaii 1 (20-inch) - 2015/2016</v>
      </c>
      <c r="I563">
        <f>VLOOKUP(C563,[1]products!$A:$D,4,FALSE)</f>
        <v>1</v>
      </c>
      <c r="J563" t="str">
        <f>VLOOKUP(I563,[2]categories!$A$1:$B$8,2,FALSE)</f>
        <v>Children Bicycles</v>
      </c>
    </row>
    <row r="564" customHeight="1" spans="1:10">
      <c r="A564" s="1">
        <v>200</v>
      </c>
      <c r="B564" s="1">
        <v>2</v>
      </c>
      <c r="C564" s="1">
        <v>22</v>
      </c>
      <c r="D564" s="1">
        <v>2</v>
      </c>
      <c r="E564" s="1">
        <v>269.99</v>
      </c>
      <c r="F564" s="1">
        <v>0.07</v>
      </c>
      <c r="G564">
        <f t="shared" si="8"/>
        <v>539.91</v>
      </c>
      <c r="H564" t="str">
        <f>VLOOKUP(C564,[1]products!$A:$B,2,FALSE)</f>
        <v>Electra Girl's Hawaii 1 (16-inch) - 2015/2016</v>
      </c>
      <c r="I564">
        <f>VLOOKUP(C564,[1]products!$A:$D,4,FALSE)</f>
        <v>1</v>
      </c>
      <c r="J564" t="str">
        <f>VLOOKUP(I564,[2]categories!$A$1:$B$8,2,FALSE)</f>
        <v>Children Bicycles</v>
      </c>
    </row>
    <row r="565" customHeight="1" spans="1:10">
      <c r="A565" s="1">
        <v>201</v>
      </c>
      <c r="B565" s="1">
        <v>1</v>
      </c>
      <c r="C565" s="1">
        <v>24</v>
      </c>
      <c r="D565" s="1">
        <v>1</v>
      </c>
      <c r="E565" s="1">
        <v>549.99</v>
      </c>
      <c r="F565" s="1">
        <v>0.05</v>
      </c>
      <c r="G565">
        <f t="shared" si="8"/>
        <v>549.94</v>
      </c>
      <c r="H565" t="str">
        <f>VLOOKUP(C565,[1]products!$A:$B,2,FALSE)</f>
        <v>Electra Townie Original 21D - 2016</v>
      </c>
      <c r="I565">
        <f>VLOOKUP(C565,[1]products!$A:$D,4,FALSE)</f>
        <v>2</v>
      </c>
      <c r="J565" t="str">
        <f>VLOOKUP(I565,[2]categories!$A$1:$B$8,2,FALSE)</f>
        <v>Comfort Bicycles</v>
      </c>
    </row>
    <row r="566" customHeight="1" spans="1:10">
      <c r="A566" s="1">
        <v>201</v>
      </c>
      <c r="B566" s="1">
        <v>2</v>
      </c>
      <c r="C566" s="1">
        <v>7</v>
      </c>
      <c r="D566" s="1">
        <v>1</v>
      </c>
      <c r="E566" s="1">
        <v>3999.99</v>
      </c>
      <c r="F566" s="1">
        <v>0.2</v>
      </c>
      <c r="G566">
        <f t="shared" si="8"/>
        <v>3999.79</v>
      </c>
      <c r="H566" t="str">
        <f>VLOOKUP(C566,[1]products!$A:$B,2,FALSE)</f>
        <v>Trek Slash 8 27.5 - 2016</v>
      </c>
      <c r="I566">
        <f>VLOOKUP(C566,[1]products!$A:$D,4,FALSE)</f>
        <v>6</v>
      </c>
      <c r="J566" t="str">
        <f>VLOOKUP(I566,[2]categories!$A$1:$B$8,2,FALSE)</f>
        <v>Mountain Bikes</v>
      </c>
    </row>
    <row r="567" customHeight="1" spans="1:10">
      <c r="A567" s="1">
        <v>201</v>
      </c>
      <c r="B567" s="1">
        <v>3</v>
      </c>
      <c r="C567" s="1">
        <v>14</v>
      </c>
      <c r="D567" s="1">
        <v>2</v>
      </c>
      <c r="E567" s="1">
        <v>269.99</v>
      </c>
      <c r="F567" s="1">
        <v>0.1</v>
      </c>
      <c r="G567">
        <f t="shared" si="8"/>
        <v>539.88</v>
      </c>
      <c r="H567" t="str">
        <f>VLOOKUP(C567,[1]products!$A:$B,2,FALSE)</f>
        <v>Electra Girl's Hawaii 1 (16-inch) - 2015/2016</v>
      </c>
      <c r="I567">
        <f>VLOOKUP(C567,[1]products!$A:$D,4,FALSE)</f>
        <v>3</v>
      </c>
      <c r="J567" t="str">
        <f>VLOOKUP(I567,[2]categories!$A$1:$B$8,2,FALSE)</f>
        <v>Cruisers Bicycles</v>
      </c>
    </row>
    <row r="568" customHeight="1" spans="1:10">
      <c r="A568" s="1">
        <v>201</v>
      </c>
      <c r="B568" s="1">
        <v>4</v>
      </c>
      <c r="C568" s="1">
        <v>17</v>
      </c>
      <c r="D568" s="1">
        <v>1</v>
      </c>
      <c r="E568" s="1">
        <v>429</v>
      </c>
      <c r="F568" s="1">
        <v>0.05</v>
      </c>
      <c r="G568">
        <f t="shared" si="8"/>
        <v>428.95</v>
      </c>
      <c r="H568" t="str">
        <f>VLOOKUP(C568,[1]products!$A:$B,2,FALSE)</f>
        <v>Pure Cycles Vine 8-Speed - 2016</v>
      </c>
      <c r="I568">
        <f>VLOOKUP(C568,[1]products!$A:$D,4,FALSE)</f>
        <v>3</v>
      </c>
      <c r="J568" t="str">
        <f>VLOOKUP(I568,[2]categories!$A$1:$B$8,2,FALSE)</f>
        <v>Cruisers Bicycles</v>
      </c>
    </row>
    <row r="569" customHeight="1" spans="1:10">
      <c r="A569" s="1">
        <v>202</v>
      </c>
      <c r="B569" s="1">
        <v>1</v>
      </c>
      <c r="C569" s="1">
        <v>8</v>
      </c>
      <c r="D569" s="1">
        <v>1</v>
      </c>
      <c r="E569" s="1">
        <v>1799.99</v>
      </c>
      <c r="F569" s="1">
        <v>0.07</v>
      </c>
      <c r="G569">
        <f t="shared" si="8"/>
        <v>1799.92</v>
      </c>
      <c r="H569" t="str">
        <f>VLOOKUP(C569,[1]products!$A:$B,2,FALSE)</f>
        <v>Trek Remedy 29 Carbon Frameset - 2016</v>
      </c>
      <c r="I569">
        <f>VLOOKUP(C569,[1]products!$A:$D,4,FALSE)</f>
        <v>6</v>
      </c>
      <c r="J569" t="str">
        <f>VLOOKUP(I569,[2]categories!$A$1:$B$8,2,FALSE)</f>
        <v>Mountain Bikes</v>
      </c>
    </row>
    <row r="570" customHeight="1" spans="1:10">
      <c r="A570" s="1">
        <v>202</v>
      </c>
      <c r="B570" s="1">
        <v>2</v>
      </c>
      <c r="C570" s="1">
        <v>17</v>
      </c>
      <c r="D570" s="1">
        <v>1</v>
      </c>
      <c r="E570" s="1">
        <v>429</v>
      </c>
      <c r="F570" s="1">
        <v>0.05</v>
      </c>
      <c r="G570">
        <f t="shared" si="8"/>
        <v>428.95</v>
      </c>
      <c r="H570" t="str">
        <f>VLOOKUP(C570,[1]products!$A:$B,2,FALSE)</f>
        <v>Pure Cycles Vine 8-Speed - 2016</v>
      </c>
      <c r="I570">
        <f>VLOOKUP(C570,[1]products!$A:$D,4,FALSE)</f>
        <v>3</v>
      </c>
      <c r="J570" t="str">
        <f>VLOOKUP(I570,[2]categories!$A$1:$B$8,2,FALSE)</f>
        <v>Cruisers Bicycles</v>
      </c>
    </row>
    <row r="571" customHeight="1" spans="1:10">
      <c r="A571" s="1">
        <v>202</v>
      </c>
      <c r="B571" s="1">
        <v>3</v>
      </c>
      <c r="C571" s="1">
        <v>15</v>
      </c>
      <c r="D571" s="1">
        <v>2</v>
      </c>
      <c r="E571" s="1">
        <v>529.99</v>
      </c>
      <c r="F571" s="1">
        <v>0.05</v>
      </c>
      <c r="G571">
        <f t="shared" si="8"/>
        <v>1059.93</v>
      </c>
      <c r="H571" t="str">
        <f>VLOOKUP(C571,[1]products!$A:$B,2,FALSE)</f>
        <v>Electra Moto 1 - 2016</v>
      </c>
      <c r="I571">
        <f>VLOOKUP(C571,[1]products!$A:$D,4,FALSE)</f>
        <v>3</v>
      </c>
      <c r="J571" t="str">
        <f>VLOOKUP(I571,[2]categories!$A$1:$B$8,2,FALSE)</f>
        <v>Cruisers Bicycles</v>
      </c>
    </row>
    <row r="572" customHeight="1" spans="1:10">
      <c r="A572" s="1">
        <v>202</v>
      </c>
      <c r="B572" s="1">
        <v>4</v>
      </c>
      <c r="C572" s="1">
        <v>25</v>
      </c>
      <c r="D572" s="1">
        <v>2</v>
      </c>
      <c r="E572" s="1">
        <v>499.99</v>
      </c>
      <c r="F572" s="1">
        <v>0.05</v>
      </c>
      <c r="G572">
        <f t="shared" si="8"/>
        <v>999.93</v>
      </c>
      <c r="H572" t="str">
        <f>VLOOKUP(C572,[1]products!$A:$B,2,FALSE)</f>
        <v>Electra Townie Original 7D - 2015/2016</v>
      </c>
      <c r="I572">
        <f>VLOOKUP(C572,[1]products!$A:$D,4,FALSE)</f>
        <v>2</v>
      </c>
      <c r="J572" t="str">
        <f>VLOOKUP(I572,[2]categories!$A$1:$B$8,2,FALSE)</f>
        <v>Comfort Bicycles</v>
      </c>
    </row>
    <row r="573" customHeight="1" spans="1:10">
      <c r="A573" s="1">
        <v>203</v>
      </c>
      <c r="B573" s="1">
        <v>1</v>
      </c>
      <c r="C573" s="1">
        <v>26</v>
      </c>
      <c r="D573" s="1">
        <v>1</v>
      </c>
      <c r="E573" s="1">
        <v>599.99</v>
      </c>
      <c r="F573" s="1">
        <v>0.05</v>
      </c>
      <c r="G573">
        <f t="shared" si="8"/>
        <v>599.94</v>
      </c>
      <c r="H573" t="str">
        <f>VLOOKUP(C573,[1]products!$A:$B,2,FALSE)</f>
        <v>Electra Townie Original 7D EQ - 2016</v>
      </c>
      <c r="I573">
        <f>VLOOKUP(C573,[1]products!$A:$D,4,FALSE)</f>
        <v>2</v>
      </c>
      <c r="J573" t="str">
        <f>VLOOKUP(I573,[2]categories!$A$1:$B$8,2,FALSE)</f>
        <v>Comfort Bicycles</v>
      </c>
    </row>
    <row r="574" customHeight="1" spans="1:10">
      <c r="A574" s="1">
        <v>203</v>
      </c>
      <c r="B574" s="1">
        <v>2</v>
      </c>
      <c r="C574" s="1">
        <v>3</v>
      </c>
      <c r="D574" s="1">
        <v>2</v>
      </c>
      <c r="E574" s="1">
        <v>999.99</v>
      </c>
      <c r="F574" s="1">
        <v>0.1</v>
      </c>
      <c r="G574">
        <f t="shared" si="8"/>
        <v>1999.88</v>
      </c>
      <c r="H574" t="str">
        <f>VLOOKUP(C574,[1]products!$A:$B,2,FALSE)</f>
        <v>Surly Wednesday Frameset - 2016</v>
      </c>
      <c r="I574">
        <f>VLOOKUP(C574,[1]products!$A:$D,4,FALSE)</f>
        <v>6</v>
      </c>
      <c r="J574" t="str">
        <f>VLOOKUP(I574,[2]categories!$A$1:$B$8,2,FALSE)</f>
        <v>Mountain Bikes</v>
      </c>
    </row>
    <row r="575" customHeight="1" spans="1:10">
      <c r="A575" s="1">
        <v>203</v>
      </c>
      <c r="B575" s="1">
        <v>3</v>
      </c>
      <c r="C575" s="1">
        <v>17</v>
      </c>
      <c r="D575" s="1">
        <v>2</v>
      </c>
      <c r="E575" s="1">
        <v>429</v>
      </c>
      <c r="F575" s="1">
        <v>0.2</v>
      </c>
      <c r="G575">
        <f t="shared" si="8"/>
        <v>857.8</v>
      </c>
      <c r="H575" t="str">
        <f>VLOOKUP(C575,[1]products!$A:$B,2,FALSE)</f>
        <v>Pure Cycles Vine 8-Speed - 2016</v>
      </c>
      <c r="I575">
        <f>VLOOKUP(C575,[1]products!$A:$D,4,FALSE)</f>
        <v>3</v>
      </c>
      <c r="J575" t="str">
        <f>VLOOKUP(I575,[2]categories!$A$1:$B$8,2,FALSE)</f>
        <v>Cruisers Bicycles</v>
      </c>
    </row>
    <row r="576" customHeight="1" spans="1:10">
      <c r="A576" s="1">
        <v>203</v>
      </c>
      <c r="B576" s="1">
        <v>4</v>
      </c>
      <c r="C576" s="1">
        <v>19</v>
      </c>
      <c r="D576" s="1">
        <v>2</v>
      </c>
      <c r="E576" s="1">
        <v>449</v>
      </c>
      <c r="F576" s="1">
        <v>0.07</v>
      </c>
      <c r="G576">
        <f t="shared" si="8"/>
        <v>897.93</v>
      </c>
      <c r="H576" t="str">
        <f>VLOOKUP(C576,[1]products!$A:$B,2,FALSE)</f>
        <v>Pure Cycles William 3-Speed - 2016</v>
      </c>
      <c r="I576">
        <f>VLOOKUP(C576,[1]products!$A:$D,4,FALSE)</f>
        <v>3</v>
      </c>
      <c r="J576" t="str">
        <f>VLOOKUP(I576,[2]categories!$A$1:$B$8,2,FALSE)</f>
        <v>Cruisers Bicycles</v>
      </c>
    </row>
    <row r="577" customHeight="1" spans="1:10">
      <c r="A577" s="1">
        <v>204</v>
      </c>
      <c r="B577" s="1">
        <v>1</v>
      </c>
      <c r="C577" s="1">
        <v>6</v>
      </c>
      <c r="D577" s="1">
        <v>2</v>
      </c>
      <c r="E577" s="1">
        <v>469.99</v>
      </c>
      <c r="F577" s="1">
        <v>0.07</v>
      </c>
      <c r="G577">
        <f t="shared" si="8"/>
        <v>939.91</v>
      </c>
      <c r="H577" t="str">
        <f>VLOOKUP(C577,[1]products!$A:$B,2,FALSE)</f>
        <v>Surly Ice Cream Truck Frameset - 2016</v>
      </c>
      <c r="I577">
        <f>VLOOKUP(C577,[1]products!$A:$D,4,FALSE)</f>
        <v>6</v>
      </c>
      <c r="J577" t="str">
        <f>VLOOKUP(I577,[2]categories!$A$1:$B$8,2,FALSE)</f>
        <v>Mountain Bikes</v>
      </c>
    </row>
    <row r="578" customHeight="1" spans="1:10">
      <c r="A578" s="1">
        <v>204</v>
      </c>
      <c r="B578" s="1">
        <v>2</v>
      </c>
      <c r="C578" s="1">
        <v>17</v>
      </c>
      <c r="D578" s="1">
        <v>2</v>
      </c>
      <c r="E578" s="1">
        <v>429</v>
      </c>
      <c r="F578" s="1">
        <v>0.1</v>
      </c>
      <c r="G578">
        <f t="shared" si="8"/>
        <v>857.9</v>
      </c>
      <c r="H578" t="str">
        <f>VLOOKUP(C578,[1]products!$A:$B,2,FALSE)</f>
        <v>Pure Cycles Vine 8-Speed - 2016</v>
      </c>
      <c r="I578">
        <f>VLOOKUP(C578,[1]products!$A:$D,4,FALSE)</f>
        <v>3</v>
      </c>
      <c r="J578" t="str">
        <f>VLOOKUP(I578,[2]categories!$A$1:$B$8,2,FALSE)</f>
        <v>Cruisers Bicycles</v>
      </c>
    </row>
    <row r="579" customHeight="1" spans="1:10">
      <c r="A579" s="1">
        <v>205</v>
      </c>
      <c r="B579" s="1">
        <v>1</v>
      </c>
      <c r="C579" s="1">
        <v>22</v>
      </c>
      <c r="D579" s="1">
        <v>2</v>
      </c>
      <c r="E579" s="1">
        <v>269.99</v>
      </c>
      <c r="F579" s="1">
        <v>0.05</v>
      </c>
      <c r="G579">
        <f t="shared" ref="G579:G642" si="9">(E579*D579)-F579</f>
        <v>539.93</v>
      </c>
      <c r="H579" t="str">
        <f>VLOOKUP(C579,[1]products!$A:$B,2,FALSE)</f>
        <v>Electra Girl's Hawaii 1 (16-inch) - 2015/2016</v>
      </c>
      <c r="I579">
        <f>VLOOKUP(C579,[1]products!$A:$D,4,FALSE)</f>
        <v>1</v>
      </c>
      <c r="J579" t="str">
        <f>VLOOKUP(I579,[2]categories!$A$1:$B$8,2,FALSE)</f>
        <v>Children Bicycles</v>
      </c>
    </row>
    <row r="580" customHeight="1" spans="1:10">
      <c r="A580" s="1">
        <v>205</v>
      </c>
      <c r="B580" s="1">
        <v>2</v>
      </c>
      <c r="C580" s="1">
        <v>24</v>
      </c>
      <c r="D580" s="1">
        <v>2</v>
      </c>
      <c r="E580" s="1">
        <v>549.99</v>
      </c>
      <c r="F580" s="1">
        <v>0.1</v>
      </c>
      <c r="G580">
        <f t="shared" si="9"/>
        <v>1099.88</v>
      </c>
      <c r="H580" t="str">
        <f>VLOOKUP(C580,[1]products!$A:$B,2,FALSE)</f>
        <v>Electra Townie Original 21D - 2016</v>
      </c>
      <c r="I580">
        <f>VLOOKUP(C580,[1]products!$A:$D,4,FALSE)</f>
        <v>2</v>
      </c>
      <c r="J580" t="str">
        <f>VLOOKUP(I580,[2]categories!$A$1:$B$8,2,FALSE)</f>
        <v>Comfort Bicycles</v>
      </c>
    </row>
    <row r="581" customHeight="1" spans="1:10">
      <c r="A581" s="1">
        <v>206</v>
      </c>
      <c r="B581" s="1">
        <v>1</v>
      </c>
      <c r="C581" s="1">
        <v>25</v>
      </c>
      <c r="D581" s="1">
        <v>1</v>
      </c>
      <c r="E581" s="1">
        <v>499.99</v>
      </c>
      <c r="F581" s="1">
        <v>0.05</v>
      </c>
      <c r="G581">
        <f t="shared" si="9"/>
        <v>499.94</v>
      </c>
      <c r="H581" t="str">
        <f>VLOOKUP(C581,[1]products!$A:$B,2,FALSE)</f>
        <v>Electra Townie Original 7D - 2015/2016</v>
      </c>
      <c r="I581">
        <f>VLOOKUP(C581,[1]products!$A:$D,4,FALSE)</f>
        <v>2</v>
      </c>
      <c r="J581" t="str">
        <f>VLOOKUP(I581,[2]categories!$A$1:$B$8,2,FALSE)</f>
        <v>Comfort Bicycles</v>
      </c>
    </row>
    <row r="582" customHeight="1" spans="1:10">
      <c r="A582" s="1">
        <v>206</v>
      </c>
      <c r="B582" s="1">
        <v>2</v>
      </c>
      <c r="C582" s="1">
        <v>20</v>
      </c>
      <c r="D582" s="1">
        <v>1</v>
      </c>
      <c r="E582" s="1">
        <v>599.99</v>
      </c>
      <c r="F582" s="1">
        <v>0.2</v>
      </c>
      <c r="G582">
        <f t="shared" si="9"/>
        <v>599.79</v>
      </c>
      <c r="H582" t="str">
        <f>VLOOKUP(C582,[1]products!$A:$B,2,FALSE)</f>
        <v>Electra Townie Original 7D EQ - Women's - 2016</v>
      </c>
      <c r="I582">
        <f>VLOOKUP(C582,[1]products!$A:$D,4,FALSE)</f>
        <v>3</v>
      </c>
      <c r="J582" t="str">
        <f>VLOOKUP(I582,[2]categories!$A$1:$B$8,2,FALSE)</f>
        <v>Cruisers Bicycles</v>
      </c>
    </row>
    <row r="583" customHeight="1" spans="1:10">
      <c r="A583" s="1">
        <v>207</v>
      </c>
      <c r="B583" s="1">
        <v>1</v>
      </c>
      <c r="C583" s="1">
        <v>12</v>
      </c>
      <c r="D583" s="1">
        <v>2</v>
      </c>
      <c r="E583" s="1">
        <v>549.99</v>
      </c>
      <c r="F583" s="1">
        <v>0.2</v>
      </c>
      <c r="G583">
        <f t="shared" si="9"/>
        <v>1099.78</v>
      </c>
      <c r="H583" t="str">
        <f>VLOOKUP(C583,[1]products!$A:$B,2,FALSE)</f>
        <v>Electra Townie Original 21D - 2016</v>
      </c>
      <c r="I583">
        <f>VLOOKUP(C583,[1]products!$A:$D,4,FALSE)</f>
        <v>3</v>
      </c>
      <c r="J583" t="str">
        <f>VLOOKUP(I583,[2]categories!$A$1:$B$8,2,FALSE)</f>
        <v>Cruisers Bicycles</v>
      </c>
    </row>
    <row r="584" customHeight="1" spans="1:10">
      <c r="A584" s="1">
        <v>207</v>
      </c>
      <c r="B584" s="1">
        <v>2</v>
      </c>
      <c r="C584" s="1">
        <v>5</v>
      </c>
      <c r="D584" s="1">
        <v>1</v>
      </c>
      <c r="E584" s="1">
        <v>1320.99</v>
      </c>
      <c r="F584" s="1">
        <v>0.05</v>
      </c>
      <c r="G584">
        <f t="shared" si="9"/>
        <v>1320.94</v>
      </c>
      <c r="H584" t="str">
        <f>VLOOKUP(C584,[1]products!$A:$B,2,FALSE)</f>
        <v>Heller Shagamaw Frame - 2016</v>
      </c>
      <c r="I584">
        <f>VLOOKUP(C584,[1]products!$A:$D,4,FALSE)</f>
        <v>6</v>
      </c>
      <c r="J584" t="str">
        <f>VLOOKUP(I584,[2]categories!$A$1:$B$8,2,FALSE)</f>
        <v>Mountain Bikes</v>
      </c>
    </row>
    <row r="585" customHeight="1" spans="1:10">
      <c r="A585" s="1">
        <v>207</v>
      </c>
      <c r="B585" s="1">
        <v>3</v>
      </c>
      <c r="C585" s="1">
        <v>11</v>
      </c>
      <c r="D585" s="1">
        <v>2</v>
      </c>
      <c r="E585" s="1">
        <v>1680.99</v>
      </c>
      <c r="F585" s="1">
        <v>0.07</v>
      </c>
      <c r="G585">
        <f t="shared" si="9"/>
        <v>3361.91</v>
      </c>
      <c r="H585" t="str">
        <f>VLOOKUP(C585,[1]products!$A:$B,2,FALSE)</f>
        <v>Surly Straggler 650b - 2016</v>
      </c>
      <c r="I585">
        <f>VLOOKUP(C585,[1]products!$A:$D,4,FALSE)</f>
        <v>4</v>
      </c>
      <c r="J585" t="str">
        <f>VLOOKUP(I585,[2]categories!$A$1:$B$8,2,FALSE)</f>
        <v>Cyclocross Bicycles</v>
      </c>
    </row>
    <row r="586" customHeight="1" spans="1:10">
      <c r="A586" s="1">
        <v>207</v>
      </c>
      <c r="B586" s="1">
        <v>4</v>
      </c>
      <c r="C586" s="1">
        <v>7</v>
      </c>
      <c r="D586" s="1">
        <v>2</v>
      </c>
      <c r="E586" s="1">
        <v>3999.99</v>
      </c>
      <c r="F586" s="1">
        <v>0.1</v>
      </c>
      <c r="G586">
        <f t="shared" si="9"/>
        <v>7999.88</v>
      </c>
      <c r="H586" t="str">
        <f>VLOOKUP(C586,[1]products!$A:$B,2,FALSE)</f>
        <v>Trek Slash 8 27.5 - 2016</v>
      </c>
      <c r="I586">
        <f>VLOOKUP(C586,[1]products!$A:$D,4,FALSE)</f>
        <v>6</v>
      </c>
      <c r="J586" t="str">
        <f>VLOOKUP(I586,[2]categories!$A$1:$B$8,2,FALSE)</f>
        <v>Mountain Bikes</v>
      </c>
    </row>
    <row r="587" customHeight="1" spans="1:10">
      <c r="A587" s="1">
        <v>208</v>
      </c>
      <c r="B587" s="1">
        <v>1</v>
      </c>
      <c r="C587" s="1">
        <v>6</v>
      </c>
      <c r="D587" s="1">
        <v>2</v>
      </c>
      <c r="E587" s="1">
        <v>469.99</v>
      </c>
      <c r="F587" s="1">
        <v>0.05</v>
      </c>
      <c r="G587">
        <f t="shared" si="9"/>
        <v>939.93</v>
      </c>
      <c r="H587" t="str">
        <f>VLOOKUP(C587,[1]products!$A:$B,2,FALSE)</f>
        <v>Surly Ice Cream Truck Frameset - 2016</v>
      </c>
      <c r="I587">
        <f>VLOOKUP(C587,[1]products!$A:$D,4,FALSE)</f>
        <v>6</v>
      </c>
      <c r="J587" t="str">
        <f>VLOOKUP(I587,[2]categories!$A$1:$B$8,2,FALSE)</f>
        <v>Mountain Bikes</v>
      </c>
    </row>
    <row r="588" customHeight="1" spans="1:10">
      <c r="A588" s="1">
        <v>208</v>
      </c>
      <c r="B588" s="1">
        <v>2</v>
      </c>
      <c r="C588" s="1">
        <v>4</v>
      </c>
      <c r="D588" s="1">
        <v>2</v>
      </c>
      <c r="E588" s="1">
        <v>2899.99</v>
      </c>
      <c r="F588" s="1">
        <v>0.07</v>
      </c>
      <c r="G588">
        <f t="shared" si="9"/>
        <v>5799.91</v>
      </c>
      <c r="H588" t="str">
        <f>VLOOKUP(C588,[1]products!$A:$B,2,FALSE)</f>
        <v>Trek Fuel EX 8 29 - 2016</v>
      </c>
      <c r="I588">
        <f>VLOOKUP(C588,[1]products!$A:$D,4,FALSE)</f>
        <v>6</v>
      </c>
      <c r="J588" t="str">
        <f>VLOOKUP(I588,[2]categories!$A$1:$B$8,2,FALSE)</f>
        <v>Mountain Bikes</v>
      </c>
    </row>
    <row r="589" customHeight="1" spans="1:10">
      <c r="A589" s="1">
        <v>208</v>
      </c>
      <c r="B589" s="1">
        <v>3</v>
      </c>
      <c r="C589" s="1">
        <v>3</v>
      </c>
      <c r="D589" s="1">
        <v>1</v>
      </c>
      <c r="E589" s="1">
        <v>999.99</v>
      </c>
      <c r="F589" s="1">
        <v>0.05</v>
      </c>
      <c r="G589">
        <f t="shared" si="9"/>
        <v>999.94</v>
      </c>
      <c r="H589" t="str">
        <f>VLOOKUP(C589,[1]products!$A:$B,2,FALSE)</f>
        <v>Surly Wednesday Frameset - 2016</v>
      </c>
      <c r="I589">
        <f>VLOOKUP(C589,[1]products!$A:$D,4,FALSE)</f>
        <v>6</v>
      </c>
      <c r="J589" t="str">
        <f>VLOOKUP(I589,[2]categories!$A$1:$B$8,2,FALSE)</f>
        <v>Mountain Bikes</v>
      </c>
    </row>
    <row r="590" customHeight="1" spans="1:10">
      <c r="A590" s="1">
        <v>208</v>
      </c>
      <c r="B590" s="1">
        <v>4</v>
      </c>
      <c r="C590" s="1">
        <v>12</v>
      </c>
      <c r="D590" s="1">
        <v>1</v>
      </c>
      <c r="E590" s="1">
        <v>549.99</v>
      </c>
      <c r="F590" s="1">
        <v>0.2</v>
      </c>
      <c r="G590">
        <f t="shared" si="9"/>
        <v>549.79</v>
      </c>
      <c r="H590" t="str">
        <f>VLOOKUP(C590,[1]products!$A:$B,2,FALSE)</f>
        <v>Electra Townie Original 21D - 2016</v>
      </c>
      <c r="I590">
        <f>VLOOKUP(C590,[1]products!$A:$D,4,FALSE)</f>
        <v>3</v>
      </c>
      <c r="J590" t="str">
        <f>VLOOKUP(I590,[2]categories!$A$1:$B$8,2,FALSE)</f>
        <v>Cruisers Bicycles</v>
      </c>
    </row>
    <row r="591" customHeight="1" spans="1:10">
      <c r="A591" s="1">
        <v>208</v>
      </c>
      <c r="B591" s="1">
        <v>5</v>
      </c>
      <c r="C591" s="1">
        <v>10</v>
      </c>
      <c r="D591" s="1">
        <v>2</v>
      </c>
      <c r="E591" s="1">
        <v>1549</v>
      </c>
      <c r="F591" s="1">
        <v>0.05</v>
      </c>
      <c r="G591">
        <f t="shared" si="9"/>
        <v>3097.95</v>
      </c>
      <c r="H591" t="str">
        <f>VLOOKUP(C591,[1]products!$A:$B,2,FALSE)</f>
        <v>Surly Straggler - 2016</v>
      </c>
      <c r="I591">
        <f>VLOOKUP(C591,[1]products!$A:$D,4,FALSE)</f>
        <v>4</v>
      </c>
      <c r="J591" t="str">
        <f>VLOOKUP(I591,[2]categories!$A$1:$B$8,2,FALSE)</f>
        <v>Cyclocross Bicycles</v>
      </c>
    </row>
    <row r="592" customHeight="1" spans="1:10">
      <c r="A592" s="1">
        <v>209</v>
      </c>
      <c r="B592" s="1">
        <v>1</v>
      </c>
      <c r="C592" s="1">
        <v>13</v>
      </c>
      <c r="D592" s="1">
        <v>1</v>
      </c>
      <c r="E592" s="1">
        <v>269.99</v>
      </c>
      <c r="F592" s="1">
        <v>0.1</v>
      </c>
      <c r="G592">
        <f t="shared" si="9"/>
        <v>269.89</v>
      </c>
      <c r="H592" t="str">
        <f>VLOOKUP(C592,[1]products!$A:$B,2,FALSE)</f>
        <v>Electra Cruiser 1 (24-Inch) - 2016</v>
      </c>
      <c r="I592">
        <f>VLOOKUP(C592,[1]products!$A:$D,4,FALSE)</f>
        <v>3</v>
      </c>
      <c r="J592" t="str">
        <f>VLOOKUP(I592,[2]categories!$A$1:$B$8,2,FALSE)</f>
        <v>Cruisers Bicycles</v>
      </c>
    </row>
    <row r="593" customHeight="1" spans="1:10">
      <c r="A593" s="1">
        <v>210</v>
      </c>
      <c r="B593" s="1">
        <v>1</v>
      </c>
      <c r="C593" s="1">
        <v>14</v>
      </c>
      <c r="D593" s="1">
        <v>1</v>
      </c>
      <c r="E593" s="1">
        <v>269.99</v>
      </c>
      <c r="F593" s="1">
        <v>0.07</v>
      </c>
      <c r="G593">
        <f t="shared" si="9"/>
        <v>269.92</v>
      </c>
      <c r="H593" t="str">
        <f>VLOOKUP(C593,[1]products!$A:$B,2,FALSE)</f>
        <v>Electra Girl's Hawaii 1 (16-inch) - 2015/2016</v>
      </c>
      <c r="I593">
        <f>VLOOKUP(C593,[1]products!$A:$D,4,FALSE)</f>
        <v>3</v>
      </c>
      <c r="J593" t="str">
        <f>VLOOKUP(I593,[2]categories!$A$1:$B$8,2,FALSE)</f>
        <v>Cruisers Bicycles</v>
      </c>
    </row>
    <row r="594" customHeight="1" spans="1:10">
      <c r="A594" s="1">
        <v>210</v>
      </c>
      <c r="B594" s="1">
        <v>2</v>
      </c>
      <c r="C594" s="1">
        <v>13</v>
      </c>
      <c r="D594" s="1">
        <v>2</v>
      </c>
      <c r="E594" s="1">
        <v>269.99</v>
      </c>
      <c r="F594" s="1">
        <v>0.2</v>
      </c>
      <c r="G594">
        <f t="shared" si="9"/>
        <v>539.78</v>
      </c>
      <c r="H594" t="str">
        <f>VLOOKUP(C594,[1]products!$A:$B,2,FALSE)</f>
        <v>Electra Cruiser 1 (24-Inch) - 2016</v>
      </c>
      <c r="I594">
        <f>VLOOKUP(C594,[1]products!$A:$D,4,FALSE)</f>
        <v>3</v>
      </c>
      <c r="J594" t="str">
        <f>VLOOKUP(I594,[2]categories!$A$1:$B$8,2,FALSE)</f>
        <v>Cruisers Bicycles</v>
      </c>
    </row>
    <row r="595" customHeight="1" spans="1:10">
      <c r="A595" s="1">
        <v>211</v>
      </c>
      <c r="B595" s="1">
        <v>1</v>
      </c>
      <c r="C595" s="1">
        <v>10</v>
      </c>
      <c r="D595" s="1">
        <v>1</v>
      </c>
      <c r="E595" s="1">
        <v>1549</v>
      </c>
      <c r="F595" s="1">
        <v>0.07</v>
      </c>
      <c r="G595">
        <f t="shared" si="9"/>
        <v>1548.93</v>
      </c>
      <c r="H595" t="str">
        <f>VLOOKUP(C595,[1]products!$A:$B,2,FALSE)</f>
        <v>Surly Straggler - 2016</v>
      </c>
      <c r="I595">
        <f>VLOOKUP(C595,[1]products!$A:$D,4,FALSE)</f>
        <v>4</v>
      </c>
      <c r="J595" t="str">
        <f>VLOOKUP(I595,[2]categories!$A$1:$B$8,2,FALSE)</f>
        <v>Cyclocross Bicycles</v>
      </c>
    </row>
    <row r="596" customHeight="1" spans="1:10">
      <c r="A596" s="1">
        <v>211</v>
      </c>
      <c r="B596" s="1">
        <v>2</v>
      </c>
      <c r="C596" s="1">
        <v>2</v>
      </c>
      <c r="D596" s="1">
        <v>2</v>
      </c>
      <c r="E596" s="1">
        <v>749.99</v>
      </c>
      <c r="F596" s="1">
        <v>0.07</v>
      </c>
      <c r="G596">
        <f t="shared" si="9"/>
        <v>1499.91</v>
      </c>
      <c r="H596" t="str">
        <f>VLOOKUP(C596,[1]products!$A:$B,2,FALSE)</f>
        <v>Ritchey Timberwolf Frameset - 2016</v>
      </c>
      <c r="I596">
        <f>VLOOKUP(C596,[1]products!$A:$D,4,FALSE)</f>
        <v>6</v>
      </c>
      <c r="J596" t="str">
        <f>VLOOKUP(I596,[2]categories!$A$1:$B$8,2,FALSE)</f>
        <v>Mountain Bikes</v>
      </c>
    </row>
    <row r="597" customHeight="1" spans="1:10">
      <c r="A597" s="1">
        <v>212</v>
      </c>
      <c r="B597" s="1">
        <v>1</v>
      </c>
      <c r="C597" s="1">
        <v>16</v>
      </c>
      <c r="D597" s="1">
        <v>2</v>
      </c>
      <c r="E597" s="1">
        <v>599.99</v>
      </c>
      <c r="F597" s="1">
        <v>0.07</v>
      </c>
      <c r="G597">
        <f t="shared" si="9"/>
        <v>1199.91</v>
      </c>
      <c r="H597" t="str">
        <f>VLOOKUP(C597,[1]products!$A:$B,2,FALSE)</f>
        <v>Electra Townie Original 7D EQ - 2016</v>
      </c>
      <c r="I597">
        <f>VLOOKUP(C597,[1]products!$A:$D,4,FALSE)</f>
        <v>3</v>
      </c>
      <c r="J597" t="str">
        <f>VLOOKUP(I597,[2]categories!$A$1:$B$8,2,FALSE)</f>
        <v>Cruisers Bicycles</v>
      </c>
    </row>
    <row r="598" customHeight="1" spans="1:10">
      <c r="A598" s="1">
        <v>212</v>
      </c>
      <c r="B598" s="1">
        <v>2</v>
      </c>
      <c r="C598" s="1">
        <v>12</v>
      </c>
      <c r="D598" s="1">
        <v>2</v>
      </c>
      <c r="E598" s="1">
        <v>549.99</v>
      </c>
      <c r="F598" s="1">
        <v>0.2</v>
      </c>
      <c r="G598">
        <f t="shared" si="9"/>
        <v>1099.78</v>
      </c>
      <c r="H598" t="str">
        <f>VLOOKUP(C598,[1]products!$A:$B,2,FALSE)</f>
        <v>Electra Townie Original 21D - 2016</v>
      </c>
      <c r="I598">
        <f>VLOOKUP(C598,[1]products!$A:$D,4,FALSE)</f>
        <v>3</v>
      </c>
      <c r="J598" t="str">
        <f>VLOOKUP(I598,[2]categories!$A$1:$B$8,2,FALSE)</f>
        <v>Cruisers Bicycles</v>
      </c>
    </row>
    <row r="599" customHeight="1" spans="1:10">
      <c r="A599" s="1">
        <v>212</v>
      </c>
      <c r="B599" s="1">
        <v>3</v>
      </c>
      <c r="C599" s="1">
        <v>19</v>
      </c>
      <c r="D599" s="1">
        <v>1</v>
      </c>
      <c r="E599" s="1">
        <v>449</v>
      </c>
      <c r="F599" s="1">
        <v>0.1</v>
      </c>
      <c r="G599">
        <f t="shared" si="9"/>
        <v>448.9</v>
      </c>
      <c r="H599" t="str">
        <f>VLOOKUP(C599,[1]products!$A:$B,2,FALSE)</f>
        <v>Pure Cycles William 3-Speed - 2016</v>
      </c>
      <c r="I599">
        <f>VLOOKUP(C599,[1]products!$A:$D,4,FALSE)</f>
        <v>3</v>
      </c>
      <c r="J599" t="str">
        <f>VLOOKUP(I599,[2]categories!$A$1:$B$8,2,FALSE)</f>
        <v>Cruisers Bicycles</v>
      </c>
    </row>
    <row r="600" customHeight="1" spans="1:10">
      <c r="A600" s="1">
        <v>212</v>
      </c>
      <c r="B600" s="1">
        <v>4</v>
      </c>
      <c r="C600" s="1">
        <v>7</v>
      </c>
      <c r="D600" s="1">
        <v>1</v>
      </c>
      <c r="E600" s="1">
        <v>3999.99</v>
      </c>
      <c r="F600" s="1">
        <v>0.2</v>
      </c>
      <c r="G600">
        <f t="shared" si="9"/>
        <v>3999.79</v>
      </c>
      <c r="H600" t="str">
        <f>VLOOKUP(C600,[1]products!$A:$B,2,FALSE)</f>
        <v>Trek Slash 8 27.5 - 2016</v>
      </c>
      <c r="I600">
        <f>VLOOKUP(C600,[1]products!$A:$D,4,FALSE)</f>
        <v>6</v>
      </c>
      <c r="J600" t="str">
        <f>VLOOKUP(I600,[2]categories!$A$1:$B$8,2,FALSE)</f>
        <v>Mountain Bikes</v>
      </c>
    </row>
    <row r="601" customHeight="1" spans="1:10">
      <c r="A601" s="1">
        <v>213</v>
      </c>
      <c r="B601" s="1">
        <v>1</v>
      </c>
      <c r="C601" s="1">
        <v>13</v>
      </c>
      <c r="D601" s="1">
        <v>1</v>
      </c>
      <c r="E601" s="1">
        <v>269.99</v>
      </c>
      <c r="F601" s="1">
        <v>0.1</v>
      </c>
      <c r="G601">
        <f t="shared" si="9"/>
        <v>269.89</v>
      </c>
      <c r="H601" t="str">
        <f>VLOOKUP(C601,[1]products!$A:$B,2,FALSE)</f>
        <v>Electra Cruiser 1 (24-Inch) - 2016</v>
      </c>
      <c r="I601">
        <f>VLOOKUP(C601,[1]products!$A:$D,4,FALSE)</f>
        <v>3</v>
      </c>
      <c r="J601" t="str">
        <f>VLOOKUP(I601,[2]categories!$A$1:$B$8,2,FALSE)</f>
        <v>Cruisers Bicycles</v>
      </c>
    </row>
    <row r="602" customHeight="1" spans="1:10">
      <c r="A602" s="1">
        <v>214</v>
      </c>
      <c r="B602" s="1">
        <v>1</v>
      </c>
      <c r="C602" s="1">
        <v>21</v>
      </c>
      <c r="D602" s="1">
        <v>1</v>
      </c>
      <c r="E602" s="1">
        <v>269.99</v>
      </c>
      <c r="F602" s="1">
        <v>0.1</v>
      </c>
      <c r="G602">
        <f t="shared" si="9"/>
        <v>269.89</v>
      </c>
      <c r="H602" t="str">
        <f>VLOOKUP(C602,[1]products!$A:$B,2,FALSE)</f>
        <v>Electra Cruiser 1 (24-Inch) - 2016</v>
      </c>
      <c r="I602">
        <f>VLOOKUP(C602,[1]products!$A:$D,4,FALSE)</f>
        <v>1</v>
      </c>
      <c r="J602" t="str">
        <f>VLOOKUP(I602,[2]categories!$A$1:$B$8,2,FALSE)</f>
        <v>Children Bicycles</v>
      </c>
    </row>
    <row r="603" customHeight="1" spans="1:10">
      <c r="A603" s="1">
        <v>215</v>
      </c>
      <c r="B603" s="1">
        <v>1</v>
      </c>
      <c r="C603" s="1">
        <v>19</v>
      </c>
      <c r="D603" s="1">
        <v>1</v>
      </c>
      <c r="E603" s="1">
        <v>449</v>
      </c>
      <c r="F603" s="1">
        <v>0.07</v>
      </c>
      <c r="G603">
        <f t="shared" si="9"/>
        <v>448.93</v>
      </c>
      <c r="H603" t="str">
        <f>VLOOKUP(C603,[1]products!$A:$B,2,FALSE)</f>
        <v>Pure Cycles William 3-Speed - 2016</v>
      </c>
      <c r="I603">
        <f>VLOOKUP(C603,[1]products!$A:$D,4,FALSE)</f>
        <v>3</v>
      </c>
      <c r="J603" t="str">
        <f>VLOOKUP(I603,[2]categories!$A$1:$B$8,2,FALSE)</f>
        <v>Cruisers Bicycles</v>
      </c>
    </row>
    <row r="604" customHeight="1" spans="1:10">
      <c r="A604" s="1">
        <v>215</v>
      </c>
      <c r="B604" s="1">
        <v>2</v>
      </c>
      <c r="C604" s="1">
        <v>12</v>
      </c>
      <c r="D604" s="1">
        <v>2</v>
      </c>
      <c r="E604" s="1">
        <v>549.99</v>
      </c>
      <c r="F604" s="1">
        <v>0.1</v>
      </c>
      <c r="G604">
        <f t="shared" si="9"/>
        <v>1099.88</v>
      </c>
      <c r="H604" t="str">
        <f>VLOOKUP(C604,[1]products!$A:$B,2,FALSE)</f>
        <v>Electra Townie Original 21D - 2016</v>
      </c>
      <c r="I604">
        <f>VLOOKUP(C604,[1]products!$A:$D,4,FALSE)</f>
        <v>3</v>
      </c>
      <c r="J604" t="str">
        <f>VLOOKUP(I604,[2]categories!$A$1:$B$8,2,FALSE)</f>
        <v>Cruisers Bicycles</v>
      </c>
    </row>
    <row r="605" customHeight="1" spans="1:10">
      <c r="A605" s="1">
        <v>216</v>
      </c>
      <c r="B605" s="1">
        <v>1</v>
      </c>
      <c r="C605" s="1">
        <v>22</v>
      </c>
      <c r="D605" s="1">
        <v>2</v>
      </c>
      <c r="E605" s="1">
        <v>269.99</v>
      </c>
      <c r="F605" s="1">
        <v>0.1</v>
      </c>
      <c r="G605">
        <f t="shared" si="9"/>
        <v>539.88</v>
      </c>
      <c r="H605" t="str">
        <f>VLOOKUP(C605,[1]products!$A:$B,2,FALSE)</f>
        <v>Electra Girl's Hawaii 1 (16-inch) - 2015/2016</v>
      </c>
      <c r="I605">
        <f>VLOOKUP(C605,[1]products!$A:$D,4,FALSE)</f>
        <v>1</v>
      </c>
      <c r="J605" t="str">
        <f>VLOOKUP(I605,[2]categories!$A$1:$B$8,2,FALSE)</f>
        <v>Children Bicycles</v>
      </c>
    </row>
    <row r="606" customHeight="1" spans="1:10">
      <c r="A606" s="1">
        <v>216</v>
      </c>
      <c r="B606" s="1">
        <v>2</v>
      </c>
      <c r="C606" s="1">
        <v>16</v>
      </c>
      <c r="D606" s="1">
        <v>2</v>
      </c>
      <c r="E606" s="1">
        <v>599.99</v>
      </c>
      <c r="F606" s="1">
        <v>0.05</v>
      </c>
      <c r="G606">
        <f t="shared" si="9"/>
        <v>1199.93</v>
      </c>
      <c r="H606" t="str">
        <f>VLOOKUP(C606,[1]products!$A:$B,2,FALSE)</f>
        <v>Electra Townie Original 7D EQ - 2016</v>
      </c>
      <c r="I606">
        <f>VLOOKUP(C606,[1]products!$A:$D,4,FALSE)</f>
        <v>3</v>
      </c>
      <c r="J606" t="str">
        <f>VLOOKUP(I606,[2]categories!$A$1:$B$8,2,FALSE)</f>
        <v>Cruisers Bicycles</v>
      </c>
    </row>
    <row r="607" customHeight="1" spans="1:10">
      <c r="A607" s="1">
        <v>217</v>
      </c>
      <c r="B607" s="1">
        <v>1</v>
      </c>
      <c r="C607" s="1">
        <v>18</v>
      </c>
      <c r="D607" s="1">
        <v>1</v>
      </c>
      <c r="E607" s="1">
        <v>449</v>
      </c>
      <c r="F607" s="1">
        <v>0.1</v>
      </c>
      <c r="G607">
        <f t="shared" si="9"/>
        <v>448.9</v>
      </c>
      <c r="H607" t="str">
        <f>VLOOKUP(C607,[1]products!$A:$B,2,FALSE)</f>
        <v>Pure Cycles Western 3-Speed - Women's - 2015/2016</v>
      </c>
      <c r="I607">
        <f>VLOOKUP(C607,[1]products!$A:$D,4,FALSE)</f>
        <v>3</v>
      </c>
      <c r="J607" t="str">
        <f>VLOOKUP(I607,[2]categories!$A$1:$B$8,2,FALSE)</f>
        <v>Cruisers Bicycles</v>
      </c>
    </row>
    <row r="608" customHeight="1" spans="1:10">
      <c r="A608" s="1">
        <v>217</v>
      </c>
      <c r="B608" s="1">
        <v>2</v>
      </c>
      <c r="C608" s="1">
        <v>10</v>
      </c>
      <c r="D608" s="1">
        <v>2</v>
      </c>
      <c r="E608" s="1">
        <v>1549</v>
      </c>
      <c r="F608" s="1">
        <v>0.1</v>
      </c>
      <c r="G608">
        <f t="shared" si="9"/>
        <v>3097.9</v>
      </c>
      <c r="H608" t="str">
        <f>VLOOKUP(C608,[1]products!$A:$B,2,FALSE)</f>
        <v>Surly Straggler - 2016</v>
      </c>
      <c r="I608">
        <f>VLOOKUP(C608,[1]products!$A:$D,4,FALSE)</f>
        <v>4</v>
      </c>
      <c r="J608" t="str">
        <f>VLOOKUP(I608,[2]categories!$A$1:$B$8,2,FALSE)</f>
        <v>Cyclocross Bicycles</v>
      </c>
    </row>
    <row r="609" customHeight="1" spans="1:10">
      <c r="A609" s="1">
        <v>217</v>
      </c>
      <c r="B609" s="1">
        <v>3</v>
      </c>
      <c r="C609" s="1">
        <v>17</v>
      </c>
      <c r="D609" s="1">
        <v>1</v>
      </c>
      <c r="E609" s="1">
        <v>429</v>
      </c>
      <c r="F609" s="1">
        <v>0.07</v>
      </c>
      <c r="G609">
        <f t="shared" si="9"/>
        <v>428.93</v>
      </c>
      <c r="H609" t="str">
        <f>VLOOKUP(C609,[1]products!$A:$B,2,FALSE)</f>
        <v>Pure Cycles Vine 8-Speed - 2016</v>
      </c>
      <c r="I609">
        <f>VLOOKUP(C609,[1]products!$A:$D,4,FALSE)</f>
        <v>3</v>
      </c>
      <c r="J609" t="str">
        <f>VLOOKUP(I609,[2]categories!$A$1:$B$8,2,FALSE)</f>
        <v>Cruisers Bicycles</v>
      </c>
    </row>
    <row r="610" customHeight="1" spans="1:10">
      <c r="A610" s="1">
        <v>218</v>
      </c>
      <c r="B610" s="1">
        <v>1</v>
      </c>
      <c r="C610" s="1">
        <v>2</v>
      </c>
      <c r="D610" s="1">
        <v>2</v>
      </c>
      <c r="E610" s="1">
        <v>749.99</v>
      </c>
      <c r="F610" s="1">
        <v>0.1</v>
      </c>
      <c r="G610">
        <f t="shared" si="9"/>
        <v>1499.88</v>
      </c>
      <c r="H610" t="str">
        <f>VLOOKUP(C610,[1]products!$A:$B,2,FALSE)</f>
        <v>Ritchey Timberwolf Frameset - 2016</v>
      </c>
      <c r="I610">
        <f>VLOOKUP(C610,[1]products!$A:$D,4,FALSE)</f>
        <v>6</v>
      </c>
      <c r="J610" t="str">
        <f>VLOOKUP(I610,[2]categories!$A$1:$B$8,2,FALSE)</f>
        <v>Mountain Bikes</v>
      </c>
    </row>
    <row r="611" customHeight="1" spans="1:10">
      <c r="A611" s="1">
        <v>218</v>
      </c>
      <c r="B611" s="1">
        <v>2</v>
      </c>
      <c r="C611" s="1">
        <v>13</v>
      </c>
      <c r="D611" s="1">
        <v>1</v>
      </c>
      <c r="E611" s="1">
        <v>269.99</v>
      </c>
      <c r="F611" s="1">
        <v>0.07</v>
      </c>
      <c r="G611">
        <f t="shared" si="9"/>
        <v>269.92</v>
      </c>
      <c r="H611" t="str">
        <f>VLOOKUP(C611,[1]products!$A:$B,2,FALSE)</f>
        <v>Electra Cruiser 1 (24-Inch) - 2016</v>
      </c>
      <c r="I611">
        <f>VLOOKUP(C611,[1]products!$A:$D,4,FALSE)</f>
        <v>3</v>
      </c>
      <c r="J611" t="str">
        <f>VLOOKUP(I611,[2]categories!$A$1:$B$8,2,FALSE)</f>
        <v>Cruisers Bicycles</v>
      </c>
    </row>
    <row r="612" customHeight="1" spans="1:10">
      <c r="A612" s="1">
        <v>218</v>
      </c>
      <c r="B612" s="1">
        <v>3</v>
      </c>
      <c r="C612" s="1">
        <v>12</v>
      </c>
      <c r="D612" s="1">
        <v>1</v>
      </c>
      <c r="E612" s="1">
        <v>549.99</v>
      </c>
      <c r="F612" s="1">
        <v>0.05</v>
      </c>
      <c r="G612">
        <f t="shared" si="9"/>
        <v>549.94</v>
      </c>
      <c r="H612" t="str">
        <f>VLOOKUP(C612,[1]products!$A:$B,2,FALSE)</f>
        <v>Electra Townie Original 21D - 2016</v>
      </c>
      <c r="I612">
        <f>VLOOKUP(C612,[1]products!$A:$D,4,FALSE)</f>
        <v>3</v>
      </c>
      <c r="J612" t="str">
        <f>VLOOKUP(I612,[2]categories!$A$1:$B$8,2,FALSE)</f>
        <v>Cruisers Bicycles</v>
      </c>
    </row>
    <row r="613" customHeight="1" spans="1:10">
      <c r="A613" s="1">
        <v>219</v>
      </c>
      <c r="B613" s="1">
        <v>1</v>
      </c>
      <c r="C613" s="1">
        <v>26</v>
      </c>
      <c r="D613" s="1">
        <v>1</v>
      </c>
      <c r="E613" s="1">
        <v>599.99</v>
      </c>
      <c r="F613" s="1">
        <v>0.05</v>
      </c>
      <c r="G613">
        <f t="shared" si="9"/>
        <v>599.94</v>
      </c>
      <c r="H613" t="str">
        <f>VLOOKUP(C613,[1]products!$A:$B,2,FALSE)</f>
        <v>Electra Townie Original 7D EQ - 2016</v>
      </c>
      <c r="I613">
        <f>VLOOKUP(C613,[1]products!$A:$D,4,FALSE)</f>
        <v>2</v>
      </c>
      <c r="J613" t="str">
        <f>VLOOKUP(I613,[2]categories!$A$1:$B$8,2,FALSE)</f>
        <v>Comfort Bicycles</v>
      </c>
    </row>
    <row r="614" customHeight="1" spans="1:10">
      <c r="A614" s="1">
        <v>219</v>
      </c>
      <c r="B614" s="1">
        <v>2</v>
      </c>
      <c r="C614" s="1">
        <v>5</v>
      </c>
      <c r="D614" s="1">
        <v>1</v>
      </c>
      <c r="E614" s="1">
        <v>1320.99</v>
      </c>
      <c r="F614" s="1">
        <v>0.2</v>
      </c>
      <c r="G614">
        <f t="shared" si="9"/>
        <v>1320.79</v>
      </c>
      <c r="H614" t="str">
        <f>VLOOKUP(C614,[1]products!$A:$B,2,FALSE)</f>
        <v>Heller Shagamaw Frame - 2016</v>
      </c>
      <c r="I614">
        <f>VLOOKUP(C614,[1]products!$A:$D,4,FALSE)</f>
        <v>6</v>
      </c>
      <c r="J614" t="str">
        <f>VLOOKUP(I614,[2]categories!$A$1:$B$8,2,FALSE)</f>
        <v>Mountain Bikes</v>
      </c>
    </row>
    <row r="615" customHeight="1" spans="1:10">
      <c r="A615" s="1">
        <v>220</v>
      </c>
      <c r="B615" s="1">
        <v>1</v>
      </c>
      <c r="C615" s="1">
        <v>6</v>
      </c>
      <c r="D615" s="1">
        <v>2</v>
      </c>
      <c r="E615" s="1">
        <v>469.99</v>
      </c>
      <c r="F615" s="1">
        <v>0.05</v>
      </c>
      <c r="G615">
        <f t="shared" si="9"/>
        <v>939.93</v>
      </c>
      <c r="H615" t="str">
        <f>VLOOKUP(C615,[1]products!$A:$B,2,FALSE)</f>
        <v>Surly Ice Cream Truck Frameset - 2016</v>
      </c>
      <c r="I615">
        <f>VLOOKUP(C615,[1]products!$A:$D,4,FALSE)</f>
        <v>6</v>
      </c>
      <c r="J615" t="str">
        <f>VLOOKUP(I615,[2]categories!$A$1:$B$8,2,FALSE)</f>
        <v>Mountain Bikes</v>
      </c>
    </row>
    <row r="616" customHeight="1" spans="1:10">
      <c r="A616" s="1">
        <v>220</v>
      </c>
      <c r="B616" s="1">
        <v>2</v>
      </c>
      <c r="C616" s="1">
        <v>25</v>
      </c>
      <c r="D616" s="1">
        <v>1</v>
      </c>
      <c r="E616" s="1">
        <v>499.99</v>
      </c>
      <c r="F616" s="1">
        <v>0.07</v>
      </c>
      <c r="G616">
        <f t="shared" si="9"/>
        <v>499.92</v>
      </c>
      <c r="H616" t="str">
        <f>VLOOKUP(C616,[1]products!$A:$B,2,FALSE)</f>
        <v>Electra Townie Original 7D - 2015/2016</v>
      </c>
      <c r="I616">
        <f>VLOOKUP(C616,[1]products!$A:$D,4,FALSE)</f>
        <v>2</v>
      </c>
      <c r="J616" t="str">
        <f>VLOOKUP(I616,[2]categories!$A$1:$B$8,2,FALSE)</f>
        <v>Comfort Bicycles</v>
      </c>
    </row>
    <row r="617" customHeight="1" spans="1:10">
      <c r="A617" s="1">
        <v>220</v>
      </c>
      <c r="B617" s="1">
        <v>3</v>
      </c>
      <c r="C617" s="1">
        <v>22</v>
      </c>
      <c r="D617" s="1">
        <v>2</v>
      </c>
      <c r="E617" s="1">
        <v>269.99</v>
      </c>
      <c r="F617" s="1">
        <v>0.1</v>
      </c>
      <c r="G617">
        <f t="shared" si="9"/>
        <v>539.88</v>
      </c>
      <c r="H617" t="str">
        <f>VLOOKUP(C617,[1]products!$A:$B,2,FALSE)</f>
        <v>Electra Girl's Hawaii 1 (16-inch) - 2015/2016</v>
      </c>
      <c r="I617">
        <f>VLOOKUP(C617,[1]products!$A:$D,4,FALSE)</f>
        <v>1</v>
      </c>
      <c r="J617" t="str">
        <f>VLOOKUP(I617,[2]categories!$A$1:$B$8,2,FALSE)</f>
        <v>Children Bicycles</v>
      </c>
    </row>
    <row r="618" customHeight="1" spans="1:10">
      <c r="A618" s="1">
        <v>220</v>
      </c>
      <c r="B618" s="1">
        <v>4</v>
      </c>
      <c r="C618" s="1">
        <v>3</v>
      </c>
      <c r="D618" s="1">
        <v>2</v>
      </c>
      <c r="E618" s="1">
        <v>999.99</v>
      </c>
      <c r="F618" s="1">
        <v>0.2</v>
      </c>
      <c r="G618">
        <f t="shared" si="9"/>
        <v>1999.78</v>
      </c>
      <c r="H618" t="str">
        <f>VLOOKUP(C618,[1]products!$A:$B,2,FALSE)</f>
        <v>Surly Wednesday Frameset - 2016</v>
      </c>
      <c r="I618">
        <f>VLOOKUP(C618,[1]products!$A:$D,4,FALSE)</f>
        <v>6</v>
      </c>
      <c r="J618" t="str">
        <f>VLOOKUP(I618,[2]categories!$A$1:$B$8,2,FALSE)</f>
        <v>Mountain Bikes</v>
      </c>
    </row>
    <row r="619" customHeight="1" spans="1:10">
      <c r="A619" s="1">
        <v>221</v>
      </c>
      <c r="B619" s="1">
        <v>1</v>
      </c>
      <c r="C619" s="1">
        <v>11</v>
      </c>
      <c r="D619" s="1">
        <v>2</v>
      </c>
      <c r="E619" s="1">
        <v>1680.99</v>
      </c>
      <c r="F619" s="1">
        <v>0.07</v>
      </c>
      <c r="G619">
        <f t="shared" si="9"/>
        <v>3361.91</v>
      </c>
      <c r="H619" t="str">
        <f>VLOOKUP(C619,[1]products!$A:$B,2,FALSE)</f>
        <v>Surly Straggler 650b - 2016</v>
      </c>
      <c r="I619">
        <f>VLOOKUP(C619,[1]products!$A:$D,4,FALSE)</f>
        <v>4</v>
      </c>
      <c r="J619" t="str">
        <f>VLOOKUP(I619,[2]categories!$A$1:$B$8,2,FALSE)</f>
        <v>Cyclocross Bicycles</v>
      </c>
    </row>
    <row r="620" customHeight="1" spans="1:10">
      <c r="A620" s="1">
        <v>222</v>
      </c>
      <c r="B620" s="1">
        <v>1</v>
      </c>
      <c r="C620" s="1">
        <v>10</v>
      </c>
      <c r="D620" s="1">
        <v>1</v>
      </c>
      <c r="E620" s="1">
        <v>1549</v>
      </c>
      <c r="F620" s="1">
        <v>0.1</v>
      </c>
      <c r="G620">
        <f t="shared" si="9"/>
        <v>1548.9</v>
      </c>
      <c r="H620" t="str">
        <f>VLOOKUP(C620,[1]products!$A:$B,2,FALSE)</f>
        <v>Surly Straggler - 2016</v>
      </c>
      <c r="I620">
        <f>VLOOKUP(C620,[1]products!$A:$D,4,FALSE)</f>
        <v>4</v>
      </c>
      <c r="J620" t="str">
        <f>VLOOKUP(I620,[2]categories!$A$1:$B$8,2,FALSE)</f>
        <v>Cyclocross Bicycles</v>
      </c>
    </row>
    <row r="621" customHeight="1" spans="1:10">
      <c r="A621" s="1">
        <v>222</v>
      </c>
      <c r="B621" s="1">
        <v>2</v>
      </c>
      <c r="C621" s="1">
        <v>2</v>
      </c>
      <c r="D621" s="1">
        <v>2</v>
      </c>
      <c r="E621" s="1">
        <v>749.99</v>
      </c>
      <c r="F621" s="1">
        <v>0.1</v>
      </c>
      <c r="G621">
        <f t="shared" si="9"/>
        <v>1499.88</v>
      </c>
      <c r="H621" t="str">
        <f>VLOOKUP(C621,[1]products!$A:$B,2,FALSE)</f>
        <v>Ritchey Timberwolf Frameset - 2016</v>
      </c>
      <c r="I621">
        <f>VLOOKUP(C621,[1]products!$A:$D,4,FALSE)</f>
        <v>6</v>
      </c>
      <c r="J621" t="str">
        <f>VLOOKUP(I621,[2]categories!$A$1:$B$8,2,FALSE)</f>
        <v>Mountain Bikes</v>
      </c>
    </row>
    <row r="622" customHeight="1" spans="1:10">
      <c r="A622" s="1">
        <v>223</v>
      </c>
      <c r="B622" s="1">
        <v>1</v>
      </c>
      <c r="C622" s="1">
        <v>7</v>
      </c>
      <c r="D622" s="1">
        <v>2</v>
      </c>
      <c r="E622" s="1">
        <v>3999.99</v>
      </c>
      <c r="F622" s="1">
        <v>0.05</v>
      </c>
      <c r="G622">
        <f t="shared" si="9"/>
        <v>7999.93</v>
      </c>
      <c r="H622" t="str">
        <f>VLOOKUP(C622,[1]products!$A:$B,2,FALSE)</f>
        <v>Trek Slash 8 27.5 - 2016</v>
      </c>
      <c r="I622">
        <f>VLOOKUP(C622,[1]products!$A:$D,4,FALSE)</f>
        <v>6</v>
      </c>
      <c r="J622" t="str">
        <f>VLOOKUP(I622,[2]categories!$A$1:$B$8,2,FALSE)</f>
        <v>Mountain Bikes</v>
      </c>
    </row>
    <row r="623" customHeight="1" spans="1:10">
      <c r="A623" s="1">
        <v>223</v>
      </c>
      <c r="B623" s="1">
        <v>2</v>
      </c>
      <c r="C623" s="1">
        <v>5</v>
      </c>
      <c r="D623" s="1">
        <v>1</v>
      </c>
      <c r="E623" s="1">
        <v>1320.99</v>
      </c>
      <c r="F623" s="1">
        <v>0.2</v>
      </c>
      <c r="G623">
        <f t="shared" si="9"/>
        <v>1320.79</v>
      </c>
      <c r="H623" t="str">
        <f>VLOOKUP(C623,[1]products!$A:$B,2,FALSE)</f>
        <v>Heller Shagamaw Frame - 2016</v>
      </c>
      <c r="I623">
        <f>VLOOKUP(C623,[1]products!$A:$D,4,FALSE)</f>
        <v>6</v>
      </c>
      <c r="J623" t="str">
        <f>VLOOKUP(I623,[2]categories!$A$1:$B$8,2,FALSE)</f>
        <v>Mountain Bikes</v>
      </c>
    </row>
    <row r="624" customHeight="1" spans="1:10">
      <c r="A624" s="1">
        <v>223</v>
      </c>
      <c r="B624" s="1">
        <v>3</v>
      </c>
      <c r="C624" s="1">
        <v>21</v>
      </c>
      <c r="D624" s="1">
        <v>2</v>
      </c>
      <c r="E624" s="1">
        <v>269.99</v>
      </c>
      <c r="F624" s="1">
        <v>0.1</v>
      </c>
      <c r="G624">
        <f t="shared" si="9"/>
        <v>539.88</v>
      </c>
      <c r="H624" t="str">
        <f>VLOOKUP(C624,[1]products!$A:$B,2,FALSE)</f>
        <v>Electra Cruiser 1 (24-Inch) - 2016</v>
      </c>
      <c r="I624">
        <f>VLOOKUP(C624,[1]products!$A:$D,4,FALSE)</f>
        <v>1</v>
      </c>
      <c r="J624" t="str">
        <f>VLOOKUP(I624,[2]categories!$A$1:$B$8,2,FALSE)</f>
        <v>Children Bicycles</v>
      </c>
    </row>
    <row r="625" customHeight="1" spans="1:10">
      <c r="A625" s="1">
        <v>223</v>
      </c>
      <c r="B625" s="1">
        <v>4</v>
      </c>
      <c r="C625" s="1">
        <v>20</v>
      </c>
      <c r="D625" s="1">
        <v>1</v>
      </c>
      <c r="E625" s="1">
        <v>599.99</v>
      </c>
      <c r="F625" s="1">
        <v>0.05</v>
      </c>
      <c r="G625">
        <f t="shared" si="9"/>
        <v>599.94</v>
      </c>
      <c r="H625" t="str">
        <f>VLOOKUP(C625,[1]products!$A:$B,2,FALSE)</f>
        <v>Electra Townie Original 7D EQ - Women's - 2016</v>
      </c>
      <c r="I625">
        <f>VLOOKUP(C625,[1]products!$A:$D,4,FALSE)</f>
        <v>3</v>
      </c>
      <c r="J625" t="str">
        <f>VLOOKUP(I625,[2]categories!$A$1:$B$8,2,FALSE)</f>
        <v>Cruisers Bicycles</v>
      </c>
    </row>
    <row r="626" customHeight="1" spans="1:10">
      <c r="A626" s="1">
        <v>223</v>
      </c>
      <c r="B626" s="1">
        <v>5</v>
      </c>
      <c r="C626" s="1">
        <v>15</v>
      </c>
      <c r="D626" s="1">
        <v>1</v>
      </c>
      <c r="E626" s="1">
        <v>529.99</v>
      </c>
      <c r="F626" s="1">
        <v>0.05</v>
      </c>
      <c r="G626">
        <f t="shared" si="9"/>
        <v>529.94</v>
      </c>
      <c r="H626" t="str">
        <f>VLOOKUP(C626,[1]products!$A:$B,2,FALSE)</f>
        <v>Electra Moto 1 - 2016</v>
      </c>
      <c r="I626">
        <f>VLOOKUP(C626,[1]products!$A:$D,4,FALSE)</f>
        <v>3</v>
      </c>
      <c r="J626" t="str">
        <f>VLOOKUP(I626,[2]categories!$A$1:$B$8,2,FALSE)</f>
        <v>Cruisers Bicycles</v>
      </c>
    </row>
    <row r="627" customHeight="1" spans="1:10">
      <c r="A627" s="1">
        <v>224</v>
      </c>
      <c r="B627" s="1">
        <v>1</v>
      </c>
      <c r="C627" s="1">
        <v>6</v>
      </c>
      <c r="D627" s="1">
        <v>1</v>
      </c>
      <c r="E627" s="1">
        <v>469.99</v>
      </c>
      <c r="F627" s="1">
        <v>0.07</v>
      </c>
      <c r="G627">
        <f t="shared" si="9"/>
        <v>469.92</v>
      </c>
      <c r="H627" t="str">
        <f>VLOOKUP(C627,[1]products!$A:$B,2,FALSE)</f>
        <v>Surly Ice Cream Truck Frameset - 2016</v>
      </c>
      <c r="I627">
        <f>VLOOKUP(C627,[1]products!$A:$D,4,FALSE)</f>
        <v>6</v>
      </c>
      <c r="J627" t="str">
        <f>VLOOKUP(I627,[2]categories!$A$1:$B$8,2,FALSE)</f>
        <v>Mountain Bikes</v>
      </c>
    </row>
    <row r="628" customHeight="1" spans="1:10">
      <c r="A628" s="1">
        <v>224</v>
      </c>
      <c r="B628" s="1">
        <v>2</v>
      </c>
      <c r="C628" s="1">
        <v>11</v>
      </c>
      <c r="D628" s="1">
        <v>2</v>
      </c>
      <c r="E628" s="1">
        <v>1680.99</v>
      </c>
      <c r="F628" s="1">
        <v>0.1</v>
      </c>
      <c r="G628">
        <f t="shared" si="9"/>
        <v>3361.88</v>
      </c>
      <c r="H628" t="str">
        <f>VLOOKUP(C628,[1]products!$A:$B,2,FALSE)</f>
        <v>Surly Straggler 650b - 2016</v>
      </c>
      <c r="I628">
        <f>VLOOKUP(C628,[1]products!$A:$D,4,FALSE)</f>
        <v>4</v>
      </c>
      <c r="J628" t="str">
        <f>VLOOKUP(I628,[2]categories!$A$1:$B$8,2,FALSE)</f>
        <v>Cyclocross Bicycles</v>
      </c>
    </row>
    <row r="629" customHeight="1" spans="1:10">
      <c r="A629" s="1">
        <v>224</v>
      </c>
      <c r="B629" s="1">
        <v>3</v>
      </c>
      <c r="C629" s="1">
        <v>10</v>
      </c>
      <c r="D629" s="1">
        <v>2</v>
      </c>
      <c r="E629" s="1">
        <v>1549</v>
      </c>
      <c r="F629" s="1">
        <v>0.2</v>
      </c>
      <c r="G629">
        <f t="shared" si="9"/>
        <v>3097.8</v>
      </c>
      <c r="H629" t="str">
        <f>VLOOKUP(C629,[1]products!$A:$B,2,FALSE)</f>
        <v>Surly Straggler - 2016</v>
      </c>
      <c r="I629">
        <f>VLOOKUP(C629,[1]products!$A:$D,4,FALSE)</f>
        <v>4</v>
      </c>
      <c r="J629" t="str">
        <f>VLOOKUP(I629,[2]categories!$A$1:$B$8,2,FALSE)</f>
        <v>Cyclocross Bicycles</v>
      </c>
    </row>
    <row r="630" customHeight="1" spans="1:10">
      <c r="A630" s="1">
        <v>224</v>
      </c>
      <c r="B630" s="1">
        <v>4</v>
      </c>
      <c r="C630" s="1">
        <v>25</v>
      </c>
      <c r="D630" s="1">
        <v>1</v>
      </c>
      <c r="E630" s="1">
        <v>499.99</v>
      </c>
      <c r="F630" s="1">
        <v>0.05</v>
      </c>
      <c r="G630">
        <f t="shared" si="9"/>
        <v>499.94</v>
      </c>
      <c r="H630" t="str">
        <f>VLOOKUP(C630,[1]products!$A:$B,2,FALSE)</f>
        <v>Electra Townie Original 7D - 2015/2016</v>
      </c>
      <c r="I630">
        <f>VLOOKUP(C630,[1]products!$A:$D,4,FALSE)</f>
        <v>2</v>
      </c>
      <c r="J630" t="str">
        <f>VLOOKUP(I630,[2]categories!$A$1:$B$8,2,FALSE)</f>
        <v>Comfort Bicycles</v>
      </c>
    </row>
    <row r="631" customHeight="1" spans="1:10">
      <c r="A631" s="1">
        <v>225</v>
      </c>
      <c r="B631" s="1">
        <v>1</v>
      </c>
      <c r="C631" s="1">
        <v>21</v>
      </c>
      <c r="D631" s="1">
        <v>1</v>
      </c>
      <c r="E631" s="1">
        <v>269.99</v>
      </c>
      <c r="F631" s="1">
        <v>0.1</v>
      </c>
      <c r="G631">
        <f t="shared" si="9"/>
        <v>269.89</v>
      </c>
      <c r="H631" t="str">
        <f>VLOOKUP(C631,[1]products!$A:$B,2,FALSE)</f>
        <v>Electra Cruiser 1 (24-Inch) - 2016</v>
      </c>
      <c r="I631">
        <f>VLOOKUP(C631,[1]products!$A:$D,4,FALSE)</f>
        <v>1</v>
      </c>
      <c r="J631" t="str">
        <f>VLOOKUP(I631,[2]categories!$A$1:$B$8,2,FALSE)</f>
        <v>Children Bicycles</v>
      </c>
    </row>
    <row r="632" customHeight="1" spans="1:10">
      <c r="A632" s="1">
        <v>225</v>
      </c>
      <c r="B632" s="1">
        <v>2</v>
      </c>
      <c r="C632" s="1">
        <v>9</v>
      </c>
      <c r="D632" s="1">
        <v>1</v>
      </c>
      <c r="E632" s="1">
        <v>2999.99</v>
      </c>
      <c r="F632" s="1">
        <v>0.1</v>
      </c>
      <c r="G632">
        <f t="shared" si="9"/>
        <v>2999.89</v>
      </c>
      <c r="H632" t="str">
        <f>VLOOKUP(C632,[1]products!$A:$B,2,FALSE)</f>
        <v>Trek Conduit+ - 2016</v>
      </c>
      <c r="I632">
        <f>VLOOKUP(C632,[1]products!$A:$D,4,FALSE)</f>
        <v>5</v>
      </c>
      <c r="J632" t="str">
        <f>VLOOKUP(I632,[2]categories!$A$1:$B$8,2,FALSE)</f>
        <v>Electric Bikes</v>
      </c>
    </row>
    <row r="633" customHeight="1" spans="1:10">
      <c r="A633" s="1">
        <v>226</v>
      </c>
      <c r="B633" s="1">
        <v>1</v>
      </c>
      <c r="C633" s="1">
        <v>2</v>
      </c>
      <c r="D633" s="1">
        <v>1</v>
      </c>
      <c r="E633" s="1">
        <v>749.99</v>
      </c>
      <c r="F633" s="1">
        <v>0.05</v>
      </c>
      <c r="G633">
        <f t="shared" si="9"/>
        <v>749.94</v>
      </c>
      <c r="H633" t="str">
        <f>VLOOKUP(C633,[1]products!$A:$B,2,FALSE)</f>
        <v>Ritchey Timberwolf Frameset - 2016</v>
      </c>
      <c r="I633">
        <f>VLOOKUP(C633,[1]products!$A:$D,4,FALSE)</f>
        <v>6</v>
      </c>
      <c r="J633" t="str">
        <f>VLOOKUP(I633,[2]categories!$A$1:$B$8,2,FALSE)</f>
        <v>Mountain Bikes</v>
      </c>
    </row>
    <row r="634" customHeight="1" spans="1:10">
      <c r="A634" s="1">
        <v>227</v>
      </c>
      <c r="B634" s="1">
        <v>1</v>
      </c>
      <c r="C634" s="1">
        <v>3</v>
      </c>
      <c r="D634" s="1">
        <v>2</v>
      </c>
      <c r="E634" s="1">
        <v>999.99</v>
      </c>
      <c r="F634" s="1">
        <v>0.05</v>
      </c>
      <c r="G634">
        <f t="shared" si="9"/>
        <v>1999.93</v>
      </c>
      <c r="H634" t="str">
        <f>VLOOKUP(C634,[1]products!$A:$B,2,FALSE)</f>
        <v>Surly Wednesday Frameset - 2016</v>
      </c>
      <c r="I634">
        <f>VLOOKUP(C634,[1]products!$A:$D,4,FALSE)</f>
        <v>6</v>
      </c>
      <c r="J634" t="str">
        <f>VLOOKUP(I634,[2]categories!$A$1:$B$8,2,FALSE)</f>
        <v>Mountain Bikes</v>
      </c>
    </row>
    <row r="635" customHeight="1" spans="1:10">
      <c r="A635" s="1">
        <v>227</v>
      </c>
      <c r="B635" s="1">
        <v>2</v>
      </c>
      <c r="C635" s="1">
        <v>15</v>
      </c>
      <c r="D635" s="1">
        <v>2</v>
      </c>
      <c r="E635" s="1">
        <v>529.99</v>
      </c>
      <c r="F635" s="1">
        <v>0.1</v>
      </c>
      <c r="G635">
        <f t="shared" si="9"/>
        <v>1059.88</v>
      </c>
      <c r="H635" t="str">
        <f>VLOOKUP(C635,[1]products!$A:$B,2,FALSE)</f>
        <v>Electra Moto 1 - 2016</v>
      </c>
      <c r="I635">
        <f>VLOOKUP(C635,[1]products!$A:$D,4,FALSE)</f>
        <v>3</v>
      </c>
      <c r="J635" t="str">
        <f>VLOOKUP(I635,[2]categories!$A$1:$B$8,2,FALSE)</f>
        <v>Cruisers Bicycles</v>
      </c>
    </row>
    <row r="636" customHeight="1" spans="1:10">
      <c r="A636" s="1">
        <v>228</v>
      </c>
      <c r="B636" s="1">
        <v>1</v>
      </c>
      <c r="C636" s="1">
        <v>25</v>
      </c>
      <c r="D636" s="1">
        <v>1</v>
      </c>
      <c r="E636" s="1">
        <v>499.99</v>
      </c>
      <c r="F636" s="1">
        <v>0.2</v>
      </c>
      <c r="G636">
        <f t="shared" si="9"/>
        <v>499.79</v>
      </c>
      <c r="H636" t="str">
        <f>VLOOKUP(C636,[1]products!$A:$B,2,FALSE)</f>
        <v>Electra Townie Original 7D - 2015/2016</v>
      </c>
      <c r="I636">
        <f>VLOOKUP(C636,[1]products!$A:$D,4,FALSE)</f>
        <v>2</v>
      </c>
      <c r="J636" t="str">
        <f>VLOOKUP(I636,[2]categories!$A$1:$B$8,2,FALSE)</f>
        <v>Comfort Bicycles</v>
      </c>
    </row>
    <row r="637" customHeight="1" spans="1:10">
      <c r="A637" s="1">
        <v>228</v>
      </c>
      <c r="B637" s="1">
        <v>2</v>
      </c>
      <c r="C637" s="1">
        <v>2</v>
      </c>
      <c r="D637" s="1">
        <v>2</v>
      </c>
      <c r="E637" s="1">
        <v>749.99</v>
      </c>
      <c r="F637" s="1">
        <v>0.07</v>
      </c>
      <c r="G637">
        <f t="shared" si="9"/>
        <v>1499.91</v>
      </c>
      <c r="H637" t="str">
        <f>VLOOKUP(C637,[1]products!$A:$B,2,FALSE)</f>
        <v>Ritchey Timberwolf Frameset - 2016</v>
      </c>
      <c r="I637">
        <f>VLOOKUP(C637,[1]products!$A:$D,4,FALSE)</f>
        <v>6</v>
      </c>
      <c r="J637" t="str">
        <f>VLOOKUP(I637,[2]categories!$A$1:$B$8,2,FALSE)</f>
        <v>Mountain Bikes</v>
      </c>
    </row>
    <row r="638" customHeight="1" spans="1:10">
      <c r="A638" s="1">
        <v>228</v>
      </c>
      <c r="B638" s="1">
        <v>3</v>
      </c>
      <c r="C638" s="1">
        <v>23</v>
      </c>
      <c r="D638" s="1">
        <v>2</v>
      </c>
      <c r="E638" s="1">
        <v>299.99</v>
      </c>
      <c r="F638" s="1">
        <v>0.1</v>
      </c>
      <c r="G638">
        <f t="shared" si="9"/>
        <v>599.88</v>
      </c>
      <c r="H638" t="str">
        <f>VLOOKUP(C638,[1]products!$A:$B,2,FALSE)</f>
        <v>Electra Girl's Hawaii 1 (20-inch) - 2015/2016</v>
      </c>
      <c r="I638">
        <f>VLOOKUP(C638,[1]products!$A:$D,4,FALSE)</f>
        <v>1</v>
      </c>
      <c r="J638" t="str">
        <f>VLOOKUP(I638,[2]categories!$A$1:$B$8,2,FALSE)</f>
        <v>Children Bicycles</v>
      </c>
    </row>
    <row r="639" customHeight="1" spans="1:10">
      <c r="A639" s="1">
        <v>228</v>
      </c>
      <c r="B639" s="1">
        <v>4</v>
      </c>
      <c r="C639" s="1">
        <v>4</v>
      </c>
      <c r="D639" s="1">
        <v>1</v>
      </c>
      <c r="E639" s="1">
        <v>2899.99</v>
      </c>
      <c r="F639" s="1">
        <v>0.2</v>
      </c>
      <c r="G639">
        <f t="shared" si="9"/>
        <v>2899.79</v>
      </c>
      <c r="H639" t="str">
        <f>VLOOKUP(C639,[1]products!$A:$B,2,FALSE)</f>
        <v>Trek Fuel EX 8 29 - 2016</v>
      </c>
      <c r="I639">
        <f>VLOOKUP(C639,[1]products!$A:$D,4,FALSE)</f>
        <v>6</v>
      </c>
      <c r="J639" t="str">
        <f>VLOOKUP(I639,[2]categories!$A$1:$B$8,2,FALSE)</f>
        <v>Mountain Bikes</v>
      </c>
    </row>
    <row r="640" customHeight="1" spans="1:10">
      <c r="A640" s="1">
        <v>228</v>
      </c>
      <c r="B640" s="1">
        <v>5</v>
      </c>
      <c r="C640" s="1">
        <v>22</v>
      </c>
      <c r="D640" s="1">
        <v>1</v>
      </c>
      <c r="E640" s="1">
        <v>269.99</v>
      </c>
      <c r="F640" s="1">
        <v>0.05</v>
      </c>
      <c r="G640">
        <f t="shared" si="9"/>
        <v>269.94</v>
      </c>
      <c r="H640" t="str">
        <f>VLOOKUP(C640,[1]products!$A:$B,2,FALSE)</f>
        <v>Electra Girl's Hawaii 1 (16-inch) - 2015/2016</v>
      </c>
      <c r="I640">
        <f>VLOOKUP(C640,[1]products!$A:$D,4,FALSE)</f>
        <v>1</v>
      </c>
      <c r="J640" t="str">
        <f>VLOOKUP(I640,[2]categories!$A$1:$B$8,2,FALSE)</f>
        <v>Children Bicycles</v>
      </c>
    </row>
    <row r="641" customHeight="1" spans="1:10">
      <c r="A641" s="1">
        <v>229</v>
      </c>
      <c r="B641" s="1">
        <v>1</v>
      </c>
      <c r="C641" s="1">
        <v>25</v>
      </c>
      <c r="D641" s="1">
        <v>2</v>
      </c>
      <c r="E641" s="1">
        <v>499.99</v>
      </c>
      <c r="F641" s="1">
        <v>0.2</v>
      </c>
      <c r="G641">
        <f t="shared" si="9"/>
        <v>999.78</v>
      </c>
      <c r="H641" t="str">
        <f>VLOOKUP(C641,[1]products!$A:$B,2,FALSE)</f>
        <v>Electra Townie Original 7D - 2015/2016</v>
      </c>
      <c r="I641">
        <f>VLOOKUP(C641,[1]products!$A:$D,4,FALSE)</f>
        <v>2</v>
      </c>
      <c r="J641" t="str">
        <f>VLOOKUP(I641,[2]categories!$A$1:$B$8,2,FALSE)</f>
        <v>Comfort Bicycles</v>
      </c>
    </row>
    <row r="642" customHeight="1" spans="1:10">
      <c r="A642" s="1">
        <v>229</v>
      </c>
      <c r="B642" s="1">
        <v>2</v>
      </c>
      <c r="C642" s="1">
        <v>5</v>
      </c>
      <c r="D642" s="1">
        <v>2</v>
      </c>
      <c r="E642" s="1">
        <v>1320.99</v>
      </c>
      <c r="F642" s="1">
        <v>0.1</v>
      </c>
      <c r="G642">
        <f t="shared" si="9"/>
        <v>2641.88</v>
      </c>
      <c r="H642" t="str">
        <f>VLOOKUP(C642,[1]products!$A:$B,2,FALSE)</f>
        <v>Heller Shagamaw Frame - 2016</v>
      </c>
      <c r="I642">
        <f>VLOOKUP(C642,[1]products!$A:$D,4,FALSE)</f>
        <v>6</v>
      </c>
      <c r="J642" t="str">
        <f>VLOOKUP(I642,[2]categories!$A$1:$B$8,2,FALSE)</f>
        <v>Mountain Bikes</v>
      </c>
    </row>
    <row r="643" customHeight="1" spans="1:10">
      <c r="A643" s="1">
        <v>229</v>
      </c>
      <c r="B643" s="1">
        <v>3</v>
      </c>
      <c r="C643" s="1">
        <v>8</v>
      </c>
      <c r="D643" s="1">
        <v>1</v>
      </c>
      <c r="E643" s="1">
        <v>1799.99</v>
      </c>
      <c r="F643" s="1">
        <v>0.2</v>
      </c>
      <c r="G643">
        <f t="shared" ref="G643:G706" si="10">(E643*D643)-F643</f>
        <v>1799.79</v>
      </c>
      <c r="H643" t="str">
        <f>VLOOKUP(C643,[1]products!$A:$B,2,FALSE)</f>
        <v>Trek Remedy 29 Carbon Frameset - 2016</v>
      </c>
      <c r="I643">
        <f>VLOOKUP(C643,[1]products!$A:$D,4,FALSE)</f>
        <v>6</v>
      </c>
      <c r="J643" t="str">
        <f>VLOOKUP(I643,[2]categories!$A$1:$B$8,2,FALSE)</f>
        <v>Mountain Bikes</v>
      </c>
    </row>
    <row r="644" customHeight="1" spans="1:10">
      <c r="A644" s="1">
        <v>230</v>
      </c>
      <c r="B644" s="1">
        <v>1</v>
      </c>
      <c r="C644" s="1">
        <v>11</v>
      </c>
      <c r="D644" s="1">
        <v>2</v>
      </c>
      <c r="E644" s="1">
        <v>1680.99</v>
      </c>
      <c r="F644" s="1">
        <v>0.07</v>
      </c>
      <c r="G644">
        <f t="shared" si="10"/>
        <v>3361.91</v>
      </c>
      <c r="H644" t="str">
        <f>VLOOKUP(C644,[1]products!$A:$B,2,FALSE)</f>
        <v>Surly Straggler 650b - 2016</v>
      </c>
      <c r="I644">
        <f>VLOOKUP(C644,[1]products!$A:$D,4,FALSE)</f>
        <v>4</v>
      </c>
      <c r="J644" t="str">
        <f>VLOOKUP(I644,[2]categories!$A$1:$B$8,2,FALSE)</f>
        <v>Cyclocross Bicycles</v>
      </c>
    </row>
    <row r="645" customHeight="1" spans="1:10">
      <c r="A645" s="1">
        <v>231</v>
      </c>
      <c r="B645" s="1">
        <v>1</v>
      </c>
      <c r="C645" s="1">
        <v>8</v>
      </c>
      <c r="D645" s="1">
        <v>2</v>
      </c>
      <c r="E645" s="1">
        <v>1799.99</v>
      </c>
      <c r="F645" s="1">
        <v>0.07</v>
      </c>
      <c r="G645">
        <f t="shared" si="10"/>
        <v>3599.91</v>
      </c>
      <c r="H645" t="str">
        <f>VLOOKUP(C645,[1]products!$A:$B,2,FALSE)</f>
        <v>Trek Remedy 29 Carbon Frameset - 2016</v>
      </c>
      <c r="I645">
        <f>VLOOKUP(C645,[1]products!$A:$D,4,FALSE)</f>
        <v>6</v>
      </c>
      <c r="J645" t="str">
        <f>VLOOKUP(I645,[2]categories!$A$1:$B$8,2,FALSE)</f>
        <v>Mountain Bikes</v>
      </c>
    </row>
    <row r="646" customHeight="1" spans="1:10">
      <c r="A646" s="1">
        <v>231</v>
      </c>
      <c r="B646" s="1">
        <v>2</v>
      </c>
      <c r="C646" s="1">
        <v>14</v>
      </c>
      <c r="D646" s="1">
        <v>2</v>
      </c>
      <c r="E646" s="1">
        <v>269.99</v>
      </c>
      <c r="F646" s="1">
        <v>0.2</v>
      </c>
      <c r="G646">
        <f t="shared" si="10"/>
        <v>539.78</v>
      </c>
      <c r="H646" t="str">
        <f>VLOOKUP(C646,[1]products!$A:$B,2,FALSE)</f>
        <v>Electra Girl's Hawaii 1 (16-inch) - 2015/2016</v>
      </c>
      <c r="I646">
        <f>VLOOKUP(C646,[1]products!$A:$D,4,FALSE)</f>
        <v>3</v>
      </c>
      <c r="J646" t="str">
        <f>VLOOKUP(I646,[2]categories!$A$1:$B$8,2,FALSE)</f>
        <v>Cruisers Bicycles</v>
      </c>
    </row>
    <row r="647" customHeight="1" spans="1:10">
      <c r="A647" s="1">
        <v>231</v>
      </c>
      <c r="B647" s="1">
        <v>3</v>
      </c>
      <c r="C647" s="1">
        <v>5</v>
      </c>
      <c r="D647" s="1">
        <v>2</v>
      </c>
      <c r="E647" s="1">
        <v>1320.99</v>
      </c>
      <c r="F647" s="1">
        <v>0.2</v>
      </c>
      <c r="G647">
        <f t="shared" si="10"/>
        <v>2641.78</v>
      </c>
      <c r="H647" t="str">
        <f>VLOOKUP(C647,[1]products!$A:$B,2,FALSE)</f>
        <v>Heller Shagamaw Frame - 2016</v>
      </c>
      <c r="I647">
        <f>VLOOKUP(C647,[1]products!$A:$D,4,FALSE)</f>
        <v>6</v>
      </c>
      <c r="J647" t="str">
        <f>VLOOKUP(I647,[2]categories!$A$1:$B$8,2,FALSE)</f>
        <v>Mountain Bikes</v>
      </c>
    </row>
    <row r="648" customHeight="1" spans="1:10">
      <c r="A648" s="1">
        <v>232</v>
      </c>
      <c r="B648" s="1">
        <v>1</v>
      </c>
      <c r="C648" s="1">
        <v>18</v>
      </c>
      <c r="D648" s="1">
        <v>1</v>
      </c>
      <c r="E648" s="1">
        <v>449</v>
      </c>
      <c r="F648" s="1">
        <v>0.07</v>
      </c>
      <c r="G648">
        <f t="shared" si="10"/>
        <v>448.93</v>
      </c>
      <c r="H648" t="str">
        <f>VLOOKUP(C648,[1]products!$A:$B,2,FALSE)</f>
        <v>Pure Cycles Western 3-Speed - Women's - 2015/2016</v>
      </c>
      <c r="I648">
        <f>VLOOKUP(C648,[1]products!$A:$D,4,FALSE)</f>
        <v>3</v>
      </c>
      <c r="J648" t="str">
        <f>VLOOKUP(I648,[2]categories!$A$1:$B$8,2,FALSE)</f>
        <v>Cruisers Bicycles</v>
      </c>
    </row>
    <row r="649" customHeight="1" spans="1:10">
      <c r="A649" s="1">
        <v>232</v>
      </c>
      <c r="B649" s="1">
        <v>2</v>
      </c>
      <c r="C649" s="1">
        <v>11</v>
      </c>
      <c r="D649" s="1">
        <v>2</v>
      </c>
      <c r="E649" s="1">
        <v>1680.99</v>
      </c>
      <c r="F649" s="1">
        <v>0.05</v>
      </c>
      <c r="G649">
        <f t="shared" si="10"/>
        <v>3361.93</v>
      </c>
      <c r="H649" t="str">
        <f>VLOOKUP(C649,[1]products!$A:$B,2,FALSE)</f>
        <v>Surly Straggler 650b - 2016</v>
      </c>
      <c r="I649">
        <f>VLOOKUP(C649,[1]products!$A:$D,4,FALSE)</f>
        <v>4</v>
      </c>
      <c r="J649" t="str">
        <f>VLOOKUP(I649,[2]categories!$A$1:$B$8,2,FALSE)</f>
        <v>Cyclocross Bicycles</v>
      </c>
    </row>
    <row r="650" customHeight="1" spans="1:10">
      <c r="A650" s="1">
        <v>232</v>
      </c>
      <c r="B650" s="1">
        <v>3</v>
      </c>
      <c r="C650" s="1">
        <v>26</v>
      </c>
      <c r="D650" s="1">
        <v>2</v>
      </c>
      <c r="E650" s="1">
        <v>599.99</v>
      </c>
      <c r="F650" s="1">
        <v>0.07</v>
      </c>
      <c r="G650">
        <f t="shared" si="10"/>
        <v>1199.91</v>
      </c>
      <c r="H650" t="str">
        <f>VLOOKUP(C650,[1]products!$A:$B,2,FALSE)</f>
        <v>Electra Townie Original 7D EQ - 2016</v>
      </c>
      <c r="I650">
        <f>VLOOKUP(C650,[1]products!$A:$D,4,FALSE)</f>
        <v>2</v>
      </c>
      <c r="J650" t="str">
        <f>VLOOKUP(I650,[2]categories!$A$1:$B$8,2,FALSE)</f>
        <v>Comfort Bicycles</v>
      </c>
    </row>
    <row r="651" customHeight="1" spans="1:10">
      <c r="A651" s="1">
        <v>232</v>
      </c>
      <c r="B651" s="1">
        <v>4</v>
      </c>
      <c r="C651" s="1">
        <v>8</v>
      </c>
      <c r="D651" s="1">
        <v>2</v>
      </c>
      <c r="E651" s="1">
        <v>1799.99</v>
      </c>
      <c r="F651" s="1">
        <v>0.1</v>
      </c>
      <c r="G651">
        <f t="shared" si="10"/>
        <v>3599.88</v>
      </c>
      <c r="H651" t="str">
        <f>VLOOKUP(C651,[1]products!$A:$B,2,FALSE)</f>
        <v>Trek Remedy 29 Carbon Frameset - 2016</v>
      </c>
      <c r="I651">
        <f>VLOOKUP(C651,[1]products!$A:$D,4,FALSE)</f>
        <v>6</v>
      </c>
      <c r="J651" t="str">
        <f>VLOOKUP(I651,[2]categories!$A$1:$B$8,2,FALSE)</f>
        <v>Mountain Bikes</v>
      </c>
    </row>
    <row r="652" customHeight="1" spans="1:10">
      <c r="A652" s="1">
        <v>233</v>
      </c>
      <c r="B652" s="1">
        <v>1</v>
      </c>
      <c r="C652" s="1">
        <v>14</v>
      </c>
      <c r="D652" s="1">
        <v>1</v>
      </c>
      <c r="E652" s="1">
        <v>269.99</v>
      </c>
      <c r="F652" s="1">
        <v>0.1</v>
      </c>
      <c r="G652">
        <f t="shared" si="10"/>
        <v>269.89</v>
      </c>
      <c r="H652" t="str">
        <f>VLOOKUP(C652,[1]products!$A:$B,2,FALSE)</f>
        <v>Electra Girl's Hawaii 1 (16-inch) - 2015/2016</v>
      </c>
      <c r="I652">
        <f>VLOOKUP(C652,[1]products!$A:$D,4,FALSE)</f>
        <v>3</v>
      </c>
      <c r="J652" t="str">
        <f>VLOOKUP(I652,[2]categories!$A$1:$B$8,2,FALSE)</f>
        <v>Cruisers Bicycles</v>
      </c>
    </row>
    <row r="653" customHeight="1" spans="1:10">
      <c r="A653" s="1">
        <v>233</v>
      </c>
      <c r="B653" s="1">
        <v>2</v>
      </c>
      <c r="C653" s="1">
        <v>16</v>
      </c>
      <c r="D653" s="1">
        <v>2</v>
      </c>
      <c r="E653" s="1">
        <v>599.99</v>
      </c>
      <c r="F653" s="1">
        <v>0.1</v>
      </c>
      <c r="G653">
        <f t="shared" si="10"/>
        <v>1199.88</v>
      </c>
      <c r="H653" t="str">
        <f>VLOOKUP(C653,[1]products!$A:$B,2,FALSE)</f>
        <v>Electra Townie Original 7D EQ - 2016</v>
      </c>
      <c r="I653">
        <f>VLOOKUP(C653,[1]products!$A:$D,4,FALSE)</f>
        <v>3</v>
      </c>
      <c r="J653" t="str">
        <f>VLOOKUP(I653,[2]categories!$A$1:$B$8,2,FALSE)</f>
        <v>Cruisers Bicycles</v>
      </c>
    </row>
    <row r="654" customHeight="1" spans="1:10">
      <c r="A654" s="1">
        <v>233</v>
      </c>
      <c r="B654" s="1">
        <v>3</v>
      </c>
      <c r="C654" s="1">
        <v>12</v>
      </c>
      <c r="D654" s="1">
        <v>1</v>
      </c>
      <c r="E654" s="1">
        <v>549.99</v>
      </c>
      <c r="F654" s="1">
        <v>0.2</v>
      </c>
      <c r="G654">
        <f t="shared" si="10"/>
        <v>549.79</v>
      </c>
      <c r="H654" t="str">
        <f>VLOOKUP(C654,[1]products!$A:$B,2,FALSE)</f>
        <v>Electra Townie Original 21D - 2016</v>
      </c>
      <c r="I654">
        <f>VLOOKUP(C654,[1]products!$A:$D,4,FALSE)</f>
        <v>3</v>
      </c>
      <c r="J654" t="str">
        <f>VLOOKUP(I654,[2]categories!$A$1:$B$8,2,FALSE)</f>
        <v>Cruisers Bicycles</v>
      </c>
    </row>
    <row r="655" customHeight="1" spans="1:10">
      <c r="A655" s="1">
        <v>233</v>
      </c>
      <c r="B655" s="1">
        <v>4</v>
      </c>
      <c r="C655" s="1">
        <v>15</v>
      </c>
      <c r="D655" s="1">
        <v>2</v>
      </c>
      <c r="E655" s="1">
        <v>529.99</v>
      </c>
      <c r="F655" s="1">
        <v>0.07</v>
      </c>
      <c r="G655">
        <f t="shared" si="10"/>
        <v>1059.91</v>
      </c>
      <c r="H655" t="str">
        <f>VLOOKUP(C655,[1]products!$A:$B,2,FALSE)</f>
        <v>Electra Moto 1 - 2016</v>
      </c>
      <c r="I655">
        <f>VLOOKUP(C655,[1]products!$A:$D,4,FALSE)</f>
        <v>3</v>
      </c>
      <c r="J655" t="str">
        <f>VLOOKUP(I655,[2]categories!$A$1:$B$8,2,FALSE)</f>
        <v>Cruisers Bicycles</v>
      </c>
    </row>
    <row r="656" customHeight="1" spans="1:10">
      <c r="A656" s="1">
        <v>234</v>
      </c>
      <c r="B656" s="1">
        <v>1</v>
      </c>
      <c r="C656" s="1">
        <v>11</v>
      </c>
      <c r="D656" s="1">
        <v>2</v>
      </c>
      <c r="E656" s="1">
        <v>1680.99</v>
      </c>
      <c r="F656" s="1">
        <v>0.2</v>
      </c>
      <c r="G656">
        <f t="shared" si="10"/>
        <v>3361.78</v>
      </c>
      <c r="H656" t="str">
        <f>VLOOKUP(C656,[1]products!$A:$B,2,FALSE)</f>
        <v>Surly Straggler 650b - 2016</v>
      </c>
      <c r="I656">
        <f>VLOOKUP(C656,[1]products!$A:$D,4,FALSE)</f>
        <v>4</v>
      </c>
      <c r="J656" t="str">
        <f>VLOOKUP(I656,[2]categories!$A$1:$B$8,2,FALSE)</f>
        <v>Cyclocross Bicycles</v>
      </c>
    </row>
    <row r="657" customHeight="1" spans="1:10">
      <c r="A657" s="1">
        <v>234</v>
      </c>
      <c r="B657" s="1">
        <v>2</v>
      </c>
      <c r="C657" s="1">
        <v>17</v>
      </c>
      <c r="D657" s="1">
        <v>2</v>
      </c>
      <c r="E657" s="1">
        <v>429</v>
      </c>
      <c r="F657" s="1">
        <v>0.05</v>
      </c>
      <c r="G657">
        <f t="shared" si="10"/>
        <v>857.95</v>
      </c>
      <c r="H657" t="str">
        <f>VLOOKUP(C657,[1]products!$A:$B,2,FALSE)</f>
        <v>Pure Cycles Vine 8-Speed - 2016</v>
      </c>
      <c r="I657">
        <f>VLOOKUP(C657,[1]products!$A:$D,4,FALSE)</f>
        <v>3</v>
      </c>
      <c r="J657" t="str">
        <f>VLOOKUP(I657,[2]categories!$A$1:$B$8,2,FALSE)</f>
        <v>Cruisers Bicycles</v>
      </c>
    </row>
    <row r="658" customHeight="1" spans="1:10">
      <c r="A658" s="1">
        <v>234</v>
      </c>
      <c r="B658" s="1">
        <v>3</v>
      </c>
      <c r="C658" s="1">
        <v>12</v>
      </c>
      <c r="D658" s="1">
        <v>1</v>
      </c>
      <c r="E658" s="1">
        <v>549.99</v>
      </c>
      <c r="F658" s="1">
        <v>0.1</v>
      </c>
      <c r="G658">
        <f t="shared" si="10"/>
        <v>549.89</v>
      </c>
      <c r="H658" t="str">
        <f>VLOOKUP(C658,[1]products!$A:$B,2,FALSE)</f>
        <v>Electra Townie Original 21D - 2016</v>
      </c>
      <c r="I658">
        <f>VLOOKUP(C658,[1]products!$A:$D,4,FALSE)</f>
        <v>3</v>
      </c>
      <c r="J658" t="str">
        <f>VLOOKUP(I658,[2]categories!$A$1:$B$8,2,FALSE)</f>
        <v>Cruisers Bicycles</v>
      </c>
    </row>
    <row r="659" customHeight="1" spans="1:10">
      <c r="A659" s="1">
        <v>234</v>
      </c>
      <c r="B659" s="1">
        <v>4</v>
      </c>
      <c r="C659" s="1">
        <v>7</v>
      </c>
      <c r="D659" s="1">
        <v>1</v>
      </c>
      <c r="E659" s="1">
        <v>3999.99</v>
      </c>
      <c r="F659" s="1">
        <v>0.05</v>
      </c>
      <c r="G659">
        <f t="shared" si="10"/>
        <v>3999.94</v>
      </c>
      <c r="H659" t="str">
        <f>VLOOKUP(C659,[1]products!$A:$B,2,FALSE)</f>
        <v>Trek Slash 8 27.5 - 2016</v>
      </c>
      <c r="I659">
        <f>VLOOKUP(C659,[1]products!$A:$D,4,FALSE)</f>
        <v>6</v>
      </c>
      <c r="J659" t="str">
        <f>VLOOKUP(I659,[2]categories!$A$1:$B$8,2,FALSE)</f>
        <v>Mountain Bikes</v>
      </c>
    </row>
    <row r="660" customHeight="1" spans="1:10">
      <c r="A660" s="1">
        <v>234</v>
      </c>
      <c r="B660" s="1">
        <v>5</v>
      </c>
      <c r="C660" s="1">
        <v>23</v>
      </c>
      <c r="D660" s="1">
        <v>1</v>
      </c>
      <c r="E660" s="1">
        <v>299.99</v>
      </c>
      <c r="F660" s="1">
        <v>0.1</v>
      </c>
      <c r="G660">
        <f t="shared" si="10"/>
        <v>299.89</v>
      </c>
      <c r="H660" t="str">
        <f>VLOOKUP(C660,[1]products!$A:$B,2,FALSE)</f>
        <v>Electra Girl's Hawaii 1 (20-inch) - 2015/2016</v>
      </c>
      <c r="I660">
        <f>VLOOKUP(C660,[1]products!$A:$D,4,FALSE)</f>
        <v>1</v>
      </c>
      <c r="J660" t="str">
        <f>VLOOKUP(I660,[2]categories!$A$1:$B$8,2,FALSE)</f>
        <v>Children Bicycles</v>
      </c>
    </row>
    <row r="661" customHeight="1" spans="1:10">
      <c r="A661" s="1">
        <v>235</v>
      </c>
      <c r="B661" s="1">
        <v>1</v>
      </c>
      <c r="C661" s="1">
        <v>6</v>
      </c>
      <c r="D661" s="1">
        <v>1</v>
      </c>
      <c r="E661" s="1">
        <v>469.99</v>
      </c>
      <c r="F661" s="1">
        <v>0.07</v>
      </c>
      <c r="G661">
        <f t="shared" si="10"/>
        <v>469.92</v>
      </c>
      <c r="H661" t="str">
        <f>VLOOKUP(C661,[1]products!$A:$B,2,FALSE)</f>
        <v>Surly Ice Cream Truck Frameset - 2016</v>
      </c>
      <c r="I661">
        <f>VLOOKUP(C661,[1]products!$A:$D,4,FALSE)</f>
        <v>6</v>
      </c>
      <c r="J661" t="str">
        <f>VLOOKUP(I661,[2]categories!$A$1:$B$8,2,FALSE)</f>
        <v>Mountain Bikes</v>
      </c>
    </row>
    <row r="662" customHeight="1" spans="1:10">
      <c r="A662" s="1">
        <v>235</v>
      </c>
      <c r="B662" s="1">
        <v>2</v>
      </c>
      <c r="C662" s="1">
        <v>13</v>
      </c>
      <c r="D662" s="1">
        <v>2</v>
      </c>
      <c r="E662" s="1">
        <v>269.99</v>
      </c>
      <c r="F662" s="1">
        <v>0.05</v>
      </c>
      <c r="G662">
        <f t="shared" si="10"/>
        <v>539.93</v>
      </c>
      <c r="H662" t="str">
        <f>VLOOKUP(C662,[1]products!$A:$B,2,FALSE)</f>
        <v>Electra Cruiser 1 (24-Inch) - 2016</v>
      </c>
      <c r="I662">
        <f>VLOOKUP(C662,[1]products!$A:$D,4,FALSE)</f>
        <v>3</v>
      </c>
      <c r="J662" t="str">
        <f>VLOOKUP(I662,[2]categories!$A$1:$B$8,2,FALSE)</f>
        <v>Cruisers Bicycles</v>
      </c>
    </row>
    <row r="663" customHeight="1" spans="1:10">
      <c r="A663" s="1">
        <v>235</v>
      </c>
      <c r="B663" s="1">
        <v>3</v>
      </c>
      <c r="C663" s="1">
        <v>7</v>
      </c>
      <c r="D663" s="1">
        <v>2</v>
      </c>
      <c r="E663" s="1">
        <v>3999.99</v>
      </c>
      <c r="F663" s="1">
        <v>0.05</v>
      </c>
      <c r="G663">
        <f t="shared" si="10"/>
        <v>7999.93</v>
      </c>
      <c r="H663" t="str">
        <f>VLOOKUP(C663,[1]products!$A:$B,2,FALSE)</f>
        <v>Trek Slash 8 27.5 - 2016</v>
      </c>
      <c r="I663">
        <f>VLOOKUP(C663,[1]products!$A:$D,4,FALSE)</f>
        <v>6</v>
      </c>
      <c r="J663" t="str">
        <f>VLOOKUP(I663,[2]categories!$A$1:$B$8,2,FALSE)</f>
        <v>Mountain Bikes</v>
      </c>
    </row>
    <row r="664" customHeight="1" spans="1:10">
      <c r="A664" s="1">
        <v>236</v>
      </c>
      <c r="B664" s="1">
        <v>1</v>
      </c>
      <c r="C664" s="1">
        <v>3</v>
      </c>
      <c r="D664" s="1">
        <v>2</v>
      </c>
      <c r="E664" s="1">
        <v>999.99</v>
      </c>
      <c r="F664" s="1">
        <v>0.07</v>
      </c>
      <c r="G664">
        <f t="shared" si="10"/>
        <v>1999.91</v>
      </c>
      <c r="H664" t="str">
        <f>VLOOKUP(C664,[1]products!$A:$B,2,FALSE)</f>
        <v>Surly Wednesday Frameset - 2016</v>
      </c>
      <c r="I664">
        <f>VLOOKUP(C664,[1]products!$A:$D,4,FALSE)</f>
        <v>6</v>
      </c>
      <c r="J664" t="str">
        <f>VLOOKUP(I664,[2]categories!$A$1:$B$8,2,FALSE)</f>
        <v>Mountain Bikes</v>
      </c>
    </row>
    <row r="665" customHeight="1" spans="1:10">
      <c r="A665" s="1">
        <v>236</v>
      </c>
      <c r="B665" s="1">
        <v>2</v>
      </c>
      <c r="C665" s="1">
        <v>2</v>
      </c>
      <c r="D665" s="1">
        <v>2</v>
      </c>
      <c r="E665" s="1">
        <v>749.99</v>
      </c>
      <c r="F665" s="1">
        <v>0.1</v>
      </c>
      <c r="G665">
        <f t="shared" si="10"/>
        <v>1499.88</v>
      </c>
      <c r="H665" t="str">
        <f>VLOOKUP(C665,[1]products!$A:$B,2,FALSE)</f>
        <v>Ritchey Timberwolf Frameset - 2016</v>
      </c>
      <c r="I665">
        <f>VLOOKUP(C665,[1]products!$A:$D,4,FALSE)</f>
        <v>6</v>
      </c>
      <c r="J665" t="str">
        <f>VLOOKUP(I665,[2]categories!$A$1:$B$8,2,FALSE)</f>
        <v>Mountain Bikes</v>
      </c>
    </row>
    <row r="666" customHeight="1" spans="1:10">
      <c r="A666" s="1">
        <v>236</v>
      </c>
      <c r="B666" s="1">
        <v>3</v>
      </c>
      <c r="C666" s="1">
        <v>4</v>
      </c>
      <c r="D666" s="1">
        <v>2</v>
      </c>
      <c r="E666" s="1">
        <v>2899.99</v>
      </c>
      <c r="F666" s="1">
        <v>0.1</v>
      </c>
      <c r="G666">
        <f t="shared" si="10"/>
        <v>5799.88</v>
      </c>
      <c r="H666" t="str">
        <f>VLOOKUP(C666,[1]products!$A:$B,2,FALSE)</f>
        <v>Trek Fuel EX 8 29 - 2016</v>
      </c>
      <c r="I666">
        <f>VLOOKUP(C666,[1]products!$A:$D,4,FALSE)</f>
        <v>6</v>
      </c>
      <c r="J666" t="str">
        <f>VLOOKUP(I666,[2]categories!$A$1:$B$8,2,FALSE)</f>
        <v>Mountain Bikes</v>
      </c>
    </row>
    <row r="667" customHeight="1" spans="1:10">
      <c r="A667" s="1">
        <v>237</v>
      </c>
      <c r="B667" s="1">
        <v>1</v>
      </c>
      <c r="C667" s="1">
        <v>15</v>
      </c>
      <c r="D667" s="1">
        <v>1</v>
      </c>
      <c r="E667" s="1">
        <v>529.99</v>
      </c>
      <c r="F667" s="1">
        <v>0.2</v>
      </c>
      <c r="G667">
        <f t="shared" si="10"/>
        <v>529.79</v>
      </c>
      <c r="H667" t="str">
        <f>VLOOKUP(C667,[1]products!$A:$B,2,FALSE)</f>
        <v>Electra Moto 1 - 2016</v>
      </c>
      <c r="I667">
        <f>VLOOKUP(C667,[1]products!$A:$D,4,FALSE)</f>
        <v>3</v>
      </c>
      <c r="J667" t="str">
        <f>VLOOKUP(I667,[2]categories!$A$1:$B$8,2,FALSE)</f>
        <v>Cruisers Bicycles</v>
      </c>
    </row>
    <row r="668" customHeight="1" spans="1:10">
      <c r="A668" s="1">
        <v>237</v>
      </c>
      <c r="B668" s="1">
        <v>2</v>
      </c>
      <c r="C668" s="1">
        <v>24</v>
      </c>
      <c r="D668" s="1">
        <v>1</v>
      </c>
      <c r="E668" s="1">
        <v>549.99</v>
      </c>
      <c r="F668" s="1">
        <v>0.07</v>
      </c>
      <c r="G668">
        <f t="shared" si="10"/>
        <v>549.92</v>
      </c>
      <c r="H668" t="str">
        <f>VLOOKUP(C668,[1]products!$A:$B,2,FALSE)</f>
        <v>Electra Townie Original 21D - 2016</v>
      </c>
      <c r="I668">
        <f>VLOOKUP(C668,[1]products!$A:$D,4,FALSE)</f>
        <v>2</v>
      </c>
      <c r="J668" t="str">
        <f>VLOOKUP(I668,[2]categories!$A$1:$B$8,2,FALSE)</f>
        <v>Comfort Bicycles</v>
      </c>
    </row>
    <row r="669" customHeight="1" spans="1:10">
      <c r="A669" s="1">
        <v>237</v>
      </c>
      <c r="B669" s="1">
        <v>3</v>
      </c>
      <c r="C669" s="1">
        <v>20</v>
      </c>
      <c r="D669" s="1">
        <v>2</v>
      </c>
      <c r="E669" s="1">
        <v>599.99</v>
      </c>
      <c r="F669" s="1">
        <v>0.2</v>
      </c>
      <c r="G669">
        <f t="shared" si="10"/>
        <v>1199.78</v>
      </c>
      <c r="H669" t="str">
        <f>VLOOKUP(C669,[1]products!$A:$B,2,FALSE)</f>
        <v>Electra Townie Original 7D EQ - Women's - 2016</v>
      </c>
      <c r="I669">
        <f>VLOOKUP(C669,[1]products!$A:$D,4,FALSE)</f>
        <v>3</v>
      </c>
      <c r="J669" t="str">
        <f>VLOOKUP(I669,[2]categories!$A$1:$B$8,2,FALSE)</f>
        <v>Cruisers Bicycles</v>
      </c>
    </row>
    <row r="670" customHeight="1" spans="1:10">
      <c r="A670" s="1">
        <v>237</v>
      </c>
      <c r="B670" s="1">
        <v>4</v>
      </c>
      <c r="C670" s="1">
        <v>26</v>
      </c>
      <c r="D670" s="1">
        <v>1</v>
      </c>
      <c r="E670" s="1">
        <v>599.99</v>
      </c>
      <c r="F670" s="1">
        <v>0.05</v>
      </c>
      <c r="G670">
        <f t="shared" si="10"/>
        <v>599.94</v>
      </c>
      <c r="H670" t="str">
        <f>VLOOKUP(C670,[1]products!$A:$B,2,FALSE)</f>
        <v>Electra Townie Original 7D EQ - 2016</v>
      </c>
      <c r="I670">
        <f>VLOOKUP(C670,[1]products!$A:$D,4,FALSE)</f>
        <v>2</v>
      </c>
      <c r="J670" t="str">
        <f>VLOOKUP(I670,[2]categories!$A$1:$B$8,2,FALSE)</f>
        <v>Comfort Bicycles</v>
      </c>
    </row>
    <row r="671" customHeight="1" spans="1:10">
      <c r="A671" s="1">
        <v>238</v>
      </c>
      <c r="B671" s="1">
        <v>1</v>
      </c>
      <c r="C671" s="1">
        <v>20</v>
      </c>
      <c r="D671" s="1">
        <v>2</v>
      </c>
      <c r="E671" s="1">
        <v>599.99</v>
      </c>
      <c r="F671" s="1">
        <v>0.2</v>
      </c>
      <c r="G671">
        <f t="shared" si="10"/>
        <v>1199.78</v>
      </c>
      <c r="H671" t="str">
        <f>VLOOKUP(C671,[1]products!$A:$B,2,FALSE)</f>
        <v>Electra Townie Original 7D EQ - Women's - 2016</v>
      </c>
      <c r="I671">
        <f>VLOOKUP(C671,[1]products!$A:$D,4,FALSE)</f>
        <v>3</v>
      </c>
      <c r="J671" t="str">
        <f>VLOOKUP(I671,[2]categories!$A$1:$B$8,2,FALSE)</f>
        <v>Cruisers Bicycles</v>
      </c>
    </row>
    <row r="672" customHeight="1" spans="1:10">
      <c r="A672" s="1">
        <v>238</v>
      </c>
      <c r="B672" s="1">
        <v>2</v>
      </c>
      <c r="C672" s="1">
        <v>25</v>
      </c>
      <c r="D672" s="1">
        <v>1</v>
      </c>
      <c r="E672" s="1">
        <v>499.99</v>
      </c>
      <c r="F672" s="1">
        <v>0.07</v>
      </c>
      <c r="G672">
        <f t="shared" si="10"/>
        <v>499.92</v>
      </c>
      <c r="H672" t="str">
        <f>VLOOKUP(C672,[1]products!$A:$B,2,FALSE)</f>
        <v>Electra Townie Original 7D - 2015/2016</v>
      </c>
      <c r="I672">
        <f>VLOOKUP(C672,[1]products!$A:$D,4,FALSE)</f>
        <v>2</v>
      </c>
      <c r="J672" t="str">
        <f>VLOOKUP(I672,[2]categories!$A$1:$B$8,2,FALSE)</f>
        <v>Comfort Bicycles</v>
      </c>
    </row>
    <row r="673" customHeight="1" spans="1:10">
      <c r="A673" s="1">
        <v>238</v>
      </c>
      <c r="B673" s="1">
        <v>3</v>
      </c>
      <c r="C673" s="1">
        <v>13</v>
      </c>
      <c r="D673" s="1">
        <v>2</v>
      </c>
      <c r="E673" s="1">
        <v>269.99</v>
      </c>
      <c r="F673" s="1">
        <v>0.2</v>
      </c>
      <c r="G673">
        <f t="shared" si="10"/>
        <v>539.78</v>
      </c>
      <c r="H673" t="str">
        <f>VLOOKUP(C673,[1]products!$A:$B,2,FALSE)</f>
        <v>Electra Cruiser 1 (24-Inch) - 2016</v>
      </c>
      <c r="I673">
        <f>VLOOKUP(C673,[1]products!$A:$D,4,FALSE)</f>
        <v>3</v>
      </c>
      <c r="J673" t="str">
        <f>VLOOKUP(I673,[2]categories!$A$1:$B$8,2,FALSE)</f>
        <v>Cruisers Bicycles</v>
      </c>
    </row>
    <row r="674" customHeight="1" spans="1:10">
      <c r="A674" s="1">
        <v>238</v>
      </c>
      <c r="B674" s="1">
        <v>4</v>
      </c>
      <c r="C674" s="1">
        <v>22</v>
      </c>
      <c r="D674" s="1">
        <v>2</v>
      </c>
      <c r="E674" s="1">
        <v>269.99</v>
      </c>
      <c r="F674" s="1">
        <v>0.05</v>
      </c>
      <c r="G674">
        <f t="shared" si="10"/>
        <v>539.93</v>
      </c>
      <c r="H674" t="str">
        <f>VLOOKUP(C674,[1]products!$A:$B,2,FALSE)</f>
        <v>Electra Girl's Hawaii 1 (16-inch) - 2015/2016</v>
      </c>
      <c r="I674">
        <f>VLOOKUP(C674,[1]products!$A:$D,4,FALSE)</f>
        <v>1</v>
      </c>
      <c r="J674" t="str">
        <f>VLOOKUP(I674,[2]categories!$A$1:$B$8,2,FALSE)</f>
        <v>Children Bicycles</v>
      </c>
    </row>
    <row r="675" customHeight="1" spans="1:10">
      <c r="A675" s="1">
        <v>238</v>
      </c>
      <c r="B675" s="1">
        <v>5</v>
      </c>
      <c r="C675" s="1">
        <v>7</v>
      </c>
      <c r="D675" s="1">
        <v>1</v>
      </c>
      <c r="E675" s="1">
        <v>3999.99</v>
      </c>
      <c r="F675" s="1">
        <v>0.07</v>
      </c>
      <c r="G675">
        <f t="shared" si="10"/>
        <v>3999.92</v>
      </c>
      <c r="H675" t="str">
        <f>VLOOKUP(C675,[1]products!$A:$B,2,FALSE)</f>
        <v>Trek Slash 8 27.5 - 2016</v>
      </c>
      <c r="I675">
        <f>VLOOKUP(C675,[1]products!$A:$D,4,FALSE)</f>
        <v>6</v>
      </c>
      <c r="J675" t="str">
        <f>VLOOKUP(I675,[2]categories!$A$1:$B$8,2,FALSE)</f>
        <v>Mountain Bikes</v>
      </c>
    </row>
    <row r="676" customHeight="1" spans="1:10">
      <c r="A676" s="1">
        <v>239</v>
      </c>
      <c r="B676" s="1">
        <v>1</v>
      </c>
      <c r="C676" s="1">
        <v>16</v>
      </c>
      <c r="D676" s="1">
        <v>2</v>
      </c>
      <c r="E676" s="1">
        <v>599.99</v>
      </c>
      <c r="F676" s="1">
        <v>0.1</v>
      </c>
      <c r="G676">
        <f t="shared" si="10"/>
        <v>1199.88</v>
      </c>
      <c r="H676" t="str">
        <f>VLOOKUP(C676,[1]products!$A:$B,2,FALSE)</f>
        <v>Electra Townie Original 7D EQ - 2016</v>
      </c>
      <c r="I676">
        <f>VLOOKUP(C676,[1]products!$A:$D,4,FALSE)</f>
        <v>3</v>
      </c>
      <c r="J676" t="str">
        <f>VLOOKUP(I676,[2]categories!$A$1:$B$8,2,FALSE)</f>
        <v>Cruisers Bicycles</v>
      </c>
    </row>
    <row r="677" customHeight="1" spans="1:10">
      <c r="A677" s="1">
        <v>239</v>
      </c>
      <c r="B677" s="1">
        <v>2</v>
      </c>
      <c r="C677" s="1">
        <v>21</v>
      </c>
      <c r="D677" s="1">
        <v>2</v>
      </c>
      <c r="E677" s="1">
        <v>269.99</v>
      </c>
      <c r="F677" s="1">
        <v>0.05</v>
      </c>
      <c r="G677">
        <f t="shared" si="10"/>
        <v>539.93</v>
      </c>
      <c r="H677" t="str">
        <f>VLOOKUP(C677,[1]products!$A:$B,2,FALSE)</f>
        <v>Electra Cruiser 1 (24-Inch) - 2016</v>
      </c>
      <c r="I677">
        <f>VLOOKUP(C677,[1]products!$A:$D,4,FALSE)</f>
        <v>1</v>
      </c>
      <c r="J677" t="str">
        <f>VLOOKUP(I677,[2]categories!$A$1:$B$8,2,FALSE)</f>
        <v>Children Bicycles</v>
      </c>
    </row>
    <row r="678" customHeight="1" spans="1:10">
      <c r="A678" s="1">
        <v>239</v>
      </c>
      <c r="B678" s="1">
        <v>3</v>
      </c>
      <c r="C678" s="1">
        <v>18</v>
      </c>
      <c r="D678" s="1">
        <v>1</v>
      </c>
      <c r="E678" s="1">
        <v>449</v>
      </c>
      <c r="F678" s="1">
        <v>0.07</v>
      </c>
      <c r="G678">
        <f t="shared" si="10"/>
        <v>448.93</v>
      </c>
      <c r="H678" t="str">
        <f>VLOOKUP(C678,[1]products!$A:$B,2,FALSE)</f>
        <v>Pure Cycles Western 3-Speed - Women's - 2015/2016</v>
      </c>
      <c r="I678">
        <f>VLOOKUP(C678,[1]products!$A:$D,4,FALSE)</f>
        <v>3</v>
      </c>
      <c r="J678" t="str">
        <f>VLOOKUP(I678,[2]categories!$A$1:$B$8,2,FALSE)</f>
        <v>Cruisers Bicycles</v>
      </c>
    </row>
    <row r="679" customHeight="1" spans="1:10">
      <c r="A679" s="1">
        <v>239</v>
      </c>
      <c r="B679" s="1">
        <v>4</v>
      </c>
      <c r="C679" s="1">
        <v>4</v>
      </c>
      <c r="D679" s="1">
        <v>2</v>
      </c>
      <c r="E679" s="1">
        <v>2899.99</v>
      </c>
      <c r="F679" s="1">
        <v>0.07</v>
      </c>
      <c r="G679">
        <f t="shared" si="10"/>
        <v>5799.91</v>
      </c>
      <c r="H679" t="str">
        <f>VLOOKUP(C679,[1]products!$A:$B,2,FALSE)</f>
        <v>Trek Fuel EX 8 29 - 2016</v>
      </c>
      <c r="I679">
        <f>VLOOKUP(C679,[1]products!$A:$D,4,FALSE)</f>
        <v>6</v>
      </c>
      <c r="J679" t="str">
        <f>VLOOKUP(I679,[2]categories!$A$1:$B$8,2,FALSE)</f>
        <v>Mountain Bikes</v>
      </c>
    </row>
    <row r="680" customHeight="1" spans="1:10">
      <c r="A680" s="1">
        <v>240</v>
      </c>
      <c r="B680" s="1">
        <v>1</v>
      </c>
      <c r="C680" s="1">
        <v>9</v>
      </c>
      <c r="D680" s="1">
        <v>1</v>
      </c>
      <c r="E680" s="1">
        <v>2999.99</v>
      </c>
      <c r="F680" s="1">
        <v>0.07</v>
      </c>
      <c r="G680">
        <f t="shared" si="10"/>
        <v>2999.92</v>
      </c>
      <c r="H680" t="str">
        <f>VLOOKUP(C680,[1]products!$A:$B,2,FALSE)</f>
        <v>Trek Conduit+ - 2016</v>
      </c>
      <c r="I680">
        <f>VLOOKUP(C680,[1]products!$A:$D,4,FALSE)</f>
        <v>5</v>
      </c>
      <c r="J680" t="str">
        <f>VLOOKUP(I680,[2]categories!$A$1:$B$8,2,FALSE)</f>
        <v>Electric Bikes</v>
      </c>
    </row>
    <row r="681" customHeight="1" spans="1:10">
      <c r="A681" s="1">
        <v>240</v>
      </c>
      <c r="B681" s="1">
        <v>2</v>
      </c>
      <c r="C681" s="1">
        <v>8</v>
      </c>
      <c r="D681" s="1">
        <v>1</v>
      </c>
      <c r="E681" s="1">
        <v>1799.99</v>
      </c>
      <c r="F681" s="1">
        <v>0.07</v>
      </c>
      <c r="G681">
        <f t="shared" si="10"/>
        <v>1799.92</v>
      </c>
      <c r="H681" t="str">
        <f>VLOOKUP(C681,[1]products!$A:$B,2,FALSE)</f>
        <v>Trek Remedy 29 Carbon Frameset - 2016</v>
      </c>
      <c r="I681">
        <f>VLOOKUP(C681,[1]products!$A:$D,4,FALSE)</f>
        <v>6</v>
      </c>
      <c r="J681" t="str">
        <f>VLOOKUP(I681,[2]categories!$A$1:$B$8,2,FALSE)</f>
        <v>Mountain Bikes</v>
      </c>
    </row>
    <row r="682" customHeight="1" spans="1:10">
      <c r="A682" s="1">
        <v>240</v>
      </c>
      <c r="B682" s="1">
        <v>3</v>
      </c>
      <c r="C682" s="1">
        <v>5</v>
      </c>
      <c r="D682" s="1">
        <v>1</v>
      </c>
      <c r="E682" s="1">
        <v>1320.99</v>
      </c>
      <c r="F682" s="1">
        <v>0.07</v>
      </c>
      <c r="G682">
        <f t="shared" si="10"/>
        <v>1320.92</v>
      </c>
      <c r="H682" t="str">
        <f>VLOOKUP(C682,[1]products!$A:$B,2,FALSE)</f>
        <v>Heller Shagamaw Frame - 2016</v>
      </c>
      <c r="I682">
        <f>VLOOKUP(C682,[1]products!$A:$D,4,FALSE)</f>
        <v>6</v>
      </c>
      <c r="J682" t="str">
        <f>VLOOKUP(I682,[2]categories!$A$1:$B$8,2,FALSE)</f>
        <v>Mountain Bikes</v>
      </c>
    </row>
    <row r="683" customHeight="1" spans="1:10">
      <c r="A683" s="1">
        <v>240</v>
      </c>
      <c r="B683" s="1">
        <v>4</v>
      </c>
      <c r="C683" s="1">
        <v>18</v>
      </c>
      <c r="D683" s="1">
        <v>2</v>
      </c>
      <c r="E683" s="1">
        <v>449</v>
      </c>
      <c r="F683" s="1">
        <v>0.07</v>
      </c>
      <c r="G683">
        <f t="shared" si="10"/>
        <v>897.93</v>
      </c>
      <c r="H683" t="str">
        <f>VLOOKUP(C683,[1]products!$A:$B,2,FALSE)</f>
        <v>Pure Cycles Western 3-Speed - Women's - 2015/2016</v>
      </c>
      <c r="I683">
        <f>VLOOKUP(C683,[1]products!$A:$D,4,FALSE)</f>
        <v>3</v>
      </c>
      <c r="J683" t="str">
        <f>VLOOKUP(I683,[2]categories!$A$1:$B$8,2,FALSE)</f>
        <v>Cruisers Bicycles</v>
      </c>
    </row>
    <row r="684" customHeight="1" spans="1:10">
      <c r="A684" s="1">
        <v>241</v>
      </c>
      <c r="B684" s="1">
        <v>1</v>
      </c>
      <c r="C684" s="1">
        <v>7</v>
      </c>
      <c r="D684" s="1">
        <v>1</v>
      </c>
      <c r="E684" s="1">
        <v>3999.99</v>
      </c>
      <c r="F684" s="1">
        <v>0.2</v>
      </c>
      <c r="G684">
        <f t="shared" si="10"/>
        <v>3999.79</v>
      </c>
      <c r="H684" t="str">
        <f>VLOOKUP(C684,[1]products!$A:$B,2,FALSE)</f>
        <v>Trek Slash 8 27.5 - 2016</v>
      </c>
      <c r="I684">
        <f>VLOOKUP(C684,[1]products!$A:$D,4,FALSE)</f>
        <v>6</v>
      </c>
      <c r="J684" t="str">
        <f>VLOOKUP(I684,[2]categories!$A$1:$B$8,2,FALSE)</f>
        <v>Mountain Bikes</v>
      </c>
    </row>
    <row r="685" customHeight="1" spans="1:10">
      <c r="A685" s="1">
        <v>242</v>
      </c>
      <c r="B685" s="1">
        <v>1</v>
      </c>
      <c r="C685" s="1">
        <v>3</v>
      </c>
      <c r="D685" s="1">
        <v>1</v>
      </c>
      <c r="E685" s="1">
        <v>999.99</v>
      </c>
      <c r="F685" s="1">
        <v>0.2</v>
      </c>
      <c r="G685">
        <f t="shared" si="10"/>
        <v>999.79</v>
      </c>
      <c r="H685" t="str">
        <f>VLOOKUP(C685,[1]products!$A:$B,2,FALSE)</f>
        <v>Surly Wednesday Frameset - 2016</v>
      </c>
      <c r="I685">
        <f>VLOOKUP(C685,[1]products!$A:$D,4,FALSE)</f>
        <v>6</v>
      </c>
      <c r="J685" t="str">
        <f>VLOOKUP(I685,[2]categories!$A$1:$B$8,2,FALSE)</f>
        <v>Mountain Bikes</v>
      </c>
    </row>
    <row r="686" customHeight="1" spans="1:10">
      <c r="A686" s="1">
        <v>243</v>
      </c>
      <c r="B686" s="1">
        <v>1</v>
      </c>
      <c r="C686" s="1">
        <v>25</v>
      </c>
      <c r="D686" s="1">
        <v>2</v>
      </c>
      <c r="E686" s="1">
        <v>499.99</v>
      </c>
      <c r="F686" s="1">
        <v>0.05</v>
      </c>
      <c r="G686">
        <f t="shared" si="10"/>
        <v>999.93</v>
      </c>
      <c r="H686" t="str">
        <f>VLOOKUP(C686,[1]products!$A:$B,2,FALSE)</f>
        <v>Electra Townie Original 7D - 2015/2016</v>
      </c>
      <c r="I686">
        <f>VLOOKUP(C686,[1]products!$A:$D,4,FALSE)</f>
        <v>2</v>
      </c>
      <c r="J686" t="str">
        <f>VLOOKUP(I686,[2]categories!$A$1:$B$8,2,FALSE)</f>
        <v>Comfort Bicycles</v>
      </c>
    </row>
    <row r="687" customHeight="1" spans="1:10">
      <c r="A687" s="1">
        <v>243</v>
      </c>
      <c r="B687" s="1">
        <v>2</v>
      </c>
      <c r="C687" s="1">
        <v>19</v>
      </c>
      <c r="D687" s="1">
        <v>2</v>
      </c>
      <c r="E687" s="1">
        <v>449</v>
      </c>
      <c r="F687" s="1">
        <v>0.07</v>
      </c>
      <c r="G687">
        <f t="shared" si="10"/>
        <v>897.93</v>
      </c>
      <c r="H687" t="str">
        <f>VLOOKUP(C687,[1]products!$A:$B,2,FALSE)</f>
        <v>Pure Cycles William 3-Speed - 2016</v>
      </c>
      <c r="I687">
        <f>VLOOKUP(C687,[1]products!$A:$D,4,FALSE)</f>
        <v>3</v>
      </c>
      <c r="J687" t="str">
        <f>VLOOKUP(I687,[2]categories!$A$1:$B$8,2,FALSE)</f>
        <v>Cruisers Bicycles</v>
      </c>
    </row>
    <row r="688" customHeight="1" spans="1:10">
      <c r="A688" s="1">
        <v>243</v>
      </c>
      <c r="B688" s="1">
        <v>3</v>
      </c>
      <c r="C688" s="1">
        <v>7</v>
      </c>
      <c r="D688" s="1">
        <v>2</v>
      </c>
      <c r="E688" s="1">
        <v>3999.99</v>
      </c>
      <c r="F688" s="1">
        <v>0.05</v>
      </c>
      <c r="G688">
        <f t="shared" si="10"/>
        <v>7999.93</v>
      </c>
      <c r="H688" t="str">
        <f>VLOOKUP(C688,[1]products!$A:$B,2,FALSE)</f>
        <v>Trek Slash 8 27.5 - 2016</v>
      </c>
      <c r="I688">
        <f>VLOOKUP(C688,[1]products!$A:$D,4,FALSE)</f>
        <v>6</v>
      </c>
      <c r="J688" t="str">
        <f>VLOOKUP(I688,[2]categories!$A$1:$B$8,2,FALSE)</f>
        <v>Mountain Bikes</v>
      </c>
    </row>
    <row r="689" customHeight="1" spans="1:10">
      <c r="A689" s="1">
        <v>244</v>
      </c>
      <c r="B689" s="1">
        <v>1</v>
      </c>
      <c r="C689" s="1">
        <v>19</v>
      </c>
      <c r="D689" s="1">
        <v>1</v>
      </c>
      <c r="E689" s="1">
        <v>449</v>
      </c>
      <c r="F689" s="1">
        <v>0.07</v>
      </c>
      <c r="G689">
        <f t="shared" si="10"/>
        <v>448.93</v>
      </c>
      <c r="H689" t="str">
        <f>VLOOKUP(C689,[1]products!$A:$B,2,FALSE)</f>
        <v>Pure Cycles William 3-Speed - 2016</v>
      </c>
      <c r="I689">
        <f>VLOOKUP(C689,[1]products!$A:$D,4,FALSE)</f>
        <v>3</v>
      </c>
      <c r="J689" t="str">
        <f>VLOOKUP(I689,[2]categories!$A$1:$B$8,2,FALSE)</f>
        <v>Cruisers Bicycles</v>
      </c>
    </row>
    <row r="690" customHeight="1" spans="1:10">
      <c r="A690" s="1">
        <v>244</v>
      </c>
      <c r="B690" s="1">
        <v>2</v>
      </c>
      <c r="C690" s="1">
        <v>25</v>
      </c>
      <c r="D690" s="1">
        <v>1</v>
      </c>
      <c r="E690" s="1">
        <v>499.99</v>
      </c>
      <c r="F690" s="1">
        <v>0.2</v>
      </c>
      <c r="G690">
        <f t="shared" si="10"/>
        <v>499.79</v>
      </c>
      <c r="H690" t="str">
        <f>VLOOKUP(C690,[1]products!$A:$B,2,FALSE)</f>
        <v>Electra Townie Original 7D - 2015/2016</v>
      </c>
      <c r="I690">
        <f>VLOOKUP(C690,[1]products!$A:$D,4,FALSE)</f>
        <v>2</v>
      </c>
      <c r="J690" t="str">
        <f>VLOOKUP(I690,[2]categories!$A$1:$B$8,2,FALSE)</f>
        <v>Comfort Bicycles</v>
      </c>
    </row>
    <row r="691" customHeight="1" spans="1:10">
      <c r="A691" s="1">
        <v>244</v>
      </c>
      <c r="B691" s="1">
        <v>3</v>
      </c>
      <c r="C691" s="1">
        <v>22</v>
      </c>
      <c r="D691" s="1">
        <v>1</v>
      </c>
      <c r="E691" s="1">
        <v>269.99</v>
      </c>
      <c r="F691" s="1">
        <v>0.1</v>
      </c>
      <c r="G691">
        <f t="shared" si="10"/>
        <v>269.89</v>
      </c>
      <c r="H691" t="str">
        <f>VLOOKUP(C691,[1]products!$A:$B,2,FALSE)</f>
        <v>Electra Girl's Hawaii 1 (16-inch) - 2015/2016</v>
      </c>
      <c r="I691">
        <f>VLOOKUP(C691,[1]products!$A:$D,4,FALSE)</f>
        <v>1</v>
      </c>
      <c r="J691" t="str">
        <f>VLOOKUP(I691,[2]categories!$A$1:$B$8,2,FALSE)</f>
        <v>Children Bicycles</v>
      </c>
    </row>
    <row r="692" customHeight="1" spans="1:10">
      <c r="A692" s="1">
        <v>245</v>
      </c>
      <c r="B692" s="1">
        <v>1</v>
      </c>
      <c r="C692" s="1">
        <v>10</v>
      </c>
      <c r="D692" s="1">
        <v>2</v>
      </c>
      <c r="E692" s="1">
        <v>1549</v>
      </c>
      <c r="F692" s="1">
        <v>0.05</v>
      </c>
      <c r="G692">
        <f t="shared" si="10"/>
        <v>3097.95</v>
      </c>
      <c r="H692" t="str">
        <f>VLOOKUP(C692,[1]products!$A:$B,2,FALSE)</f>
        <v>Surly Straggler - 2016</v>
      </c>
      <c r="I692">
        <f>VLOOKUP(C692,[1]products!$A:$D,4,FALSE)</f>
        <v>4</v>
      </c>
      <c r="J692" t="str">
        <f>VLOOKUP(I692,[2]categories!$A$1:$B$8,2,FALSE)</f>
        <v>Cyclocross Bicycles</v>
      </c>
    </row>
    <row r="693" customHeight="1" spans="1:10">
      <c r="A693" s="1">
        <v>245</v>
      </c>
      <c r="B693" s="1">
        <v>2</v>
      </c>
      <c r="C693" s="1">
        <v>8</v>
      </c>
      <c r="D693" s="1">
        <v>1</v>
      </c>
      <c r="E693" s="1">
        <v>1799.99</v>
      </c>
      <c r="F693" s="1">
        <v>0.1</v>
      </c>
      <c r="G693">
        <f t="shared" si="10"/>
        <v>1799.89</v>
      </c>
      <c r="H693" t="str">
        <f>VLOOKUP(C693,[1]products!$A:$B,2,FALSE)</f>
        <v>Trek Remedy 29 Carbon Frameset - 2016</v>
      </c>
      <c r="I693">
        <f>VLOOKUP(C693,[1]products!$A:$D,4,FALSE)</f>
        <v>6</v>
      </c>
      <c r="J693" t="str">
        <f>VLOOKUP(I693,[2]categories!$A$1:$B$8,2,FALSE)</f>
        <v>Mountain Bikes</v>
      </c>
    </row>
    <row r="694" customHeight="1" spans="1:10">
      <c r="A694" s="1">
        <v>246</v>
      </c>
      <c r="B694" s="1">
        <v>1</v>
      </c>
      <c r="C694" s="1">
        <v>17</v>
      </c>
      <c r="D694" s="1">
        <v>2</v>
      </c>
      <c r="E694" s="1">
        <v>429</v>
      </c>
      <c r="F694" s="1">
        <v>0.2</v>
      </c>
      <c r="G694">
        <f t="shared" si="10"/>
        <v>857.8</v>
      </c>
      <c r="H694" t="str">
        <f>VLOOKUP(C694,[1]products!$A:$B,2,FALSE)</f>
        <v>Pure Cycles Vine 8-Speed - 2016</v>
      </c>
      <c r="I694">
        <f>VLOOKUP(C694,[1]products!$A:$D,4,FALSE)</f>
        <v>3</v>
      </c>
      <c r="J694" t="str">
        <f>VLOOKUP(I694,[2]categories!$A$1:$B$8,2,FALSE)</f>
        <v>Cruisers Bicycles</v>
      </c>
    </row>
    <row r="695" customHeight="1" spans="1:10">
      <c r="A695" s="1">
        <v>247</v>
      </c>
      <c r="B695" s="1">
        <v>1</v>
      </c>
      <c r="C695" s="1">
        <v>25</v>
      </c>
      <c r="D695" s="1">
        <v>1</v>
      </c>
      <c r="E695" s="1">
        <v>499.99</v>
      </c>
      <c r="F695" s="1">
        <v>0.07</v>
      </c>
      <c r="G695">
        <f t="shared" si="10"/>
        <v>499.92</v>
      </c>
      <c r="H695" t="str">
        <f>VLOOKUP(C695,[1]products!$A:$B,2,FALSE)</f>
        <v>Electra Townie Original 7D - 2015/2016</v>
      </c>
      <c r="I695">
        <f>VLOOKUP(C695,[1]products!$A:$D,4,FALSE)</f>
        <v>2</v>
      </c>
      <c r="J695" t="str">
        <f>VLOOKUP(I695,[2]categories!$A$1:$B$8,2,FALSE)</f>
        <v>Comfort Bicycles</v>
      </c>
    </row>
    <row r="696" customHeight="1" spans="1:10">
      <c r="A696" s="1">
        <v>247</v>
      </c>
      <c r="B696" s="1">
        <v>2</v>
      </c>
      <c r="C696" s="1">
        <v>3</v>
      </c>
      <c r="D696" s="1">
        <v>1</v>
      </c>
      <c r="E696" s="1">
        <v>999.99</v>
      </c>
      <c r="F696" s="1">
        <v>0.2</v>
      </c>
      <c r="G696">
        <f t="shared" si="10"/>
        <v>999.79</v>
      </c>
      <c r="H696" t="str">
        <f>VLOOKUP(C696,[1]products!$A:$B,2,FALSE)</f>
        <v>Surly Wednesday Frameset - 2016</v>
      </c>
      <c r="I696">
        <f>VLOOKUP(C696,[1]products!$A:$D,4,FALSE)</f>
        <v>6</v>
      </c>
      <c r="J696" t="str">
        <f>VLOOKUP(I696,[2]categories!$A$1:$B$8,2,FALSE)</f>
        <v>Mountain Bikes</v>
      </c>
    </row>
    <row r="697" customHeight="1" spans="1:10">
      <c r="A697" s="1">
        <v>248</v>
      </c>
      <c r="B697" s="1">
        <v>1</v>
      </c>
      <c r="C697" s="1">
        <v>13</v>
      </c>
      <c r="D697" s="1">
        <v>1</v>
      </c>
      <c r="E697" s="1">
        <v>269.99</v>
      </c>
      <c r="F697" s="1">
        <v>0.1</v>
      </c>
      <c r="G697">
        <f t="shared" si="10"/>
        <v>269.89</v>
      </c>
      <c r="H697" t="str">
        <f>VLOOKUP(C697,[1]products!$A:$B,2,FALSE)</f>
        <v>Electra Cruiser 1 (24-Inch) - 2016</v>
      </c>
      <c r="I697">
        <f>VLOOKUP(C697,[1]products!$A:$D,4,FALSE)</f>
        <v>3</v>
      </c>
      <c r="J697" t="str">
        <f>VLOOKUP(I697,[2]categories!$A$1:$B$8,2,FALSE)</f>
        <v>Cruisers Bicycles</v>
      </c>
    </row>
    <row r="698" customHeight="1" spans="1:10">
      <c r="A698" s="1">
        <v>248</v>
      </c>
      <c r="B698" s="1">
        <v>2</v>
      </c>
      <c r="C698" s="1">
        <v>26</v>
      </c>
      <c r="D698" s="1">
        <v>2</v>
      </c>
      <c r="E698" s="1">
        <v>599.99</v>
      </c>
      <c r="F698" s="1">
        <v>0.1</v>
      </c>
      <c r="G698">
        <f t="shared" si="10"/>
        <v>1199.88</v>
      </c>
      <c r="H698" t="str">
        <f>VLOOKUP(C698,[1]products!$A:$B,2,FALSE)</f>
        <v>Electra Townie Original 7D EQ - 2016</v>
      </c>
      <c r="I698">
        <f>VLOOKUP(C698,[1]products!$A:$D,4,FALSE)</f>
        <v>2</v>
      </c>
      <c r="J698" t="str">
        <f>VLOOKUP(I698,[2]categories!$A$1:$B$8,2,FALSE)</f>
        <v>Comfort Bicycles</v>
      </c>
    </row>
    <row r="699" customHeight="1" spans="1:10">
      <c r="A699" s="1">
        <v>248</v>
      </c>
      <c r="B699" s="1">
        <v>3</v>
      </c>
      <c r="C699" s="1">
        <v>17</v>
      </c>
      <c r="D699" s="1">
        <v>1</v>
      </c>
      <c r="E699" s="1">
        <v>429</v>
      </c>
      <c r="F699" s="1">
        <v>0.1</v>
      </c>
      <c r="G699">
        <f t="shared" si="10"/>
        <v>428.9</v>
      </c>
      <c r="H699" t="str">
        <f>VLOOKUP(C699,[1]products!$A:$B,2,FALSE)</f>
        <v>Pure Cycles Vine 8-Speed - 2016</v>
      </c>
      <c r="I699">
        <f>VLOOKUP(C699,[1]products!$A:$D,4,FALSE)</f>
        <v>3</v>
      </c>
      <c r="J699" t="str">
        <f>VLOOKUP(I699,[2]categories!$A$1:$B$8,2,FALSE)</f>
        <v>Cruisers Bicycles</v>
      </c>
    </row>
    <row r="700" customHeight="1" spans="1:10">
      <c r="A700" s="1">
        <v>248</v>
      </c>
      <c r="B700" s="1">
        <v>4</v>
      </c>
      <c r="C700" s="1">
        <v>9</v>
      </c>
      <c r="D700" s="1">
        <v>1</v>
      </c>
      <c r="E700" s="1">
        <v>2999.99</v>
      </c>
      <c r="F700" s="1">
        <v>0.2</v>
      </c>
      <c r="G700">
        <f t="shared" si="10"/>
        <v>2999.79</v>
      </c>
      <c r="H700" t="str">
        <f>VLOOKUP(C700,[1]products!$A:$B,2,FALSE)</f>
        <v>Trek Conduit+ - 2016</v>
      </c>
      <c r="I700">
        <f>VLOOKUP(C700,[1]products!$A:$D,4,FALSE)</f>
        <v>5</v>
      </c>
      <c r="J700" t="str">
        <f>VLOOKUP(I700,[2]categories!$A$1:$B$8,2,FALSE)</f>
        <v>Electric Bikes</v>
      </c>
    </row>
    <row r="701" customHeight="1" spans="1:10">
      <c r="A701" s="1">
        <v>249</v>
      </c>
      <c r="B701" s="1">
        <v>1</v>
      </c>
      <c r="C701" s="1">
        <v>7</v>
      </c>
      <c r="D701" s="1">
        <v>2</v>
      </c>
      <c r="E701" s="1">
        <v>3999.99</v>
      </c>
      <c r="F701" s="1">
        <v>0.05</v>
      </c>
      <c r="G701">
        <f t="shared" si="10"/>
        <v>7999.93</v>
      </c>
      <c r="H701" t="str">
        <f>VLOOKUP(C701,[1]products!$A:$B,2,FALSE)</f>
        <v>Trek Slash 8 27.5 - 2016</v>
      </c>
      <c r="I701">
        <f>VLOOKUP(C701,[1]products!$A:$D,4,FALSE)</f>
        <v>6</v>
      </c>
      <c r="J701" t="str">
        <f>VLOOKUP(I701,[2]categories!$A$1:$B$8,2,FALSE)</f>
        <v>Mountain Bikes</v>
      </c>
    </row>
    <row r="702" customHeight="1" spans="1:10">
      <c r="A702" s="1">
        <v>249</v>
      </c>
      <c r="B702" s="1">
        <v>2</v>
      </c>
      <c r="C702" s="1">
        <v>18</v>
      </c>
      <c r="D702" s="1">
        <v>2</v>
      </c>
      <c r="E702" s="1">
        <v>449</v>
      </c>
      <c r="F702" s="1">
        <v>0.05</v>
      </c>
      <c r="G702">
        <f t="shared" si="10"/>
        <v>897.95</v>
      </c>
      <c r="H702" t="str">
        <f>VLOOKUP(C702,[1]products!$A:$B,2,FALSE)</f>
        <v>Pure Cycles Western 3-Speed - Women's - 2015/2016</v>
      </c>
      <c r="I702">
        <f>VLOOKUP(C702,[1]products!$A:$D,4,FALSE)</f>
        <v>3</v>
      </c>
      <c r="J702" t="str">
        <f>VLOOKUP(I702,[2]categories!$A$1:$B$8,2,FALSE)</f>
        <v>Cruisers Bicycles</v>
      </c>
    </row>
    <row r="703" customHeight="1" spans="1:10">
      <c r="A703" s="1">
        <v>249</v>
      </c>
      <c r="B703" s="1">
        <v>3</v>
      </c>
      <c r="C703" s="1">
        <v>22</v>
      </c>
      <c r="D703" s="1">
        <v>1</v>
      </c>
      <c r="E703" s="1">
        <v>269.99</v>
      </c>
      <c r="F703" s="1">
        <v>0.1</v>
      </c>
      <c r="G703">
        <f t="shared" si="10"/>
        <v>269.89</v>
      </c>
      <c r="H703" t="str">
        <f>VLOOKUP(C703,[1]products!$A:$B,2,FALSE)</f>
        <v>Electra Girl's Hawaii 1 (16-inch) - 2015/2016</v>
      </c>
      <c r="I703">
        <f>VLOOKUP(C703,[1]products!$A:$D,4,FALSE)</f>
        <v>1</v>
      </c>
      <c r="J703" t="str">
        <f>VLOOKUP(I703,[2]categories!$A$1:$B$8,2,FALSE)</f>
        <v>Children Bicycles</v>
      </c>
    </row>
    <row r="704" customHeight="1" spans="1:10">
      <c r="A704" s="1">
        <v>250</v>
      </c>
      <c r="B704" s="1">
        <v>1</v>
      </c>
      <c r="C704" s="1">
        <v>17</v>
      </c>
      <c r="D704" s="1">
        <v>2</v>
      </c>
      <c r="E704" s="1">
        <v>429</v>
      </c>
      <c r="F704" s="1">
        <v>0.05</v>
      </c>
      <c r="G704">
        <f t="shared" si="10"/>
        <v>857.95</v>
      </c>
      <c r="H704" t="str">
        <f>VLOOKUP(C704,[1]products!$A:$B,2,FALSE)</f>
        <v>Pure Cycles Vine 8-Speed - 2016</v>
      </c>
      <c r="I704">
        <f>VLOOKUP(C704,[1]products!$A:$D,4,FALSE)</f>
        <v>3</v>
      </c>
      <c r="J704" t="str">
        <f>VLOOKUP(I704,[2]categories!$A$1:$B$8,2,FALSE)</f>
        <v>Cruisers Bicycles</v>
      </c>
    </row>
    <row r="705" customHeight="1" spans="1:10">
      <c r="A705" s="1">
        <v>250</v>
      </c>
      <c r="B705" s="1">
        <v>2</v>
      </c>
      <c r="C705" s="1">
        <v>11</v>
      </c>
      <c r="D705" s="1">
        <v>2</v>
      </c>
      <c r="E705" s="1">
        <v>1680.99</v>
      </c>
      <c r="F705" s="1">
        <v>0.1</v>
      </c>
      <c r="G705">
        <f t="shared" si="10"/>
        <v>3361.88</v>
      </c>
      <c r="H705" t="str">
        <f>VLOOKUP(C705,[1]products!$A:$B,2,FALSE)</f>
        <v>Surly Straggler 650b - 2016</v>
      </c>
      <c r="I705">
        <f>VLOOKUP(C705,[1]products!$A:$D,4,FALSE)</f>
        <v>4</v>
      </c>
      <c r="J705" t="str">
        <f>VLOOKUP(I705,[2]categories!$A$1:$B$8,2,FALSE)</f>
        <v>Cyclocross Bicycles</v>
      </c>
    </row>
    <row r="706" customHeight="1" spans="1:10">
      <c r="A706" s="1">
        <v>251</v>
      </c>
      <c r="B706" s="1">
        <v>1</v>
      </c>
      <c r="C706" s="1">
        <v>23</v>
      </c>
      <c r="D706" s="1">
        <v>2</v>
      </c>
      <c r="E706" s="1">
        <v>299.99</v>
      </c>
      <c r="F706" s="1">
        <v>0.2</v>
      </c>
      <c r="G706">
        <f t="shared" si="10"/>
        <v>599.78</v>
      </c>
      <c r="H706" t="str">
        <f>VLOOKUP(C706,[1]products!$A:$B,2,FALSE)</f>
        <v>Electra Girl's Hawaii 1 (20-inch) - 2015/2016</v>
      </c>
      <c r="I706">
        <f>VLOOKUP(C706,[1]products!$A:$D,4,FALSE)</f>
        <v>1</v>
      </c>
      <c r="J706" t="str">
        <f>VLOOKUP(I706,[2]categories!$A$1:$B$8,2,FALSE)</f>
        <v>Children Bicycles</v>
      </c>
    </row>
    <row r="707" customHeight="1" spans="1:10">
      <c r="A707" s="1">
        <v>251</v>
      </c>
      <c r="B707" s="1">
        <v>2</v>
      </c>
      <c r="C707" s="1">
        <v>22</v>
      </c>
      <c r="D707" s="1">
        <v>2</v>
      </c>
      <c r="E707" s="1">
        <v>269.99</v>
      </c>
      <c r="F707" s="1">
        <v>0.05</v>
      </c>
      <c r="G707">
        <f t="shared" ref="G707:G770" si="11">(E707*D707)-F707</f>
        <v>539.93</v>
      </c>
      <c r="H707" t="str">
        <f>VLOOKUP(C707,[1]products!$A:$B,2,FALSE)</f>
        <v>Electra Girl's Hawaii 1 (16-inch) - 2015/2016</v>
      </c>
      <c r="I707">
        <f>VLOOKUP(C707,[1]products!$A:$D,4,FALSE)</f>
        <v>1</v>
      </c>
      <c r="J707" t="str">
        <f>VLOOKUP(I707,[2]categories!$A$1:$B$8,2,FALSE)</f>
        <v>Children Bicycles</v>
      </c>
    </row>
    <row r="708" customHeight="1" spans="1:10">
      <c r="A708" s="1">
        <v>252</v>
      </c>
      <c r="B708" s="1">
        <v>1</v>
      </c>
      <c r="C708" s="1">
        <v>11</v>
      </c>
      <c r="D708" s="1">
        <v>2</v>
      </c>
      <c r="E708" s="1">
        <v>1680.99</v>
      </c>
      <c r="F708" s="1">
        <v>0.1</v>
      </c>
      <c r="G708">
        <f t="shared" si="11"/>
        <v>3361.88</v>
      </c>
      <c r="H708" t="str">
        <f>VLOOKUP(C708,[1]products!$A:$B,2,FALSE)</f>
        <v>Surly Straggler 650b - 2016</v>
      </c>
      <c r="I708">
        <f>VLOOKUP(C708,[1]products!$A:$D,4,FALSE)</f>
        <v>4</v>
      </c>
      <c r="J708" t="str">
        <f>VLOOKUP(I708,[2]categories!$A$1:$B$8,2,FALSE)</f>
        <v>Cyclocross Bicycles</v>
      </c>
    </row>
    <row r="709" customHeight="1" spans="1:10">
      <c r="A709" s="1">
        <v>252</v>
      </c>
      <c r="B709" s="1">
        <v>2</v>
      </c>
      <c r="C709" s="1">
        <v>4</v>
      </c>
      <c r="D709" s="1">
        <v>1</v>
      </c>
      <c r="E709" s="1">
        <v>2899.99</v>
      </c>
      <c r="F709" s="1">
        <v>0.07</v>
      </c>
      <c r="G709">
        <f t="shared" si="11"/>
        <v>2899.92</v>
      </c>
      <c r="H709" t="str">
        <f>VLOOKUP(C709,[1]products!$A:$B,2,FALSE)</f>
        <v>Trek Fuel EX 8 29 - 2016</v>
      </c>
      <c r="I709">
        <f>VLOOKUP(C709,[1]products!$A:$D,4,FALSE)</f>
        <v>6</v>
      </c>
      <c r="J709" t="str">
        <f>VLOOKUP(I709,[2]categories!$A$1:$B$8,2,FALSE)</f>
        <v>Mountain Bikes</v>
      </c>
    </row>
    <row r="710" customHeight="1" spans="1:10">
      <c r="A710" s="1">
        <v>252</v>
      </c>
      <c r="B710" s="1">
        <v>3</v>
      </c>
      <c r="C710" s="1">
        <v>19</v>
      </c>
      <c r="D710" s="1">
        <v>1</v>
      </c>
      <c r="E710" s="1">
        <v>449</v>
      </c>
      <c r="F710" s="1">
        <v>0.1</v>
      </c>
      <c r="G710">
        <f t="shared" si="11"/>
        <v>448.9</v>
      </c>
      <c r="H710" t="str">
        <f>VLOOKUP(C710,[1]products!$A:$B,2,FALSE)</f>
        <v>Pure Cycles William 3-Speed - 2016</v>
      </c>
      <c r="I710">
        <f>VLOOKUP(C710,[1]products!$A:$D,4,FALSE)</f>
        <v>3</v>
      </c>
      <c r="J710" t="str">
        <f>VLOOKUP(I710,[2]categories!$A$1:$B$8,2,FALSE)</f>
        <v>Cruisers Bicycles</v>
      </c>
    </row>
    <row r="711" customHeight="1" spans="1:10">
      <c r="A711" s="1">
        <v>253</v>
      </c>
      <c r="B711" s="1">
        <v>1</v>
      </c>
      <c r="C711" s="1">
        <v>11</v>
      </c>
      <c r="D711" s="1">
        <v>2</v>
      </c>
      <c r="E711" s="1">
        <v>1680.99</v>
      </c>
      <c r="F711" s="1">
        <v>0.07</v>
      </c>
      <c r="G711">
        <f t="shared" si="11"/>
        <v>3361.91</v>
      </c>
      <c r="H711" t="str">
        <f>VLOOKUP(C711,[1]products!$A:$B,2,FALSE)</f>
        <v>Surly Straggler 650b - 2016</v>
      </c>
      <c r="I711">
        <f>VLOOKUP(C711,[1]products!$A:$D,4,FALSE)</f>
        <v>4</v>
      </c>
      <c r="J711" t="str">
        <f>VLOOKUP(I711,[2]categories!$A$1:$B$8,2,FALSE)</f>
        <v>Cyclocross Bicycles</v>
      </c>
    </row>
    <row r="712" customHeight="1" spans="1:10">
      <c r="A712" s="1">
        <v>254</v>
      </c>
      <c r="B712" s="1">
        <v>1</v>
      </c>
      <c r="C712" s="1">
        <v>6</v>
      </c>
      <c r="D712" s="1">
        <v>2</v>
      </c>
      <c r="E712" s="1">
        <v>469.99</v>
      </c>
      <c r="F712" s="1">
        <v>0.07</v>
      </c>
      <c r="G712">
        <f t="shared" si="11"/>
        <v>939.91</v>
      </c>
      <c r="H712" t="str">
        <f>VLOOKUP(C712,[1]products!$A:$B,2,FALSE)</f>
        <v>Surly Ice Cream Truck Frameset - 2016</v>
      </c>
      <c r="I712">
        <f>VLOOKUP(C712,[1]products!$A:$D,4,FALSE)</f>
        <v>6</v>
      </c>
      <c r="J712" t="str">
        <f>VLOOKUP(I712,[2]categories!$A$1:$B$8,2,FALSE)</f>
        <v>Mountain Bikes</v>
      </c>
    </row>
    <row r="713" customHeight="1" spans="1:10">
      <c r="A713" s="1">
        <v>254</v>
      </c>
      <c r="B713" s="1">
        <v>2</v>
      </c>
      <c r="C713" s="1">
        <v>3</v>
      </c>
      <c r="D713" s="1">
        <v>1</v>
      </c>
      <c r="E713" s="1">
        <v>999.99</v>
      </c>
      <c r="F713" s="1">
        <v>0.05</v>
      </c>
      <c r="G713">
        <f t="shared" si="11"/>
        <v>999.94</v>
      </c>
      <c r="H713" t="str">
        <f>VLOOKUP(C713,[1]products!$A:$B,2,FALSE)</f>
        <v>Surly Wednesday Frameset - 2016</v>
      </c>
      <c r="I713">
        <f>VLOOKUP(C713,[1]products!$A:$D,4,FALSE)</f>
        <v>6</v>
      </c>
      <c r="J713" t="str">
        <f>VLOOKUP(I713,[2]categories!$A$1:$B$8,2,FALSE)</f>
        <v>Mountain Bikes</v>
      </c>
    </row>
    <row r="714" customHeight="1" spans="1:10">
      <c r="A714" s="1">
        <v>254</v>
      </c>
      <c r="B714" s="1">
        <v>3</v>
      </c>
      <c r="C714" s="1">
        <v>12</v>
      </c>
      <c r="D714" s="1">
        <v>1</v>
      </c>
      <c r="E714" s="1">
        <v>549.99</v>
      </c>
      <c r="F714" s="1">
        <v>0.05</v>
      </c>
      <c r="G714">
        <f t="shared" si="11"/>
        <v>549.94</v>
      </c>
      <c r="H714" t="str">
        <f>VLOOKUP(C714,[1]products!$A:$B,2,FALSE)</f>
        <v>Electra Townie Original 21D - 2016</v>
      </c>
      <c r="I714">
        <f>VLOOKUP(C714,[1]products!$A:$D,4,FALSE)</f>
        <v>3</v>
      </c>
      <c r="J714" t="str">
        <f>VLOOKUP(I714,[2]categories!$A$1:$B$8,2,FALSE)</f>
        <v>Cruisers Bicycles</v>
      </c>
    </row>
    <row r="715" customHeight="1" spans="1:10">
      <c r="A715" s="1">
        <v>255</v>
      </c>
      <c r="B715" s="1">
        <v>1</v>
      </c>
      <c r="C715" s="1">
        <v>5</v>
      </c>
      <c r="D715" s="1">
        <v>2</v>
      </c>
      <c r="E715" s="1">
        <v>1320.99</v>
      </c>
      <c r="F715" s="1">
        <v>0.1</v>
      </c>
      <c r="G715">
        <f t="shared" si="11"/>
        <v>2641.88</v>
      </c>
      <c r="H715" t="str">
        <f>VLOOKUP(C715,[1]products!$A:$B,2,FALSE)</f>
        <v>Heller Shagamaw Frame - 2016</v>
      </c>
      <c r="I715">
        <f>VLOOKUP(C715,[1]products!$A:$D,4,FALSE)</f>
        <v>6</v>
      </c>
      <c r="J715" t="str">
        <f>VLOOKUP(I715,[2]categories!$A$1:$B$8,2,FALSE)</f>
        <v>Mountain Bikes</v>
      </c>
    </row>
    <row r="716" customHeight="1" spans="1:10">
      <c r="A716" s="1">
        <v>255</v>
      </c>
      <c r="B716" s="1">
        <v>2</v>
      </c>
      <c r="C716" s="1">
        <v>14</v>
      </c>
      <c r="D716" s="1">
        <v>1</v>
      </c>
      <c r="E716" s="1">
        <v>269.99</v>
      </c>
      <c r="F716" s="1">
        <v>0.2</v>
      </c>
      <c r="G716">
        <f t="shared" si="11"/>
        <v>269.79</v>
      </c>
      <c r="H716" t="str">
        <f>VLOOKUP(C716,[1]products!$A:$B,2,FALSE)</f>
        <v>Electra Girl's Hawaii 1 (16-inch) - 2015/2016</v>
      </c>
      <c r="I716">
        <f>VLOOKUP(C716,[1]products!$A:$D,4,FALSE)</f>
        <v>3</v>
      </c>
      <c r="J716" t="str">
        <f>VLOOKUP(I716,[2]categories!$A$1:$B$8,2,FALSE)</f>
        <v>Cruisers Bicycles</v>
      </c>
    </row>
    <row r="717" customHeight="1" spans="1:10">
      <c r="A717" s="1">
        <v>255</v>
      </c>
      <c r="B717" s="1">
        <v>3</v>
      </c>
      <c r="C717" s="1">
        <v>2</v>
      </c>
      <c r="D717" s="1">
        <v>2</v>
      </c>
      <c r="E717" s="1">
        <v>749.99</v>
      </c>
      <c r="F717" s="1">
        <v>0.2</v>
      </c>
      <c r="G717">
        <f t="shared" si="11"/>
        <v>1499.78</v>
      </c>
      <c r="H717" t="str">
        <f>VLOOKUP(C717,[1]products!$A:$B,2,FALSE)</f>
        <v>Ritchey Timberwolf Frameset - 2016</v>
      </c>
      <c r="I717">
        <f>VLOOKUP(C717,[1]products!$A:$D,4,FALSE)</f>
        <v>6</v>
      </c>
      <c r="J717" t="str">
        <f>VLOOKUP(I717,[2]categories!$A$1:$B$8,2,FALSE)</f>
        <v>Mountain Bikes</v>
      </c>
    </row>
    <row r="718" customHeight="1" spans="1:10">
      <c r="A718" s="1">
        <v>255</v>
      </c>
      <c r="B718" s="1">
        <v>4</v>
      </c>
      <c r="C718" s="1">
        <v>21</v>
      </c>
      <c r="D718" s="1">
        <v>1</v>
      </c>
      <c r="E718" s="1">
        <v>269.99</v>
      </c>
      <c r="F718" s="1">
        <v>0.07</v>
      </c>
      <c r="G718">
        <f t="shared" si="11"/>
        <v>269.92</v>
      </c>
      <c r="H718" t="str">
        <f>VLOOKUP(C718,[1]products!$A:$B,2,FALSE)</f>
        <v>Electra Cruiser 1 (24-Inch) - 2016</v>
      </c>
      <c r="I718">
        <f>VLOOKUP(C718,[1]products!$A:$D,4,FALSE)</f>
        <v>1</v>
      </c>
      <c r="J718" t="str">
        <f>VLOOKUP(I718,[2]categories!$A$1:$B$8,2,FALSE)</f>
        <v>Children Bicycles</v>
      </c>
    </row>
    <row r="719" customHeight="1" spans="1:10">
      <c r="A719" s="1">
        <v>256</v>
      </c>
      <c r="B719" s="1">
        <v>1</v>
      </c>
      <c r="C719" s="1">
        <v>11</v>
      </c>
      <c r="D719" s="1">
        <v>1</v>
      </c>
      <c r="E719" s="1">
        <v>1680.99</v>
      </c>
      <c r="F719" s="1">
        <v>0.1</v>
      </c>
      <c r="G719">
        <f t="shared" si="11"/>
        <v>1680.89</v>
      </c>
      <c r="H719" t="str">
        <f>VLOOKUP(C719,[1]products!$A:$B,2,FALSE)</f>
        <v>Surly Straggler 650b - 2016</v>
      </c>
      <c r="I719">
        <f>VLOOKUP(C719,[1]products!$A:$D,4,FALSE)</f>
        <v>4</v>
      </c>
      <c r="J719" t="str">
        <f>VLOOKUP(I719,[2]categories!$A$1:$B$8,2,FALSE)</f>
        <v>Cyclocross Bicycles</v>
      </c>
    </row>
    <row r="720" customHeight="1" spans="1:10">
      <c r="A720" s="1">
        <v>256</v>
      </c>
      <c r="B720" s="1">
        <v>2</v>
      </c>
      <c r="C720" s="1">
        <v>21</v>
      </c>
      <c r="D720" s="1">
        <v>1</v>
      </c>
      <c r="E720" s="1">
        <v>269.99</v>
      </c>
      <c r="F720" s="1">
        <v>0.05</v>
      </c>
      <c r="G720">
        <f t="shared" si="11"/>
        <v>269.94</v>
      </c>
      <c r="H720" t="str">
        <f>VLOOKUP(C720,[1]products!$A:$B,2,FALSE)</f>
        <v>Electra Cruiser 1 (24-Inch) - 2016</v>
      </c>
      <c r="I720">
        <f>VLOOKUP(C720,[1]products!$A:$D,4,FALSE)</f>
        <v>1</v>
      </c>
      <c r="J720" t="str">
        <f>VLOOKUP(I720,[2]categories!$A$1:$B$8,2,FALSE)</f>
        <v>Children Bicycles</v>
      </c>
    </row>
    <row r="721" customHeight="1" spans="1:10">
      <c r="A721" s="1">
        <v>257</v>
      </c>
      <c r="B721" s="1">
        <v>1</v>
      </c>
      <c r="C721" s="1">
        <v>8</v>
      </c>
      <c r="D721" s="1">
        <v>2</v>
      </c>
      <c r="E721" s="1">
        <v>1799.99</v>
      </c>
      <c r="F721" s="1">
        <v>0.07</v>
      </c>
      <c r="G721">
        <f t="shared" si="11"/>
        <v>3599.91</v>
      </c>
      <c r="H721" t="str">
        <f>VLOOKUP(C721,[1]products!$A:$B,2,FALSE)</f>
        <v>Trek Remedy 29 Carbon Frameset - 2016</v>
      </c>
      <c r="I721">
        <f>VLOOKUP(C721,[1]products!$A:$D,4,FALSE)</f>
        <v>6</v>
      </c>
      <c r="J721" t="str">
        <f>VLOOKUP(I721,[2]categories!$A$1:$B$8,2,FALSE)</f>
        <v>Mountain Bikes</v>
      </c>
    </row>
    <row r="722" customHeight="1" spans="1:10">
      <c r="A722" s="1">
        <v>257</v>
      </c>
      <c r="B722" s="1">
        <v>2</v>
      </c>
      <c r="C722" s="1">
        <v>13</v>
      </c>
      <c r="D722" s="1">
        <v>2</v>
      </c>
      <c r="E722" s="1">
        <v>269.99</v>
      </c>
      <c r="F722" s="1">
        <v>0.2</v>
      </c>
      <c r="G722">
        <f t="shared" si="11"/>
        <v>539.78</v>
      </c>
      <c r="H722" t="str">
        <f>VLOOKUP(C722,[1]products!$A:$B,2,FALSE)</f>
        <v>Electra Cruiser 1 (24-Inch) - 2016</v>
      </c>
      <c r="I722">
        <f>VLOOKUP(C722,[1]products!$A:$D,4,FALSE)</f>
        <v>3</v>
      </c>
      <c r="J722" t="str">
        <f>VLOOKUP(I722,[2]categories!$A$1:$B$8,2,FALSE)</f>
        <v>Cruisers Bicycles</v>
      </c>
    </row>
    <row r="723" customHeight="1" spans="1:10">
      <c r="A723" s="1">
        <v>257</v>
      </c>
      <c r="B723" s="1">
        <v>3</v>
      </c>
      <c r="C723" s="1">
        <v>10</v>
      </c>
      <c r="D723" s="1">
        <v>2</v>
      </c>
      <c r="E723" s="1">
        <v>1549</v>
      </c>
      <c r="F723" s="1">
        <v>0.1</v>
      </c>
      <c r="G723">
        <f t="shared" si="11"/>
        <v>3097.9</v>
      </c>
      <c r="H723" t="str">
        <f>VLOOKUP(C723,[1]products!$A:$B,2,FALSE)</f>
        <v>Surly Straggler - 2016</v>
      </c>
      <c r="I723">
        <f>VLOOKUP(C723,[1]products!$A:$D,4,FALSE)</f>
        <v>4</v>
      </c>
      <c r="J723" t="str">
        <f>VLOOKUP(I723,[2]categories!$A$1:$B$8,2,FALSE)</f>
        <v>Cyclocross Bicycles</v>
      </c>
    </row>
    <row r="724" customHeight="1" spans="1:10">
      <c r="A724" s="1">
        <v>257</v>
      </c>
      <c r="B724" s="1">
        <v>4</v>
      </c>
      <c r="C724" s="1">
        <v>15</v>
      </c>
      <c r="D724" s="1">
        <v>1</v>
      </c>
      <c r="E724" s="1">
        <v>529.99</v>
      </c>
      <c r="F724" s="1">
        <v>0.1</v>
      </c>
      <c r="G724">
        <f t="shared" si="11"/>
        <v>529.89</v>
      </c>
      <c r="H724" t="str">
        <f>VLOOKUP(C724,[1]products!$A:$B,2,FALSE)</f>
        <v>Electra Moto 1 - 2016</v>
      </c>
      <c r="I724">
        <f>VLOOKUP(C724,[1]products!$A:$D,4,FALSE)</f>
        <v>3</v>
      </c>
      <c r="J724" t="str">
        <f>VLOOKUP(I724,[2]categories!$A$1:$B$8,2,FALSE)</f>
        <v>Cruisers Bicycles</v>
      </c>
    </row>
    <row r="725" customHeight="1" spans="1:10">
      <c r="A725" s="1">
        <v>258</v>
      </c>
      <c r="B725" s="1">
        <v>1</v>
      </c>
      <c r="C725" s="1">
        <v>8</v>
      </c>
      <c r="D725" s="1">
        <v>2</v>
      </c>
      <c r="E725" s="1">
        <v>1799.99</v>
      </c>
      <c r="F725" s="1">
        <v>0.05</v>
      </c>
      <c r="G725">
        <f t="shared" si="11"/>
        <v>3599.93</v>
      </c>
      <c r="H725" t="str">
        <f>VLOOKUP(C725,[1]products!$A:$B,2,FALSE)</f>
        <v>Trek Remedy 29 Carbon Frameset - 2016</v>
      </c>
      <c r="I725">
        <f>VLOOKUP(C725,[1]products!$A:$D,4,FALSE)</f>
        <v>6</v>
      </c>
      <c r="J725" t="str">
        <f>VLOOKUP(I725,[2]categories!$A$1:$B$8,2,FALSE)</f>
        <v>Mountain Bikes</v>
      </c>
    </row>
    <row r="726" customHeight="1" spans="1:10">
      <c r="A726" s="1">
        <v>258</v>
      </c>
      <c r="B726" s="1">
        <v>2</v>
      </c>
      <c r="C726" s="1">
        <v>4</v>
      </c>
      <c r="D726" s="1">
        <v>1</v>
      </c>
      <c r="E726" s="1">
        <v>2899.99</v>
      </c>
      <c r="F726" s="1">
        <v>0.07</v>
      </c>
      <c r="G726">
        <f t="shared" si="11"/>
        <v>2899.92</v>
      </c>
      <c r="H726" t="str">
        <f>VLOOKUP(C726,[1]products!$A:$B,2,FALSE)</f>
        <v>Trek Fuel EX 8 29 - 2016</v>
      </c>
      <c r="I726">
        <f>VLOOKUP(C726,[1]products!$A:$D,4,FALSE)</f>
        <v>6</v>
      </c>
      <c r="J726" t="str">
        <f>VLOOKUP(I726,[2]categories!$A$1:$B$8,2,FALSE)</f>
        <v>Mountain Bikes</v>
      </c>
    </row>
    <row r="727" customHeight="1" spans="1:10">
      <c r="A727" s="1">
        <v>258</v>
      </c>
      <c r="B727" s="1">
        <v>3</v>
      </c>
      <c r="C727" s="1">
        <v>19</v>
      </c>
      <c r="D727" s="1">
        <v>1</v>
      </c>
      <c r="E727" s="1">
        <v>449</v>
      </c>
      <c r="F727" s="1">
        <v>0.07</v>
      </c>
      <c r="G727">
        <f t="shared" si="11"/>
        <v>448.93</v>
      </c>
      <c r="H727" t="str">
        <f>VLOOKUP(C727,[1]products!$A:$B,2,FALSE)</f>
        <v>Pure Cycles William 3-Speed - 2016</v>
      </c>
      <c r="I727">
        <f>VLOOKUP(C727,[1]products!$A:$D,4,FALSE)</f>
        <v>3</v>
      </c>
      <c r="J727" t="str">
        <f>VLOOKUP(I727,[2]categories!$A$1:$B$8,2,FALSE)</f>
        <v>Cruisers Bicycles</v>
      </c>
    </row>
    <row r="728" customHeight="1" spans="1:10">
      <c r="A728" s="1">
        <v>258</v>
      </c>
      <c r="B728" s="1">
        <v>4</v>
      </c>
      <c r="C728" s="1">
        <v>18</v>
      </c>
      <c r="D728" s="1">
        <v>1</v>
      </c>
      <c r="E728" s="1">
        <v>449</v>
      </c>
      <c r="F728" s="1">
        <v>0.05</v>
      </c>
      <c r="G728">
        <f t="shared" si="11"/>
        <v>448.95</v>
      </c>
      <c r="H728" t="str">
        <f>VLOOKUP(C728,[1]products!$A:$B,2,FALSE)</f>
        <v>Pure Cycles Western 3-Speed - Women's - 2015/2016</v>
      </c>
      <c r="I728">
        <f>VLOOKUP(C728,[1]products!$A:$D,4,FALSE)</f>
        <v>3</v>
      </c>
      <c r="J728" t="str">
        <f>VLOOKUP(I728,[2]categories!$A$1:$B$8,2,FALSE)</f>
        <v>Cruisers Bicycles</v>
      </c>
    </row>
    <row r="729" customHeight="1" spans="1:10">
      <c r="A729" s="1">
        <v>259</v>
      </c>
      <c r="B729" s="1">
        <v>1</v>
      </c>
      <c r="C729" s="1">
        <v>26</v>
      </c>
      <c r="D729" s="1">
        <v>1</v>
      </c>
      <c r="E729" s="1">
        <v>599.99</v>
      </c>
      <c r="F729" s="1">
        <v>0.05</v>
      </c>
      <c r="G729">
        <f t="shared" si="11"/>
        <v>599.94</v>
      </c>
      <c r="H729" t="str">
        <f>VLOOKUP(C729,[1]products!$A:$B,2,FALSE)</f>
        <v>Electra Townie Original 7D EQ - 2016</v>
      </c>
      <c r="I729">
        <f>VLOOKUP(C729,[1]products!$A:$D,4,FALSE)</f>
        <v>2</v>
      </c>
      <c r="J729" t="str">
        <f>VLOOKUP(I729,[2]categories!$A$1:$B$8,2,FALSE)</f>
        <v>Comfort Bicycles</v>
      </c>
    </row>
    <row r="730" customHeight="1" spans="1:10">
      <c r="A730" s="1">
        <v>259</v>
      </c>
      <c r="B730" s="1">
        <v>2</v>
      </c>
      <c r="C730" s="1">
        <v>6</v>
      </c>
      <c r="D730" s="1">
        <v>2</v>
      </c>
      <c r="E730" s="1">
        <v>469.99</v>
      </c>
      <c r="F730" s="1">
        <v>0.1</v>
      </c>
      <c r="G730">
        <f t="shared" si="11"/>
        <v>939.88</v>
      </c>
      <c r="H730" t="str">
        <f>VLOOKUP(C730,[1]products!$A:$B,2,FALSE)</f>
        <v>Surly Ice Cream Truck Frameset - 2016</v>
      </c>
      <c r="I730">
        <f>VLOOKUP(C730,[1]products!$A:$D,4,FALSE)</f>
        <v>6</v>
      </c>
      <c r="J730" t="str">
        <f>VLOOKUP(I730,[2]categories!$A$1:$B$8,2,FALSE)</f>
        <v>Mountain Bikes</v>
      </c>
    </row>
    <row r="731" customHeight="1" spans="1:10">
      <c r="A731" s="1">
        <v>259</v>
      </c>
      <c r="B731" s="1">
        <v>3</v>
      </c>
      <c r="C731" s="1">
        <v>2</v>
      </c>
      <c r="D731" s="1">
        <v>2</v>
      </c>
      <c r="E731" s="1">
        <v>749.99</v>
      </c>
      <c r="F731" s="1">
        <v>0.2</v>
      </c>
      <c r="G731">
        <f t="shared" si="11"/>
        <v>1499.78</v>
      </c>
      <c r="H731" t="str">
        <f>VLOOKUP(C731,[1]products!$A:$B,2,FALSE)</f>
        <v>Ritchey Timberwolf Frameset - 2016</v>
      </c>
      <c r="I731">
        <f>VLOOKUP(C731,[1]products!$A:$D,4,FALSE)</f>
        <v>6</v>
      </c>
      <c r="J731" t="str">
        <f>VLOOKUP(I731,[2]categories!$A$1:$B$8,2,FALSE)</f>
        <v>Mountain Bikes</v>
      </c>
    </row>
    <row r="732" customHeight="1" spans="1:10">
      <c r="A732" s="1">
        <v>259</v>
      </c>
      <c r="B732" s="1">
        <v>4</v>
      </c>
      <c r="C732" s="1">
        <v>4</v>
      </c>
      <c r="D732" s="1">
        <v>1</v>
      </c>
      <c r="E732" s="1">
        <v>2899.99</v>
      </c>
      <c r="F732" s="1">
        <v>0.1</v>
      </c>
      <c r="G732">
        <f t="shared" si="11"/>
        <v>2899.89</v>
      </c>
      <c r="H732" t="str">
        <f>VLOOKUP(C732,[1]products!$A:$B,2,FALSE)</f>
        <v>Trek Fuel EX 8 29 - 2016</v>
      </c>
      <c r="I732">
        <f>VLOOKUP(C732,[1]products!$A:$D,4,FALSE)</f>
        <v>6</v>
      </c>
      <c r="J732" t="str">
        <f>VLOOKUP(I732,[2]categories!$A$1:$B$8,2,FALSE)</f>
        <v>Mountain Bikes</v>
      </c>
    </row>
    <row r="733" customHeight="1" spans="1:10">
      <c r="A733" s="1">
        <v>260</v>
      </c>
      <c r="B733" s="1">
        <v>1</v>
      </c>
      <c r="C733" s="1">
        <v>23</v>
      </c>
      <c r="D733" s="1">
        <v>2</v>
      </c>
      <c r="E733" s="1">
        <v>299.99</v>
      </c>
      <c r="F733" s="1">
        <v>0.2</v>
      </c>
      <c r="G733">
        <f t="shared" si="11"/>
        <v>599.78</v>
      </c>
      <c r="H733" t="str">
        <f>VLOOKUP(C733,[1]products!$A:$B,2,FALSE)</f>
        <v>Electra Girl's Hawaii 1 (20-inch) - 2015/2016</v>
      </c>
      <c r="I733">
        <f>VLOOKUP(C733,[1]products!$A:$D,4,FALSE)</f>
        <v>1</v>
      </c>
      <c r="J733" t="str">
        <f>VLOOKUP(I733,[2]categories!$A$1:$B$8,2,FALSE)</f>
        <v>Children Bicycles</v>
      </c>
    </row>
    <row r="734" customHeight="1" spans="1:10">
      <c r="A734" s="1">
        <v>260</v>
      </c>
      <c r="B734" s="1">
        <v>2</v>
      </c>
      <c r="C734" s="1">
        <v>10</v>
      </c>
      <c r="D734" s="1">
        <v>1</v>
      </c>
      <c r="E734" s="1">
        <v>1549</v>
      </c>
      <c r="F734" s="1">
        <v>0.2</v>
      </c>
      <c r="G734">
        <f t="shared" si="11"/>
        <v>1548.8</v>
      </c>
      <c r="H734" t="str">
        <f>VLOOKUP(C734,[1]products!$A:$B,2,FALSE)</f>
        <v>Surly Straggler - 2016</v>
      </c>
      <c r="I734">
        <f>VLOOKUP(C734,[1]products!$A:$D,4,FALSE)</f>
        <v>4</v>
      </c>
      <c r="J734" t="str">
        <f>VLOOKUP(I734,[2]categories!$A$1:$B$8,2,FALSE)</f>
        <v>Cyclocross Bicycles</v>
      </c>
    </row>
    <row r="735" customHeight="1" spans="1:10">
      <c r="A735" s="1">
        <v>260</v>
      </c>
      <c r="B735" s="1">
        <v>3</v>
      </c>
      <c r="C735" s="1">
        <v>24</v>
      </c>
      <c r="D735" s="1">
        <v>2</v>
      </c>
      <c r="E735" s="1">
        <v>549.99</v>
      </c>
      <c r="F735" s="1">
        <v>0.2</v>
      </c>
      <c r="G735">
        <f t="shared" si="11"/>
        <v>1099.78</v>
      </c>
      <c r="H735" t="str">
        <f>VLOOKUP(C735,[1]products!$A:$B,2,FALSE)</f>
        <v>Electra Townie Original 21D - 2016</v>
      </c>
      <c r="I735">
        <f>VLOOKUP(C735,[1]products!$A:$D,4,FALSE)</f>
        <v>2</v>
      </c>
      <c r="J735" t="str">
        <f>VLOOKUP(I735,[2]categories!$A$1:$B$8,2,FALSE)</f>
        <v>Comfort Bicycles</v>
      </c>
    </row>
    <row r="736" customHeight="1" spans="1:10">
      <c r="A736" s="1">
        <v>261</v>
      </c>
      <c r="B736" s="1">
        <v>1</v>
      </c>
      <c r="C736" s="1">
        <v>16</v>
      </c>
      <c r="D736" s="1">
        <v>2</v>
      </c>
      <c r="E736" s="1">
        <v>599.99</v>
      </c>
      <c r="F736" s="1">
        <v>0.05</v>
      </c>
      <c r="G736">
        <f t="shared" si="11"/>
        <v>1199.93</v>
      </c>
      <c r="H736" t="str">
        <f>VLOOKUP(C736,[1]products!$A:$B,2,FALSE)</f>
        <v>Electra Townie Original 7D EQ - 2016</v>
      </c>
      <c r="I736">
        <f>VLOOKUP(C736,[1]products!$A:$D,4,FALSE)</f>
        <v>3</v>
      </c>
      <c r="J736" t="str">
        <f>VLOOKUP(I736,[2]categories!$A$1:$B$8,2,FALSE)</f>
        <v>Cruisers Bicycles</v>
      </c>
    </row>
    <row r="737" customHeight="1" spans="1:10">
      <c r="A737" s="1">
        <v>261</v>
      </c>
      <c r="B737" s="1">
        <v>2</v>
      </c>
      <c r="C737" s="1">
        <v>14</v>
      </c>
      <c r="D737" s="1">
        <v>1</v>
      </c>
      <c r="E737" s="1">
        <v>269.99</v>
      </c>
      <c r="F737" s="1">
        <v>0.1</v>
      </c>
      <c r="G737">
        <f t="shared" si="11"/>
        <v>269.89</v>
      </c>
      <c r="H737" t="str">
        <f>VLOOKUP(C737,[1]products!$A:$B,2,FALSE)</f>
        <v>Electra Girl's Hawaii 1 (16-inch) - 2015/2016</v>
      </c>
      <c r="I737">
        <f>VLOOKUP(C737,[1]products!$A:$D,4,FALSE)</f>
        <v>3</v>
      </c>
      <c r="J737" t="str">
        <f>VLOOKUP(I737,[2]categories!$A$1:$B$8,2,FALSE)</f>
        <v>Cruisers Bicycles</v>
      </c>
    </row>
    <row r="738" customHeight="1" spans="1:10">
      <c r="A738" s="1">
        <v>261</v>
      </c>
      <c r="B738" s="1">
        <v>3</v>
      </c>
      <c r="C738" s="1">
        <v>17</v>
      </c>
      <c r="D738" s="1">
        <v>2</v>
      </c>
      <c r="E738" s="1">
        <v>429</v>
      </c>
      <c r="F738" s="1">
        <v>0.1</v>
      </c>
      <c r="G738">
        <f t="shared" si="11"/>
        <v>857.9</v>
      </c>
      <c r="H738" t="str">
        <f>VLOOKUP(C738,[1]products!$A:$B,2,FALSE)</f>
        <v>Pure Cycles Vine 8-Speed - 2016</v>
      </c>
      <c r="I738">
        <f>VLOOKUP(C738,[1]products!$A:$D,4,FALSE)</f>
        <v>3</v>
      </c>
      <c r="J738" t="str">
        <f>VLOOKUP(I738,[2]categories!$A$1:$B$8,2,FALSE)</f>
        <v>Cruisers Bicycles</v>
      </c>
    </row>
    <row r="739" customHeight="1" spans="1:10">
      <c r="A739" s="1">
        <v>262</v>
      </c>
      <c r="B739" s="1">
        <v>1</v>
      </c>
      <c r="C739" s="1">
        <v>2</v>
      </c>
      <c r="D739" s="1">
        <v>1</v>
      </c>
      <c r="E739" s="1">
        <v>749.99</v>
      </c>
      <c r="F739" s="1">
        <v>0.07</v>
      </c>
      <c r="G739">
        <f t="shared" si="11"/>
        <v>749.92</v>
      </c>
      <c r="H739" t="str">
        <f>VLOOKUP(C739,[1]products!$A:$B,2,FALSE)</f>
        <v>Ritchey Timberwolf Frameset - 2016</v>
      </c>
      <c r="I739">
        <f>VLOOKUP(C739,[1]products!$A:$D,4,FALSE)</f>
        <v>6</v>
      </c>
      <c r="J739" t="str">
        <f>VLOOKUP(I739,[2]categories!$A$1:$B$8,2,FALSE)</f>
        <v>Mountain Bikes</v>
      </c>
    </row>
    <row r="740" customHeight="1" spans="1:10">
      <c r="A740" s="1">
        <v>262</v>
      </c>
      <c r="B740" s="1">
        <v>2</v>
      </c>
      <c r="C740" s="1">
        <v>9</v>
      </c>
      <c r="D740" s="1">
        <v>2</v>
      </c>
      <c r="E740" s="1">
        <v>2999.99</v>
      </c>
      <c r="F740" s="1">
        <v>0.05</v>
      </c>
      <c r="G740">
        <f t="shared" si="11"/>
        <v>5999.93</v>
      </c>
      <c r="H740" t="str">
        <f>VLOOKUP(C740,[1]products!$A:$B,2,FALSE)</f>
        <v>Trek Conduit+ - 2016</v>
      </c>
      <c r="I740">
        <f>VLOOKUP(C740,[1]products!$A:$D,4,FALSE)</f>
        <v>5</v>
      </c>
      <c r="J740" t="str">
        <f>VLOOKUP(I740,[2]categories!$A$1:$B$8,2,FALSE)</f>
        <v>Electric Bikes</v>
      </c>
    </row>
    <row r="741" customHeight="1" spans="1:10">
      <c r="A741" s="1">
        <v>263</v>
      </c>
      <c r="B741" s="1">
        <v>1</v>
      </c>
      <c r="C741" s="1">
        <v>9</v>
      </c>
      <c r="D741" s="1">
        <v>1</v>
      </c>
      <c r="E741" s="1">
        <v>2999.99</v>
      </c>
      <c r="F741" s="1">
        <v>0.07</v>
      </c>
      <c r="G741">
        <f t="shared" si="11"/>
        <v>2999.92</v>
      </c>
      <c r="H741" t="str">
        <f>VLOOKUP(C741,[1]products!$A:$B,2,FALSE)</f>
        <v>Trek Conduit+ - 2016</v>
      </c>
      <c r="I741">
        <f>VLOOKUP(C741,[1]products!$A:$D,4,FALSE)</f>
        <v>5</v>
      </c>
      <c r="J741" t="str">
        <f>VLOOKUP(I741,[2]categories!$A$1:$B$8,2,FALSE)</f>
        <v>Electric Bikes</v>
      </c>
    </row>
    <row r="742" customHeight="1" spans="1:10">
      <c r="A742" s="1">
        <v>263</v>
      </c>
      <c r="B742" s="1">
        <v>2</v>
      </c>
      <c r="C742" s="1">
        <v>3</v>
      </c>
      <c r="D742" s="1">
        <v>1</v>
      </c>
      <c r="E742" s="1">
        <v>999.99</v>
      </c>
      <c r="F742" s="1">
        <v>0.2</v>
      </c>
      <c r="G742">
        <f t="shared" si="11"/>
        <v>999.79</v>
      </c>
      <c r="H742" t="str">
        <f>VLOOKUP(C742,[1]products!$A:$B,2,FALSE)</f>
        <v>Surly Wednesday Frameset - 2016</v>
      </c>
      <c r="I742">
        <f>VLOOKUP(C742,[1]products!$A:$D,4,FALSE)</f>
        <v>6</v>
      </c>
      <c r="J742" t="str">
        <f>VLOOKUP(I742,[2]categories!$A$1:$B$8,2,FALSE)</f>
        <v>Mountain Bikes</v>
      </c>
    </row>
    <row r="743" customHeight="1" spans="1:10">
      <c r="A743" s="1">
        <v>263</v>
      </c>
      <c r="B743" s="1">
        <v>3</v>
      </c>
      <c r="C743" s="1">
        <v>2</v>
      </c>
      <c r="D743" s="1">
        <v>2</v>
      </c>
      <c r="E743" s="1">
        <v>749.99</v>
      </c>
      <c r="F743" s="1">
        <v>0.05</v>
      </c>
      <c r="G743">
        <f t="shared" si="11"/>
        <v>1499.93</v>
      </c>
      <c r="H743" t="str">
        <f>VLOOKUP(C743,[1]products!$A:$B,2,FALSE)</f>
        <v>Ritchey Timberwolf Frameset - 2016</v>
      </c>
      <c r="I743">
        <f>VLOOKUP(C743,[1]products!$A:$D,4,FALSE)</f>
        <v>6</v>
      </c>
      <c r="J743" t="str">
        <f>VLOOKUP(I743,[2]categories!$A$1:$B$8,2,FALSE)</f>
        <v>Mountain Bikes</v>
      </c>
    </row>
    <row r="744" customHeight="1" spans="1:10">
      <c r="A744" s="1">
        <v>264</v>
      </c>
      <c r="B744" s="1">
        <v>1</v>
      </c>
      <c r="C744" s="1">
        <v>10</v>
      </c>
      <c r="D744" s="1">
        <v>1</v>
      </c>
      <c r="E744" s="1">
        <v>1549</v>
      </c>
      <c r="F744" s="1">
        <v>0.2</v>
      </c>
      <c r="G744">
        <f t="shared" si="11"/>
        <v>1548.8</v>
      </c>
      <c r="H744" t="str">
        <f>VLOOKUP(C744,[1]products!$A:$B,2,FALSE)</f>
        <v>Surly Straggler - 2016</v>
      </c>
      <c r="I744">
        <f>VLOOKUP(C744,[1]products!$A:$D,4,FALSE)</f>
        <v>4</v>
      </c>
      <c r="J744" t="str">
        <f>VLOOKUP(I744,[2]categories!$A$1:$B$8,2,FALSE)</f>
        <v>Cyclocross Bicycles</v>
      </c>
    </row>
    <row r="745" customHeight="1" spans="1:10">
      <c r="A745" s="1">
        <v>264</v>
      </c>
      <c r="B745" s="1">
        <v>2</v>
      </c>
      <c r="C745" s="1">
        <v>24</v>
      </c>
      <c r="D745" s="1">
        <v>2</v>
      </c>
      <c r="E745" s="1">
        <v>549.99</v>
      </c>
      <c r="F745" s="1">
        <v>0.05</v>
      </c>
      <c r="G745">
        <f t="shared" si="11"/>
        <v>1099.93</v>
      </c>
      <c r="H745" t="str">
        <f>VLOOKUP(C745,[1]products!$A:$B,2,FALSE)</f>
        <v>Electra Townie Original 21D - 2016</v>
      </c>
      <c r="I745">
        <f>VLOOKUP(C745,[1]products!$A:$D,4,FALSE)</f>
        <v>2</v>
      </c>
      <c r="J745" t="str">
        <f>VLOOKUP(I745,[2]categories!$A$1:$B$8,2,FALSE)</f>
        <v>Comfort Bicycles</v>
      </c>
    </row>
    <row r="746" customHeight="1" spans="1:10">
      <c r="A746" s="1">
        <v>264</v>
      </c>
      <c r="B746" s="1">
        <v>3</v>
      </c>
      <c r="C746" s="1">
        <v>15</v>
      </c>
      <c r="D746" s="1">
        <v>2</v>
      </c>
      <c r="E746" s="1">
        <v>529.99</v>
      </c>
      <c r="F746" s="1">
        <v>0.1</v>
      </c>
      <c r="G746">
        <f t="shared" si="11"/>
        <v>1059.88</v>
      </c>
      <c r="H746" t="str">
        <f>VLOOKUP(C746,[1]products!$A:$B,2,FALSE)</f>
        <v>Electra Moto 1 - 2016</v>
      </c>
      <c r="I746">
        <f>VLOOKUP(C746,[1]products!$A:$D,4,FALSE)</f>
        <v>3</v>
      </c>
      <c r="J746" t="str">
        <f>VLOOKUP(I746,[2]categories!$A$1:$B$8,2,FALSE)</f>
        <v>Cruisers Bicycles</v>
      </c>
    </row>
    <row r="747" customHeight="1" spans="1:10">
      <c r="A747" s="1">
        <v>264</v>
      </c>
      <c r="B747" s="1">
        <v>4</v>
      </c>
      <c r="C747" s="1">
        <v>3</v>
      </c>
      <c r="D747" s="1">
        <v>2</v>
      </c>
      <c r="E747" s="1">
        <v>999.99</v>
      </c>
      <c r="F747" s="1">
        <v>0.07</v>
      </c>
      <c r="G747">
        <f t="shared" si="11"/>
        <v>1999.91</v>
      </c>
      <c r="H747" t="str">
        <f>VLOOKUP(C747,[1]products!$A:$B,2,FALSE)</f>
        <v>Surly Wednesday Frameset - 2016</v>
      </c>
      <c r="I747">
        <f>VLOOKUP(C747,[1]products!$A:$D,4,FALSE)</f>
        <v>6</v>
      </c>
      <c r="J747" t="str">
        <f>VLOOKUP(I747,[2]categories!$A$1:$B$8,2,FALSE)</f>
        <v>Mountain Bikes</v>
      </c>
    </row>
    <row r="748" customHeight="1" spans="1:10">
      <c r="A748" s="1">
        <v>265</v>
      </c>
      <c r="B748" s="1">
        <v>1</v>
      </c>
      <c r="C748" s="1">
        <v>9</v>
      </c>
      <c r="D748" s="1">
        <v>2</v>
      </c>
      <c r="E748" s="1">
        <v>2999.99</v>
      </c>
      <c r="F748" s="1">
        <v>0.2</v>
      </c>
      <c r="G748">
        <f t="shared" si="11"/>
        <v>5999.78</v>
      </c>
      <c r="H748" t="str">
        <f>VLOOKUP(C748,[1]products!$A:$B,2,FALSE)</f>
        <v>Trek Conduit+ - 2016</v>
      </c>
      <c r="I748">
        <f>VLOOKUP(C748,[1]products!$A:$D,4,FALSE)</f>
        <v>5</v>
      </c>
      <c r="J748" t="str">
        <f>VLOOKUP(I748,[2]categories!$A$1:$B$8,2,FALSE)</f>
        <v>Electric Bikes</v>
      </c>
    </row>
    <row r="749" customHeight="1" spans="1:10">
      <c r="A749" s="1">
        <v>266</v>
      </c>
      <c r="B749" s="1">
        <v>1</v>
      </c>
      <c r="C749" s="1">
        <v>6</v>
      </c>
      <c r="D749" s="1">
        <v>2</v>
      </c>
      <c r="E749" s="1">
        <v>469.99</v>
      </c>
      <c r="F749" s="1">
        <v>0.07</v>
      </c>
      <c r="G749">
        <f t="shared" si="11"/>
        <v>939.91</v>
      </c>
      <c r="H749" t="str">
        <f>VLOOKUP(C749,[1]products!$A:$B,2,FALSE)</f>
        <v>Surly Ice Cream Truck Frameset - 2016</v>
      </c>
      <c r="I749">
        <f>VLOOKUP(C749,[1]products!$A:$D,4,FALSE)</f>
        <v>6</v>
      </c>
      <c r="J749" t="str">
        <f>VLOOKUP(I749,[2]categories!$A$1:$B$8,2,FALSE)</f>
        <v>Mountain Bikes</v>
      </c>
    </row>
    <row r="750" customHeight="1" spans="1:10">
      <c r="A750" s="1">
        <v>266</v>
      </c>
      <c r="B750" s="1">
        <v>2</v>
      </c>
      <c r="C750" s="1">
        <v>19</v>
      </c>
      <c r="D750" s="1">
        <v>1</v>
      </c>
      <c r="E750" s="1">
        <v>449</v>
      </c>
      <c r="F750" s="1">
        <v>0.2</v>
      </c>
      <c r="G750">
        <f t="shared" si="11"/>
        <v>448.8</v>
      </c>
      <c r="H750" t="str">
        <f>VLOOKUP(C750,[1]products!$A:$B,2,FALSE)</f>
        <v>Pure Cycles William 3-Speed - 2016</v>
      </c>
      <c r="I750">
        <f>VLOOKUP(C750,[1]products!$A:$D,4,FALSE)</f>
        <v>3</v>
      </c>
      <c r="J750" t="str">
        <f>VLOOKUP(I750,[2]categories!$A$1:$B$8,2,FALSE)</f>
        <v>Cruisers Bicycles</v>
      </c>
    </row>
    <row r="751" customHeight="1" spans="1:10">
      <c r="A751" s="1">
        <v>266</v>
      </c>
      <c r="B751" s="1">
        <v>3</v>
      </c>
      <c r="C751" s="1">
        <v>25</v>
      </c>
      <c r="D751" s="1">
        <v>1</v>
      </c>
      <c r="E751" s="1">
        <v>499.99</v>
      </c>
      <c r="F751" s="1">
        <v>0.05</v>
      </c>
      <c r="G751">
        <f t="shared" si="11"/>
        <v>499.94</v>
      </c>
      <c r="H751" t="str">
        <f>VLOOKUP(C751,[1]products!$A:$B,2,FALSE)</f>
        <v>Electra Townie Original 7D - 2015/2016</v>
      </c>
      <c r="I751">
        <f>VLOOKUP(C751,[1]products!$A:$D,4,FALSE)</f>
        <v>2</v>
      </c>
      <c r="J751" t="str">
        <f>VLOOKUP(I751,[2]categories!$A$1:$B$8,2,FALSE)</f>
        <v>Comfort Bicycles</v>
      </c>
    </row>
    <row r="752" customHeight="1" spans="1:10">
      <c r="A752" s="1">
        <v>267</v>
      </c>
      <c r="B752" s="1">
        <v>1</v>
      </c>
      <c r="C752" s="1">
        <v>22</v>
      </c>
      <c r="D752" s="1">
        <v>2</v>
      </c>
      <c r="E752" s="1">
        <v>269.99</v>
      </c>
      <c r="F752" s="1">
        <v>0.2</v>
      </c>
      <c r="G752">
        <f t="shared" si="11"/>
        <v>539.78</v>
      </c>
      <c r="H752" t="str">
        <f>VLOOKUP(C752,[1]products!$A:$B,2,FALSE)</f>
        <v>Electra Girl's Hawaii 1 (16-inch) - 2015/2016</v>
      </c>
      <c r="I752">
        <f>VLOOKUP(C752,[1]products!$A:$D,4,FALSE)</f>
        <v>1</v>
      </c>
      <c r="J752" t="str">
        <f>VLOOKUP(I752,[2]categories!$A$1:$B$8,2,FALSE)</f>
        <v>Children Bicycles</v>
      </c>
    </row>
    <row r="753" customHeight="1" spans="1:10">
      <c r="A753" s="1">
        <v>267</v>
      </c>
      <c r="B753" s="1">
        <v>2</v>
      </c>
      <c r="C753" s="1">
        <v>23</v>
      </c>
      <c r="D753" s="1">
        <v>2</v>
      </c>
      <c r="E753" s="1">
        <v>299.99</v>
      </c>
      <c r="F753" s="1">
        <v>0.1</v>
      </c>
      <c r="G753">
        <f t="shared" si="11"/>
        <v>599.88</v>
      </c>
      <c r="H753" t="str">
        <f>VLOOKUP(C753,[1]products!$A:$B,2,FALSE)</f>
        <v>Electra Girl's Hawaii 1 (20-inch) - 2015/2016</v>
      </c>
      <c r="I753">
        <f>VLOOKUP(C753,[1]products!$A:$D,4,FALSE)</f>
        <v>1</v>
      </c>
      <c r="J753" t="str">
        <f>VLOOKUP(I753,[2]categories!$A$1:$B$8,2,FALSE)</f>
        <v>Children Bicycles</v>
      </c>
    </row>
    <row r="754" customHeight="1" spans="1:10">
      <c r="A754" s="1">
        <v>267</v>
      </c>
      <c r="B754" s="1">
        <v>3</v>
      </c>
      <c r="C754" s="1">
        <v>24</v>
      </c>
      <c r="D754" s="1">
        <v>1</v>
      </c>
      <c r="E754" s="1">
        <v>549.99</v>
      </c>
      <c r="F754" s="1">
        <v>0.1</v>
      </c>
      <c r="G754">
        <f t="shared" si="11"/>
        <v>549.89</v>
      </c>
      <c r="H754" t="str">
        <f>VLOOKUP(C754,[1]products!$A:$B,2,FALSE)</f>
        <v>Electra Townie Original 21D - 2016</v>
      </c>
      <c r="I754">
        <f>VLOOKUP(C754,[1]products!$A:$D,4,FALSE)</f>
        <v>2</v>
      </c>
      <c r="J754" t="str">
        <f>VLOOKUP(I754,[2]categories!$A$1:$B$8,2,FALSE)</f>
        <v>Comfort Bicycles</v>
      </c>
    </row>
    <row r="755" customHeight="1" spans="1:10">
      <c r="A755" s="1">
        <v>267</v>
      </c>
      <c r="B755" s="1">
        <v>4</v>
      </c>
      <c r="C755" s="1">
        <v>7</v>
      </c>
      <c r="D755" s="1">
        <v>2</v>
      </c>
      <c r="E755" s="1">
        <v>3999.99</v>
      </c>
      <c r="F755" s="1">
        <v>0.07</v>
      </c>
      <c r="G755">
        <f t="shared" si="11"/>
        <v>7999.91</v>
      </c>
      <c r="H755" t="str">
        <f>VLOOKUP(C755,[1]products!$A:$B,2,FALSE)</f>
        <v>Trek Slash 8 27.5 - 2016</v>
      </c>
      <c r="I755">
        <f>VLOOKUP(C755,[1]products!$A:$D,4,FALSE)</f>
        <v>6</v>
      </c>
      <c r="J755" t="str">
        <f>VLOOKUP(I755,[2]categories!$A$1:$B$8,2,FALSE)</f>
        <v>Mountain Bikes</v>
      </c>
    </row>
    <row r="756" customHeight="1" spans="1:10">
      <c r="A756" s="1">
        <v>267</v>
      </c>
      <c r="B756" s="1">
        <v>5</v>
      </c>
      <c r="C756" s="1">
        <v>21</v>
      </c>
      <c r="D756" s="1">
        <v>1</v>
      </c>
      <c r="E756" s="1">
        <v>269.99</v>
      </c>
      <c r="F756" s="1">
        <v>0.05</v>
      </c>
      <c r="G756">
        <f t="shared" si="11"/>
        <v>269.94</v>
      </c>
      <c r="H756" t="str">
        <f>VLOOKUP(C756,[1]products!$A:$B,2,FALSE)</f>
        <v>Electra Cruiser 1 (24-Inch) - 2016</v>
      </c>
      <c r="I756">
        <f>VLOOKUP(C756,[1]products!$A:$D,4,FALSE)</f>
        <v>1</v>
      </c>
      <c r="J756" t="str">
        <f>VLOOKUP(I756,[2]categories!$A$1:$B$8,2,FALSE)</f>
        <v>Children Bicycles</v>
      </c>
    </row>
    <row r="757" customHeight="1" spans="1:10">
      <c r="A757" s="1">
        <v>268</v>
      </c>
      <c r="B757" s="1">
        <v>1</v>
      </c>
      <c r="C757" s="1">
        <v>7</v>
      </c>
      <c r="D757" s="1">
        <v>1</v>
      </c>
      <c r="E757" s="1">
        <v>3999.99</v>
      </c>
      <c r="F757" s="1">
        <v>0.05</v>
      </c>
      <c r="G757">
        <f t="shared" si="11"/>
        <v>3999.94</v>
      </c>
      <c r="H757" t="str">
        <f>VLOOKUP(C757,[1]products!$A:$B,2,FALSE)</f>
        <v>Trek Slash 8 27.5 - 2016</v>
      </c>
      <c r="I757">
        <f>VLOOKUP(C757,[1]products!$A:$D,4,FALSE)</f>
        <v>6</v>
      </c>
      <c r="J757" t="str">
        <f>VLOOKUP(I757,[2]categories!$A$1:$B$8,2,FALSE)</f>
        <v>Mountain Bikes</v>
      </c>
    </row>
    <row r="758" customHeight="1" spans="1:10">
      <c r="A758" s="1">
        <v>268</v>
      </c>
      <c r="B758" s="1">
        <v>2</v>
      </c>
      <c r="C758" s="1">
        <v>6</v>
      </c>
      <c r="D758" s="1">
        <v>2</v>
      </c>
      <c r="E758" s="1">
        <v>469.99</v>
      </c>
      <c r="F758" s="1">
        <v>0.2</v>
      </c>
      <c r="G758">
        <f t="shared" si="11"/>
        <v>939.78</v>
      </c>
      <c r="H758" t="str">
        <f>VLOOKUP(C758,[1]products!$A:$B,2,FALSE)</f>
        <v>Surly Ice Cream Truck Frameset - 2016</v>
      </c>
      <c r="I758">
        <f>VLOOKUP(C758,[1]products!$A:$D,4,FALSE)</f>
        <v>6</v>
      </c>
      <c r="J758" t="str">
        <f>VLOOKUP(I758,[2]categories!$A$1:$B$8,2,FALSE)</f>
        <v>Mountain Bikes</v>
      </c>
    </row>
    <row r="759" customHeight="1" spans="1:10">
      <c r="A759" s="1">
        <v>268</v>
      </c>
      <c r="B759" s="1">
        <v>3</v>
      </c>
      <c r="C759" s="1">
        <v>9</v>
      </c>
      <c r="D759" s="1">
        <v>1</v>
      </c>
      <c r="E759" s="1">
        <v>2999.99</v>
      </c>
      <c r="F759" s="1">
        <v>0.1</v>
      </c>
      <c r="G759">
        <f t="shared" si="11"/>
        <v>2999.89</v>
      </c>
      <c r="H759" t="str">
        <f>VLOOKUP(C759,[1]products!$A:$B,2,FALSE)</f>
        <v>Trek Conduit+ - 2016</v>
      </c>
      <c r="I759">
        <f>VLOOKUP(C759,[1]products!$A:$D,4,FALSE)</f>
        <v>5</v>
      </c>
      <c r="J759" t="str">
        <f>VLOOKUP(I759,[2]categories!$A$1:$B$8,2,FALSE)</f>
        <v>Electric Bikes</v>
      </c>
    </row>
    <row r="760" customHeight="1" spans="1:10">
      <c r="A760" s="1">
        <v>269</v>
      </c>
      <c r="B760" s="1">
        <v>1</v>
      </c>
      <c r="C760" s="1">
        <v>5</v>
      </c>
      <c r="D760" s="1">
        <v>1</v>
      </c>
      <c r="E760" s="1">
        <v>1320.99</v>
      </c>
      <c r="F760" s="1">
        <v>0.07</v>
      </c>
      <c r="G760">
        <f t="shared" si="11"/>
        <v>1320.92</v>
      </c>
      <c r="H760" t="str">
        <f>VLOOKUP(C760,[1]products!$A:$B,2,FALSE)</f>
        <v>Heller Shagamaw Frame - 2016</v>
      </c>
      <c r="I760">
        <f>VLOOKUP(C760,[1]products!$A:$D,4,FALSE)</f>
        <v>6</v>
      </c>
      <c r="J760" t="str">
        <f>VLOOKUP(I760,[2]categories!$A$1:$B$8,2,FALSE)</f>
        <v>Mountain Bikes</v>
      </c>
    </row>
    <row r="761" customHeight="1" spans="1:10">
      <c r="A761" s="1">
        <v>269</v>
      </c>
      <c r="B761" s="1">
        <v>2</v>
      </c>
      <c r="C761" s="1">
        <v>23</v>
      </c>
      <c r="D761" s="1">
        <v>2</v>
      </c>
      <c r="E761" s="1">
        <v>299.99</v>
      </c>
      <c r="F761" s="1">
        <v>0.07</v>
      </c>
      <c r="G761">
        <f t="shared" si="11"/>
        <v>599.91</v>
      </c>
      <c r="H761" t="str">
        <f>VLOOKUP(C761,[1]products!$A:$B,2,FALSE)</f>
        <v>Electra Girl's Hawaii 1 (20-inch) - 2015/2016</v>
      </c>
      <c r="I761">
        <f>VLOOKUP(C761,[1]products!$A:$D,4,FALSE)</f>
        <v>1</v>
      </c>
      <c r="J761" t="str">
        <f>VLOOKUP(I761,[2]categories!$A$1:$B$8,2,FALSE)</f>
        <v>Children Bicycles</v>
      </c>
    </row>
    <row r="762" customHeight="1" spans="1:10">
      <c r="A762" s="1">
        <v>269</v>
      </c>
      <c r="B762" s="1">
        <v>3</v>
      </c>
      <c r="C762" s="1">
        <v>18</v>
      </c>
      <c r="D762" s="1">
        <v>1</v>
      </c>
      <c r="E762" s="1">
        <v>449</v>
      </c>
      <c r="F762" s="1">
        <v>0.05</v>
      </c>
      <c r="G762">
        <f t="shared" si="11"/>
        <v>448.95</v>
      </c>
      <c r="H762" t="str">
        <f>VLOOKUP(C762,[1]products!$A:$B,2,FALSE)</f>
        <v>Pure Cycles Western 3-Speed - Women's - 2015/2016</v>
      </c>
      <c r="I762">
        <f>VLOOKUP(C762,[1]products!$A:$D,4,FALSE)</f>
        <v>3</v>
      </c>
      <c r="J762" t="str">
        <f>VLOOKUP(I762,[2]categories!$A$1:$B$8,2,FALSE)</f>
        <v>Cruisers Bicycles</v>
      </c>
    </row>
    <row r="763" customHeight="1" spans="1:10">
      <c r="A763" s="1">
        <v>269</v>
      </c>
      <c r="B763" s="1">
        <v>4</v>
      </c>
      <c r="C763" s="1">
        <v>3</v>
      </c>
      <c r="D763" s="1">
        <v>1</v>
      </c>
      <c r="E763" s="1">
        <v>999.99</v>
      </c>
      <c r="F763" s="1">
        <v>0.05</v>
      </c>
      <c r="G763">
        <f t="shared" si="11"/>
        <v>999.94</v>
      </c>
      <c r="H763" t="str">
        <f>VLOOKUP(C763,[1]products!$A:$B,2,FALSE)</f>
        <v>Surly Wednesday Frameset - 2016</v>
      </c>
      <c r="I763">
        <f>VLOOKUP(C763,[1]products!$A:$D,4,FALSE)</f>
        <v>6</v>
      </c>
      <c r="J763" t="str">
        <f>VLOOKUP(I763,[2]categories!$A$1:$B$8,2,FALSE)</f>
        <v>Mountain Bikes</v>
      </c>
    </row>
    <row r="764" customHeight="1" spans="1:10">
      <c r="A764" s="1">
        <v>270</v>
      </c>
      <c r="B764" s="1">
        <v>1</v>
      </c>
      <c r="C764" s="1">
        <v>25</v>
      </c>
      <c r="D764" s="1">
        <v>2</v>
      </c>
      <c r="E764" s="1">
        <v>499.99</v>
      </c>
      <c r="F764" s="1">
        <v>0.2</v>
      </c>
      <c r="G764">
        <f t="shared" si="11"/>
        <v>999.78</v>
      </c>
      <c r="H764" t="str">
        <f>VLOOKUP(C764,[1]products!$A:$B,2,FALSE)</f>
        <v>Electra Townie Original 7D - 2015/2016</v>
      </c>
      <c r="I764">
        <f>VLOOKUP(C764,[1]products!$A:$D,4,FALSE)</f>
        <v>2</v>
      </c>
      <c r="J764" t="str">
        <f>VLOOKUP(I764,[2]categories!$A$1:$B$8,2,FALSE)</f>
        <v>Comfort Bicycles</v>
      </c>
    </row>
    <row r="765" customHeight="1" spans="1:10">
      <c r="A765" s="1">
        <v>270</v>
      </c>
      <c r="B765" s="1">
        <v>2</v>
      </c>
      <c r="C765" s="1">
        <v>15</v>
      </c>
      <c r="D765" s="1">
        <v>1</v>
      </c>
      <c r="E765" s="1">
        <v>529.99</v>
      </c>
      <c r="F765" s="1">
        <v>0.1</v>
      </c>
      <c r="G765">
        <f t="shared" si="11"/>
        <v>529.89</v>
      </c>
      <c r="H765" t="str">
        <f>VLOOKUP(C765,[1]products!$A:$B,2,FALSE)</f>
        <v>Electra Moto 1 - 2016</v>
      </c>
      <c r="I765">
        <f>VLOOKUP(C765,[1]products!$A:$D,4,FALSE)</f>
        <v>3</v>
      </c>
      <c r="J765" t="str">
        <f>VLOOKUP(I765,[2]categories!$A$1:$B$8,2,FALSE)</f>
        <v>Cruisers Bicycles</v>
      </c>
    </row>
    <row r="766" customHeight="1" spans="1:10">
      <c r="A766" s="1">
        <v>271</v>
      </c>
      <c r="B766" s="1">
        <v>1</v>
      </c>
      <c r="C766" s="1">
        <v>11</v>
      </c>
      <c r="D766" s="1">
        <v>2</v>
      </c>
      <c r="E766" s="1">
        <v>1680.99</v>
      </c>
      <c r="F766" s="1">
        <v>0.07</v>
      </c>
      <c r="G766">
        <f t="shared" si="11"/>
        <v>3361.91</v>
      </c>
      <c r="H766" t="str">
        <f>VLOOKUP(C766,[1]products!$A:$B,2,FALSE)</f>
        <v>Surly Straggler 650b - 2016</v>
      </c>
      <c r="I766">
        <f>VLOOKUP(C766,[1]products!$A:$D,4,FALSE)</f>
        <v>4</v>
      </c>
      <c r="J766" t="str">
        <f>VLOOKUP(I766,[2]categories!$A$1:$B$8,2,FALSE)</f>
        <v>Cyclocross Bicycles</v>
      </c>
    </row>
    <row r="767" customHeight="1" spans="1:10">
      <c r="A767" s="1">
        <v>271</v>
      </c>
      <c r="B767" s="1">
        <v>2</v>
      </c>
      <c r="C767" s="1">
        <v>6</v>
      </c>
      <c r="D767" s="1">
        <v>2</v>
      </c>
      <c r="E767" s="1">
        <v>469.99</v>
      </c>
      <c r="F767" s="1">
        <v>0.05</v>
      </c>
      <c r="G767">
        <f t="shared" si="11"/>
        <v>939.93</v>
      </c>
      <c r="H767" t="str">
        <f>VLOOKUP(C767,[1]products!$A:$B,2,FALSE)</f>
        <v>Surly Ice Cream Truck Frameset - 2016</v>
      </c>
      <c r="I767">
        <f>VLOOKUP(C767,[1]products!$A:$D,4,FALSE)</f>
        <v>6</v>
      </c>
      <c r="J767" t="str">
        <f>VLOOKUP(I767,[2]categories!$A$1:$B$8,2,FALSE)</f>
        <v>Mountain Bikes</v>
      </c>
    </row>
    <row r="768" customHeight="1" spans="1:10">
      <c r="A768" s="1">
        <v>271</v>
      </c>
      <c r="B768" s="1">
        <v>3</v>
      </c>
      <c r="C768" s="1">
        <v>13</v>
      </c>
      <c r="D768" s="1">
        <v>1</v>
      </c>
      <c r="E768" s="1">
        <v>269.99</v>
      </c>
      <c r="F768" s="1">
        <v>0.1</v>
      </c>
      <c r="G768">
        <f t="shared" si="11"/>
        <v>269.89</v>
      </c>
      <c r="H768" t="str">
        <f>VLOOKUP(C768,[1]products!$A:$B,2,FALSE)</f>
        <v>Electra Cruiser 1 (24-Inch) - 2016</v>
      </c>
      <c r="I768">
        <f>VLOOKUP(C768,[1]products!$A:$D,4,FALSE)</f>
        <v>3</v>
      </c>
      <c r="J768" t="str">
        <f>VLOOKUP(I768,[2]categories!$A$1:$B$8,2,FALSE)</f>
        <v>Cruisers Bicycles</v>
      </c>
    </row>
    <row r="769" customHeight="1" spans="1:10">
      <c r="A769" s="1">
        <v>271</v>
      </c>
      <c r="B769" s="1">
        <v>4</v>
      </c>
      <c r="C769" s="1">
        <v>7</v>
      </c>
      <c r="D769" s="1">
        <v>2</v>
      </c>
      <c r="E769" s="1">
        <v>3999.99</v>
      </c>
      <c r="F769" s="1">
        <v>0.1</v>
      </c>
      <c r="G769">
        <f t="shared" si="11"/>
        <v>7999.88</v>
      </c>
      <c r="H769" t="str">
        <f>VLOOKUP(C769,[1]products!$A:$B,2,FALSE)</f>
        <v>Trek Slash 8 27.5 - 2016</v>
      </c>
      <c r="I769">
        <f>VLOOKUP(C769,[1]products!$A:$D,4,FALSE)</f>
        <v>6</v>
      </c>
      <c r="J769" t="str">
        <f>VLOOKUP(I769,[2]categories!$A$1:$B$8,2,FALSE)</f>
        <v>Mountain Bikes</v>
      </c>
    </row>
    <row r="770" customHeight="1" spans="1:10">
      <c r="A770" s="1">
        <v>272</v>
      </c>
      <c r="B770" s="1">
        <v>1</v>
      </c>
      <c r="C770" s="1">
        <v>2</v>
      </c>
      <c r="D770" s="1">
        <v>2</v>
      </c>
      <c r="E770" s="1">
        <v>749.99</v>
      </c>
      <c r="F770" s="1">
        <v>0.07</v>
      </c>
      <c r="G770">
        <f t="shared" si="11"/>
        <v>1499.91</v>
      </c>
      <c r="H770" t="str">
        <f>VLOOKUP(C770,[1]products!$A:$B,2,FALSE)</f>
        <v>Ritchey Timberwolf Frameset - 2016</v>
      </c>
      <c r="I770">
        <f>VLOOKUP(C770,[1]products!$A:$D,4,FALSE)</f>
        <v>6</v>
      </c>
      <c r="J770" t="str">
        <f>VLOOKUP(I770,[2]categories!$A$1:$B$8,2,FALSE)</f>
        <v>Mountain Bikes</v>
      </c>
    </row>
    <row r="771" customHeight="1" spans="1:10">
      <c r="A771" s="1">
        <v>272</v>
      </c>
      <c r="B771" s="1">
        <v>2</v>
      </c>
      <c r="C771" s="1">
        <v>11</v>
      </c>
      <c r="D771" s="1">
        <v>1</v>
      </c>
      <c r="E771" s="1">
        <v>1680.99</v>
      </c>
      <c r="F771" s="1">
        <v>0.07</v>
      </c>
      <c r="G771">
        <f t="shared" ref="G771:G834" si="12">(E771*D771)-F771</f>
        <v>1680.92</v>
      </c>
      <c r="H771" t="str">
        <f>VLOOKUP(C771,[1]products!$A:$B,2,FALSE)</f>
        <v>Surly Straggler 650b - 2016</v>
      </c>
      <c r="I771">
        <f>VLOOKUP(C771,[1]products!$A:$D,4,FALSE)</f>
        <v>4</v>
      </c>
      <c r="J771" t="str">
        <f>VLOOKUP(I771,[2]categories!$A$1:$B$8,2,FALSE)</f>
        <v>Cyclocross Bicycles</v>
      </c>
    </row>
    <row r="772" customHeight="1" spans="1:10">
      <c r="A772" s="1">
        <v>273</v>
      </c>
      <c r="B772" s="1">
        <v>1</v>
      </c>
      <c r="C772" s="1">
        <v>21</v>
      </c>
      <c r="D772" s="1">
        <v>1</v>
      </c>
      <c r="E772" s="1">
        <v>269.99</v>
      </c>
      <c r="F772" s="1">
        <v>0.1</v>
      </c>
      <c r="G772">
        <f t="shared" si="12"/>
        <v>269.89</v>
      </c>
      <c r="H772" t="str">
        <f>VLOOKUP(C772,[1]products!$A:$B,2,FALSE)</f>
        <v>Electra Cruiser 1 (24-Inch) - 2016</v>
      </c>
      <c r="I772">
        <f>VLOOKUP(C772,[1]products!$A:$D,4,FALSE)</f>
        <v>1</v>
      </c>
      <c r="J772" t="str">
        <f>VLOOKUP(I772,[2]categories!$A$1:$B$8,2,FALSE)</f>
        <v>Children Bicycles</v>
      </c>
    </row>
    <row r="773" customHeight="1" spans="1:10">
      <c r="A773" s="1">
        <v>274</v>
      </c>
      <c r="B773" s="1">
        <v>1</v>
      </c>
      <c r="C773" s="1">
        <v>11</v>
      </c>
      <c r="D773" s="1">
        <v>2</v>
      </c>
      <c r="E773" s="1">
        <v>1680.99</v>
      </c>
      <c r="F773" s="1">
        <v>0.05</v>
      </c>
      <c r="G773">
        <f t="shared" si="12"/>
        <v>3361.93</v>
      </c>
      <c r="H773" t="str">
        <f>VLOOKUP(C773,[1]products!$A:$B,2,FALSE)</f>
        <v>Surly Straggler 650b - 2016</v>
      </c>
      <c r="I773">
        <f>VLOOKUP(C773,[1]products!$A:$D,4,FALSE)</f>
        <v>4</v>
      </c>
      <c r="J773" t="str">
        <f>VLOOKUP(I773,[2]categories!$A$1:$B$8,2,FALSE)</f>
        <v>Cyclocross Bicycles</v>
      </c>
    </row>
    <row r="774" customHeight="1" spans="1:10">
      <c r="A774" s="1">
        <v>274</v>
      </c>
      <c r="B774" s="1">
        <v>2</v>
      </c>
      <c r="C774" s="1">
        <v>25</v>
      </c>
      <c r="D774" s="1">
        <v>2</v>
      </c>
      <c r="E774" s="1">
        <v>499.99</v>
      </c>
      <c r="F774" s="1">
        <v>0.1</v>
      </c>
      <c r="G774">
        <f t="shared" si="12"/>
        <v>999.88</v>
      </c>
      <c r="H774" t="str">
        <f>VLOOKUP(C774,[1]products!$A:$B,2,FALSE)</f>
        <v>Electra Townie Original 7D - 2015/2016</v>
      </c>
      <c r="I774">
        <f>VLOOKUP(C774,[1]products!$A:$D,4,FALSE)</f>
        <v>2</v>
      </c>
      <c r="J774" t="str">
        <f>VLOOKUP(I774,[2]categories!$A$1:$B$8,2,FALSE)</f>
        <v>Comfort Bicycles</v>
      </c>
    </row>
    <row r="775" customHeight="1" spans="1:10">
      <c r="A775" s="1">
        <v>274</v>
      </c>
      <c r="B775" s="1">
        <v>3</v>
      </c>
      <c r="C775" s="1">
        <v>9</v>
      </c>
      <c r="D775" s="1">
        <v>2</v>
      </c>
      <c r="E775" s="1">
        <v>2999.99</v>
      </c>
      <c r="F775" s="1">
        <v>0.07</v>
      </c>
      <c r="G775">
        <f t="shared" si="12"/>
        <v>5999.91</v>
      </c>
      <c r="H775" t="str">
        <f>VLOOKUP(C775,[1]products!$A:$B,2,FALSE)</f>
        <v>Trek Conduit+ - 2016</v>
      </c>
      <c r="I775">
        <f>VLOOKUP(C775,[1]products!$A:$D,4,FALSE)</f>
        <v>5</v>
      </c>
      <c r="J775" t="str">
        <f>VLOOKUP(I775,[2]categories!$A$1:$B$8,2,FALSE)</f>
        <v>Electric Bikes</v>
      </c>
    </row>
    <row r="776" customHeight="1" spans="1:10">
      <c r="A776" s="1">
        <v>275</v>
      </c>
      <c r="B776" s="1">
        <v>1</v>
      </c>
      <c r="C776" s="1">
        <v>18</v>
      </c>
      <c r="D776" s="1">
        <v>1</v>
      </c>
      <c r="E776" s="1">
        <v>449</v>
      </c>
      <c r="F776" s="1">
        <v>0.05</v>
      </c>
      <c r="G776">
        <f t="shared" si="12"/>
        <v>448.95</v>
      </c>
      <c r="H776" t="str">
        <f>VLOOKUP(C776,[1]products!$A:$B,2,FALSE)</f>
        <v>Pure Cycles Western 3-Speed - Women's - 2015/2016</v>
      </c>
      <c r="I776">
        <f>VLOOKUP(C776,[1]products!$A:$D,4,FALSE)</f>
        <v>3</v>
      </c>
      <c r="J776" t="str">
        <f>VLOOKUP(I776,[2]categories!$A$1:$B$8,2,FALSE)</f>
        <v>Cruisers Bicycles</v>
      </c>
    </row>
    <row r="777" customHeight="1" spans="1:10">
      <c r="A777" s="1">
        <v>275</v>
      </c>
      <c r="B777" s="1">
        <v>2</v>
      </c>
      <c r="C777" s="1">
        <v>25</v>
      </c>
      <c r="D777" s="1">
        <v>1</v>
      </c>
      <c r="E777" s="1">
        <v>499.99</v>
      </c>
      <c r="F777" s="1">
        <v>0.1</v>
      </c>
      <c r="G777">
        <f t="shared" si="12"/>
        <v>499.89</v>
      </c>
      <c r="H777" t="str">
        <f>VLOOKUP(C777,[1]products!$A:$B,2,FALSE)</f>
        <v>Electra Townie Original 7D - 2015/2016</v>
      </c>
      <c r="I777">
        <f>VLOOKUP(C777,[1]products!$A:$D,4,FALSE)</f>
        <v>2</v>
      </c>
      <c r="J777" t="str">
        <f>VLOOKUP(I777,[2]categories!$A$1:$B$8,2,FALSE)</f>
        <v>Comfort Bicycles</v>
      </c>
    </row>
    <row r="778" customHeight="1" spans="1:10">
      <c r="A778" s="1">
        <v>275</v>
      </c>
      <c r="B778" s="1">
        <v>3</v>
      </c>
      <c r="C778" s="1">
        <v>7</v>
      </c>
      <c r="D778" s="1">
        <v>2</v>
      </c>
      <c r="E778" s="1">
        <v>3999.99</v>
      </c>
      <c r="F778" s="1">
        <v>0.05</v>
      </c>
      <c r="G778">
        <f t="shared" si="12"/>
        <v>7999.93</v>
      </c>
      <c r="H778" t="str">
        <f>VLOOKUP(C778,[1]products!$A:$B,2,FALSE)</f>
        <v>Trek Slash 8 27.5 - 2016</v>
      </c>
      <c r="I778">
        <f>VLOOKUP(C778,[1]products!$A:$D,4,FALSE)</f>
        <v>6</v>
      </c>
      <c r="J778" t="str">
        <f>VLOOKUP(I778,[2]categories!$A$1:$B$8,2,FALSE)</f>
        <v>Mountain Bikes</v>
      </c>
    </row>
    <row r="779" customHeight="1" spans="1:10">
      <c r="A779" s="1">
        <v>276</v>
      </c>
      <c r="B779" s="1">
        <v>1</v>
      </c>
      <c r="C779" s="1">
        <v>3</v>
      </c>
      <c r="D779" s="1">
        <v>2</v>
      </c>
      <c r="E779" s="1">
        <v>999.99</v>
      </c>
      <c r="F779" s="1">
        <v>0.2</v>
      </c>
      <c r="G779">
        <f t="shared" si="12"/>
        <v>1999.78</v>
      </c>
      <c r="H779" t="str">
        <f>VLOOKUP(C779,[1]products!$A:$B,2,FALSE)</f>
        <v>Surly Wednesday Frameset - 2016</v>
      </c>
      <c r="I779">
        <f>VLOOKUP(C779,[1]products!$A:$D,4,FALSE)</f>
        <v>6</v>
      </c>
      <c r="J779" t="str">
        <f>VLOOKUP(I779,[2]categories!$A$1:$B$8,2,FALSE)</f>
        <v>Mountain Bikes</v>
      </c>
    </row>
    <row r="780" customHeight="1" spans="1:10">
      <c r="A780" s="1">
        <v>276</v>
      </c>
      <c r="B780" s="1">
        <v>2</v>
      </c>
      <c r="C780" s="1">
        <v>17</v>
      </c>
      <c r="D780" s="1">
        <v>1</v>
      </c>
      <c r="E780" s="1">
        <v>429</v>
      </c>
      <c r="F780" s="1">
        <v>0.05</v>
      </c>
      <c r="G780">
        <f t="shared" si="12"/>
        <v>428.95</v>
      </c>
      <c r="H780" t="str">
        <f>VLOOKUP(C780,[1]products!$A:$B,2,FALSE)</f>
        <v>Pure Cycles Vine 8-Speed - 2016</v>
      </c>
      <c r="I780">
        <f>VLOOKUP(C780,[1]products!$A:$D,4,FALSE)</f>
        <v>3</v>
      </c>
      <c r="J780" t="str">
        <f>VLOOKUP(I780,[2]categories!$A$1:$B$8,2,FALSE)</f>
        <v>Cruisers Bicycles</v>
      </c>
    </row>
    <row r="781" customHeight="1" spans="1:10">
      <c r="A781" s="1">
        <v>276</v>
      </c>
      <c r="B781" s="1">
        <v>3</v>
      </c>
      <c r="C781" s="1">
        <v>9</v>
      </c>
      <c r="D781" s="1">
        <v>2</v>
      </c>
      <c r="E781" s="1">
        <v>2999.99</v>
      </c>
      <c r="F781" s="1">
        <v>0.07</v>
      </c>
      <c r="G781">
        <f t="shared" si="12"/>
        <v>5999.91</v>
      </c>
      <c r="H781" t="str">
        <f>VLOOKUP(C781,[1]products!$A:$B,2,FALSE)</f>
        <v>Trek Conduit+ - 2016</v>
      </c>
      <c r="I781">
        <f>VLOOKUP(C781,[1]products!$A:$D,4,FALSE)</f>
        <v>5</v>
      </c>
      <c r="J781" t="str">
        <f>VLOOKUP(I781,[2]categories!$A$1:$B$8,2,FALSE)</f>
        <v>Electric Bikes</v>
      </c>
    </row>
    <row r="782" customHeight="1" spans="1:10">
      <c r="A782" s="1">
        <v>277</v>
      </c>
      <c r="B782" s="1">
        <v>1</v>
      </c>
      <c r="C782" s="1">
        <v>20</v>
      </c>
      <c r="D782" s="1">
        <v>2</v>
      </c>
      <c r="E782" s="1">
        <v>599.99</v>
      </c>
      <c r="F782" s="1">
        <v>0.2</v>
      </c>
      <c r="G782">
        <f t="shared" si="12"/>
        <v>1199.78</v>
      </c>
      <c r="H782" t="str">
        <f>VLOOKUP(C782,[1]products!$A:$B,2,FALSE)</f>
        <v>Electra Townie Original 7D EQ - Women's - 2016</v>
      </c>
      <c r="I782">
        <f>VLOOKUP(C782,[1]products!$A:$D,4,FALSE)</f>
        <v>3</v>
      </c>
      <c r="J782" t="str">
        <f>VLOOKUP(I782,[2]categories!$A$1:$B$8,2,FALSE)</f>
        <v>Cruisers Bicycles</v>
      </c>
    </row>
    <row r="783" customHeight="1" spans="1:10">
      <c r="A783" s="1">
        <v>277</v>
      </c>
      <c r="B783" s="1">
        <v>2</v>
      </c>
      <c r="C783" s="1">
        <v>6</v>
      </c>
      <c r="D783" s="1">
        <v>2</v>
      </c>
      <c r="E783" s="1">
        <v>469.99</v>
      </c>
      <c r="F783" s="1">
        <v>0.2</v>
      </c>
      <c r="G783">
        <f t="shared" si="12"/>
        <v>939.78</v>
      </c>
      <c r="H783" t="str">
        <f>VLOOKUP(C783,[1]products!$A:$B,2,FALSE)</f>
        <v>Surly Ice Cream Truck Frameset - 2016</v>
      </c>
      <c r="I783">
        <f>VLOOKUP(C783,[1]products!$A:$D,4,FALSE)</f>
        <v>6</v>
      </c>
      <c r="J783" t="str">
        <f>VLOOKUP(I783,[2]categories!$A$1:$B$8,2,FALSE)</f>
        <v>Mountain Bikes</v>
      </c>
    </row>
    <row r="784" customHeight="1" spans="1:10">
      <c r="A784" s="1">
        <v>277</v>
      </c>
      <c r="B784" s="1">
        <v>3</v>
      </c>
      <c r="C784" s="1">
        <v>13</v>
      </c>
      <c r="D784" s="1">
        <v>2</v>
      </c>
      <c r="E784" s="1">
        <v>269.99</v>
      </c>
      <c r="F784" s="1">
        <v>0.1</v>
      </c>
      <c r="G784">
        <f t="shared" si="12"/>
        <v>539.88</v>
      </c>
      <c r="H784" t="str">
        <f>VLOOKUP(C784,[1]products!$A:$B,2,FALSE)</f>
        <v>Electra Cruiser 1 (24-Inch) - 2016</v>
      </c>
      <c r="I784">
        <f>VLOOKUP(C784,[1]products!$A:$D,4,FALSE)</f>
        <v>3</v>
      </c>
      <c r="J784" t="str">
        <f>VLOOKUP(I784,[2]categories!$A$1:$B$8,2,FALSE)</f>
        <v>Cruisers Bicycles</v>
      </c>
    </row>
    <row r="785" customHeight="1" spans="1:10">
      <c r="A785" s="1">
        <v>278</v>
      </c>
      <c r="B785" s="1">
        <v>1</v>
      </c>
      <c r="C785" s="1">
        <v>16</v>
      </c>
      <c r="D785" s="1">
        <v>1</v>
      </c>
      <c r="E785" s="1">
        <v>599.99</v>
      </c>
      <c r="F785" s="1">
        <v>0.2</v>
      </c>
      <c r="G785">
        <f t="shared" si="12"/>
        <v>599.79</v>
      </c>
      <c r="H785" t="str">
        <f>VLOOKUP(C785,[1]products!$A:$B,2,FALSE)</f>
        <v>Electra Townie Original 7D EQ - 2016</v>
      </c>
      <c r="I785">
        <f>VLOOKUP(C785,[1]products!$A:$D,4,FALSE)</f>
        <v>3</v>
      </c>
      <c r="J785" t="str">
        <f>VLOOKUP(I785,[2]categories!$A$1:$B$8,2,FALSE)</f>
        <v>Cruisers Bicycles</v>
      </c>
    </row>
    <row r="786" customHeight="1" spans="1:10">
      <c r="A786" s="1">
        <v>278</v>
      </c>
      <c r="B786" s="1">
        <v>2</v>
      </c>
      <c r="C786" s="1">
        <v>19</v>
      </c>
      <c r="D786" s="1">
        <v>2</v>
      </c>
      <c r="E786" s="1">
        <v>449</v>
      </c>
      <c r="F786" s="1">
        <v>0.07</v>
      </c>
      <c r="G786">
        <f t="shared" si="12"/>
        <v>897.93</v>
      </c>
      <c r="H786" t="str">
        <f>VLOOKUP(C786,[1]products!$A:$B,2,FALSE)</f>
        <v>Pure Cycles William 3-Speed - 2016</v>
      </c>
      <c r="I786">
        <f>VLOOKUP(C786,[1]products!$A:$D,4,FALSE)</f>
        <v>3</v>
      </c>
      <c r="J786" t="str">
        <f>VLOOKUP(I786,[2]categories!$A$1:$B$8,2,FALSE)</f>
        <v>Cruisers Bicycles</v>
      </c>
    </row>
    <row r="787" customHeight="1" spans="1:10">
      <c r="A787" s="1">
        <v>278</v>
      </c>
      <c r="B787" s="1">
        <v>3</v>
      </c>
      <c r="C787" s="1">
        <v>13</v>
      </c>
      <c r="D787" s="1">
        <v>1</v>
      </c>
      <c r="E787" s="1">
        <v>269.99</v>
      </c>
      <c r="F787" s="1">
        <v>0.07</v>
      </c>
      <c r="G787">
        <f t="shared" si="12"/>
        <v>269.92</v>
      </c>
      <c r="H787" t="str">
        <f>VLOOKUP(C787,[1]products!$A:$B,2,FALSE)</f>
        <v>Electra Cruiser 1 (24-Inch) - 2016</v>
      </c>
      <c r="I787">
        <f>VLOOKUP(C787,[1]products!$A:$D,4,FALSE)</f>
        <v>3</v>
      </c>
      <c r="J787" t="str">
        <f>VLOOKUP(I787,[2]categories!$A$1:$B$8,2,FALSE)</f>
        <v>Cruisers Bicycles</v>
      </c>
    </row>
    <row r="788" customHeight="1" spans="1:10">
      <c r="A788" s="1">
        <v>278</v>
      </c>
      <c r="B788" s="1">
        <v>4</v>
      </c>
      <c r="C788" s="1">
        <v>11</v>
      </c>
      <c r="D788" s="1">
        <v>2</v>
      </c>
      <c r="E788" s="1">
        <v>1680.99</v>
      </c>
      <c r="F788" s="1">
        <v>0.07</v>
      </c>
      <c r="G788">
        <f t="shared" si="12"/>
        <v>3361.91</v>
      </c>
      <c r="H788" t="str">
        <f>VLOOKUP(C788,[1]products!$A:$B,2,FALSE)</f>
        <v>Surly Straggler 650b - 2016</v>
      </c>
      <c r="I788">
        <f>VLOOKUP(C788,[1]products!$A:$D,4,FALSE)</f>
        <v>4</v>
      </c>
      <c r="J788" t="str">
        <f>VLOOKUP(I788,[2]categories!$A$1:$B$8,2,FALSE)</f>
        <v>Cyclocross Bicycles</v>
      </c>
    </row>
    <row r="789" customHeight="1" spans="1:10">
      <c r="A789" s="1">
        <v>279</v>
      </c>
      <c r="B789" s="1">
        <v>1</v>
      </c>
      <c r="C789" s="1">
        <v>25</v>
      </c>
      <c r="D789" s="1">
        <v>1</v>
      </c>
      <c r="E789" s="1">
        <v>499.99</v>
      </c>
      <c r="F789" s="1">
        <v>0.07</v>
      </c>
      <c r="G789">
        <f t="shared" si="12"/>
        <v>499.92</v>
      </c>
      <c r="H789" t="str">
        <f>VLOOKUP(C789,[1]products!$A:$B,2,FALSE)</f>
        <v>Electra Townie Original 7D - 2015/2016</v>
      </c>
      <c r="I789">
        <f>VLOOKUP(C789,[1]products!$A:$D,4,FALSE)</f>
        <v>2</v>
      </c>
      <c r="J789" t="str">
        <f>VLOOKUP(I789,[2]categories!$A$1:$B$8,2,FALSE)</f>
        <v>Comfort Bicycles</v>
      </c>
    </row>
    <row r="790" customHeight="1" spans="1:10">
      <c r="A790" s="1">
        <v>280</v>
      </c>
      <c r="B790" s="1">
        <v>1</v>
      </c>
      <c r="C790" s="1">
        <v>25</v>
      </c>
      <c r="D790" s="1">
        <v>1</v>
      </c>
      <c r="E790" s="1">
        <v>499.99</v>
      </c>
      <c r="F790" s="1">
        <v>0.07</v>
      </c>
      <c r="G790">
        <f t="shared" si="12"/>
        <v>499.92</v>
      </c>
      <c r="H790" t="str">
        <f>VLOOKUP(C790,[1]products!$A:$B,2,FALSE)</f>
        <v>Electra Townie Original 7D - 2015/2016</v>
      </c>
      <c r="I790">
        <f>VLOOKUP(C790,[1]products!$A:$D,4,FALSE)</f>
        <v>2</v>
      </c>
      <c r="J790" t="str">
        <f>VLOOKUP(I790,[2]categories!$A$1:$B$8,2,FALSE)</f>
        <v>Comfort Bicycles</v>
      </c>
    </row>
    <row r="791" customHeight="1" spans="1:10">
      <c r="A791" s="1">
        <v>280</v>
      </c>
      <c r="B791" s="1">
        <v>2</v>
      </c>
      <c r="C791" s="1">
        <v>26</v>
      </c>
      <c r="D791" s="1">
        <v>2</v>
      </c>
      <c r="E791" s="1">
        <v>599.99</v>
      </c>
      <c r="F791" s="1">
        <v>0.07</v>
      </c>
      <c r="G791">
        <f t="shared" si="12"/>
        <v>1199.91</v>
      </c>
      <c r="H791" t="str">
        <f>VLOOKUP(C791,[1]products!$A:$B,2,FALSE)</f>
        <v>Electra Townie Original 7D EQ - 2016</v>
      </c>
      <c r="I791">
        <f>VLOOKUP(C791,[1]products!$A:$D,4,FALSE)</f>
        <v>2</v>
      </c>
      <c r="J791" t="str">
        <f>VLOOKUP(I791,[2]categories!$A$1:$B$8,2,FALSE)</f>
        <v>Comfort Bicycles</v>
      </c>
    </row>
    <row r="792" customHeight="1" spans="1:10">
      <c r="A792" s="1">
        <v>280</v>
      </c>
      <c r="B792" s="1">
        <v>3</v>
      </c>
      <c r="C792" s="1">
        <v>13</v>
      </c>
      <c r="D792" s="1">
        <v>1</v>
      </c>
      <c r="E792" s="1">
        <v>269.99</v>
      </c>
      <c r="F792" s="1">
        <v>0.07</v>
      </c>
      <c r="G792">
        <f t="shared" si="12"/>
        <v>269.92</v>
      </c>
      <c r="H792" t="str">
        <f>VLOOKUP(C792,[1]products!$A:$B,2,FALSE)</f>
        <v>Electra Cruiser 1 (24-Inch) - 2016</v>
      </c>
      <c r="I792">
        <f>VLOOKUP(C792,[1]products!$A:$D,4,FALSE)</f>
        <v>3</v>
      </c>
      <c r="J792" t="str">
        <f>VLOOKUP(I792,[2]categories!$A$1:$B$8,2,FALSE)</f>
        <v>Cruisers Bicycles</v>
      </c>
    </row>
    <row r="793" customHeight="1" spans="1:10">
      <c r="A793" s="1">
        <v>281</v>
      </c>
      <c r="B793" s="1">
        <v>1</v>
      </c>
      <c r="C793" s="1">
        <v>22</v>
      </c>
      <c r="D793" s="1">
        <v>1</v>
      </c>
      <c r="E793" s="1">
        <v>269.99</v>
      </c>
      <c r="F793" s="1">
        <v>0.07</v>
      </c>
      <c r="G793">
        <f t="shared" si="12"/>
        <v>269.92</v>
      </c>
      <c r="H793" t="str">
        <f>VLOOKUP(C793,[1]products!$A:$B,2,FALSE)</f>
        <v>Electra Girl's Hawaii 1 (16-inch) - 2015/2016</v>
      </c>
      <c r="I793">
        <f>VLOOKUP(C793,[1]products!$A:$D,4,FALSE)</f>
        <v>1</v>
      </c>
      <c r="J793" t="str">
        <f>VLOOKUP(I793,[2]categories!$A$1:$B$8,2,FALSE)</f>
        <v>Children Bicycles</v>
      </c>
    </row>
    <row r="794" customHeight="1" spans="1:10">
      <c r="A794" s="1">
        <v>281</v>
      </c>
      <c r="B794" s="1">
        <v>2</v>
      </c>
      <c r="C794" s="1">
        <v>14</v>
      </c>
      <c r="D794" s="1">
        <v>2</v>
      </c>
      <c r="E794" s="1">
        <v>269.99</v>
      </c>
      <c r="F794" s="1">
        <v>0.1</v>
      </c>
      <c r="G794">
        <f t="shared" si="12"/>
        <v>539.88</v>
      </c>
      <c r="H794" t="str">
        <f>VLOOKUP(C794,[1]products!$A:$B,2,FALSE)</f>
        <v>Electra Girl's Hawaii 1 (16-inch) - 2015/2016</v>
      </c>
      <c r="I794">
        <f>VLOOKUP(C794,[1]products!$A:$D,4,FALSE)</f>
        <v>3</v>
      </c>
      <c r="J794" t="str">
        <f>VLOOKUP(I794,[2]categories!$A$1:$B$8,2,FALSE)</f>
        <v>Cruisers Bicycles</v>
      </c>
    </row>
    <row r="795" customHeight="1" spans="1:10">
      <c r="A795" s="1">
        <v>281</v>
      </c>
      <c r="B795" s="1">
        <v>3</v>
      </c>
      <c r="C795" s="1">
        <v>7</v>
      </c>
      <c r="D795" s="1">
        <v>2</v>
      </c>
      <c r="E795" s="1">
        <v>3999.99</v>
      </c>
      <c r="F795" s="1">
        <v>0.07</v>
      </c>
      <c r="G795">
        <f t="shared" si="12"/>
        <v>7999.91</v>
      </c>
      <c r="H795" t="str">
        <f>VLOOKUP(C795,[1]products!$A:$B,2,FALSE)</f>
        <v>Trek Slash 8 27.5 - 2016</v>
      </c>
      <c r="I795">
        <f>VLOOKUP(C795,[1]products!$A:$D,4,FALSE)</f>
        <v>6</v>
      </c>
      <c r="J795" t="str">
        <f>VLOOKUP(I795,[2]categories!$A$1:$B$8,2,FALSE)</f>
        <v>Mountain Bikes</v>
      </c>
    </row>
    <row r="796" customHeight="1" spans="1:10">
      <c r="A796" s="1">
        <v>282</v>
      </c>
      <c r="B796" s="1">
        <v>1</v>
      </c>
      <c r="C796" s="1">
        <v>20</v>
      </c>
      <c r="D796" s="1">
        <v>1</v>
      </c>
      <c r="E796" s="1">
        <v>599.99</v>
      </c>
      <c r="F796" s="1">
        <v>0.07</v>
      </c>
      <c r="G796">
        <f t="shared" si="12"/>
        <v>599.92</v>
      </c>
      <c r="H796" t="str">
        <f>VLOOKUP(C796,[1]products!$A:$B,2,FALSE)</f>
        <v>Electra Townie Original 7D EQ - Women's - 2016</v>
      </c>
      <c r="I796">
        <f>VLOOKUP(C796,[1]products!$A:$D,4,FALSE)</f>
        <v>3</v>
      </c>
      <c r="J796" t="str">
        <f>VLOOKUP(I796,[2]categories!$A$1:$B$8,2,FALSE)</f>
        <v>Cruisers Bicycles</v>
      </c>
    </row>
    <row r="797" customHeight="1" spans="1:10">
      <c r="A797" s="1">
        <v>282</v>
      </c>
      <c r="B797" s="1">
        <v>2</v>
      </c>
      <c r="C797" s="1">
        <v>7</v>
      </c>
      <c r="D797" s="1">
        <v>2</v>
      </c>
      <c r="E797" s="1">
        <v>3999.99</v>
      </c>
      <c r="F797" s="1">
        <v>0.07</v>
      </c>
      <c r="G797">
        <f t="shared" si="12"/>
        <v>7999.91</v>
      </c>
      <c r="H797" t="str">
        <f>VLOOKUP(C797,[1]products!$A:$B,2,FALSE)</f>
        <v>Trek Slash 8 27.5 - 2016</v>
      </c>
      <c r="I797">
        <f>VLOOKUP(C797,[1]products!$A:$D,4,FALSE)</f>
        <v>6</v>
      </c>
      <c r="J797" t="str">
        <f>VLOOKUP(I797,[2]categories!$A$1:$B$8,2,FALSE)</f>
        <v>Mountain Bikes</v>
      </c>
    </row>
    <row r="798" customHeight="1" spans="1:10">
      <c r="A798" s="1">
        <v>282</v>
      </c>
      <c r="B798" s="1">
        <v>3</v>
      </c>
      <c r="C798" s="1">
        <v>3</v>
      </c>
      <c r="D798" s="1">
        <v>2</v>
      </c>
      <c r="E798" s="1">
        <v>999.99</v>
      </c>
      <c r="F798" s="1">
        <v>0.05</v>
      </c>
      <c r="G798">
        <f t="shared" si="12"/>
        <v>1999.93</v>
      </c>
      <c r="H798" t="str">
        <f>VLOOKUP(C798,[1]products!$A:$B,2,FALSE)</f>
        <v>Surly Wednesday Frameset - 2016</v>
      </c>
      <c r="I798">
        <f>VLOOKUP(C798,[1]products!$A:$D,4,FALSE)</f>
        <v>6</v>
      </c>
      <c r="J798" t="str">
        <f>VLOOKUP(I798,[2]categories!$A$1:$B$8,2,FALSE)</f>
        <v>Mountain Bikes</v>
      </c>
    </row>
    <row r="799" customHeight="1" spans="1:10">
      <c r="A799" s="1">
        <v>282</v>
      </c>
      <c r="B799" s="1">
        <v>4</v>
      </c>
      <c r="C799" s="1">
        <v>16</v>
      </c>
      <c r="D799" s="1">
        <v>2</v>
      </c>
      <c r="E799" s="1">
        <v>599.99</v>
      </c>
      <c r="F799" s="1">
        <v>0.07</v>
      </c>
      <c r="G799">
        <f t="shared" si="12"/>
        <v>1199.91</v>
      </c>
      <c r="H799" t="str">
        <f>VLOOKUP(C799,[1]products!$A:$B,2,FALSE)</f>
        <v>Electra Townie Original 7D EQ - 2016</v>
      </c>
      <c r="I799">
        <f>VLOOKUP(C799,[1]products!$A:$D,4,FALSE)</f>
        <v>3</v>
      </c>
      <c r="J799" t="str">
        <f>VLOOKUP(I799,[2]categories!$A$1:$B$8,2,FALSE)</f>
        <v>Cruisers Bicycles</v>
      </c>
    </row>
    <row r="800" customHeight="1" spans="1:10">
      <c r="A800" s="1">
        <v>283</v>
      </c>
      <c r="B800" s="1">
        <v>1</v>
      </c>
      <c r="C800" s="1">
        <v>9</v>
      </c>
      <c r="D800" s="1">
        <v>1</v>
      </c>
      <c r="E800" s="1">
        <v>2999.99</v>
      </c>
      <c r="F800" s="1">
        <v>0.05</v>
      </c>
      <c r="G800">
        <f t="shared" si="12"/>
        <v>2999.94</v>
      </c>
      <c r="H800" t="str">
        <f>VLOOKUP(C800,[1]products!$A:$B,2,FALSE)</f>
        <v>Trek Conduit+ - 2016</v>
      </c>
      <c r="I800">
        <f>VLOOKUP(C800,[1]products!$A:$D,4,FALSE)</f>
        <v>5</v>
      </c>
      <c r="J800" t="str">
        <f>VLOOKUP(I800,[2]categories!$A$1:$B$8,2,FALSE)</f>
        <v>Electric Bikes</v>
      </c>
    </row>
    <row r="801" customHeight="1" spans="1:10">
      <c r="A801" s="1">
        <v>283</v>
      </c>
      <c r="B801" s="1">
        <v>2</v>
      </c>
      <c r="C801" s="1">
        <v>16</v>
      </c>
      <c r="D801" s="1">
        <v>2</v>
      </c>
      <c r="E801" s="1">
        <v>599.99</v>
      </c>
      <c r="F801" s="1">
        <v>0.2</v>
      </c>
      <c r="G801">
        <f t="shared" si="12"/>
        <v>1199.78</v>
      </c>
      <c r="H801" t="str">
        <f>VLOOKUP(C801,[1]products!$A:$B,2,FALSE)</f>
        <v>Electra Townie Original 7D EQ - 2016</v>
      </c>
      <c r="I801">
        <f>VLOOKUP(C801,[1]products!$A:$D,4,FALSE)</f>
        <v>3</v>
      </c>
      <c r="J801" t="str">
        <f>VLOOKUP(I801,[2]categories!$A$1:$B$8,2,FALSE)</f>
        <v>Cruisers Bicycles</v>
      </c>
    </row>
    <row r="802" customHeight="1" spans="1:10">
      <c r="A802" s="1">
        <v>284</v>
      </c>
      <c r="B802" s="1">
        <v>1</v>
      </c>
      <c r="C802" s="1">
        <v>24</v>
      </c>
      <c r="D802" s="1">
        <v>2</v>
      </c>
      <c r="E802" s="1">
        <v>549.99</v>
      </c>
      <c r="F802" s="1">
        <v>0.2</v>
      </c>
      <c r="G802">
        <f t="shared" si="12"/>
        <v>1099.78</v>
      </c>
      <c r="H802" t="str">
        <f>VLOOKUP(C802,[1]products!$A:$B,2,FALSE)</f>
        <v>Electra Townie Original 21D - 2016</v>
      </c>
      <c r="I802">
        <f>VLOOKUP(C802,[1]products!$A:$D,4,FALSE)</f>
        <v>2</v>
      </c>
      <c r="J802" t="str">
        <f>VLOOKUP(I802,[2]categories!$A$1:$B$8,2,FALSE)</f>
        <v>Comfort Bicycles</v>
      </c>
    </row>
    <row r="803" customHeight="1" spans="1:10">
      <c r="A803" s="1">
        <v>284</v>
      </c>
      <c r="B803" s="1">
        <v>2</v>
      </c>
      <c r="C803" s="1">
        <v>20</v>
      </c>
      <c r="D803" s="1">
        <v>1</v>
      </c>
      <c r="E803" s="1">
        <v>599.99</v>
      </c>
      <c r="F803" s="1">
        <v>0.2</v>
      </c>
      <c r="G803">
        <f t="shared" si="12"/>
        <v>599.79</v>
      </c>
      <c r="H803" t="str">
        <f>VLOOKUP(C803,[1]products!$A:$B,2,FALSE)</f>
        <v>Electra Townie Original 7D EQ - Women's - 2016</v>
      </c>
      <c r="I803">
        <f>VLOOKUP(C803,[1]products!$A:$D,4,FALSE)</f>
        <v>3</v>
      </c>
      <c r="J803" t="str">
        <f>VLOOKUP(I803,[2]categories!$A$1:$B$8,2,FALSE)</f>
        <v>Cruisers Bicycles</v>
      </c>
    </row>
    <row r="804" customHeight="1" spans="1:10">
      <c r="A804" s="1">
        <v>285</v>
      </c>
      <c r="B804" s="1">
        <v>1</v>
      </c>
      <c r="C804" s="1">
        <v>16</v>
      </c>
      <c r="D804" s="1">
        <v>2</v>
      </c>
      <c r="E804" s="1">
        <v>599.99</v>
      </c>
      <c r="F804" s="1">
        <v>0.05</v>
      </c>
      <c r="G804">
        <f t="shared" si="12"/>
        <v>1199.93</v>
      </c>
      <c r="H804" t="str">
        <f>VLOOKUP(C804,[1]products!$A:$B,2,FALSE)</f>
        <v>Electra Townie Original 7D EQ - 2016</v>
      </c>
      <c r="I804">
        <f>VLOOKUP(C804,[1]products!$A:$D,4,FALSE)</f>
        <v>3</v>
      </c>
      <c r="J804" t="str">
        <f>VLOOKUP(I804,[2]categories!$A$1:$B$8,2,FALSE)</f>
        <v>Cruisers Bicycles</v>
      </c>
    </row>
    <row r="805" customHeight="1" spans="1:10">
      <c r="A805" s="1">
        <v>285</v>
      </c>
      <c r="B805" s="1">
        <v>2</v>
      </c>
      <c r="C805" s="1">
        <v>12</v>
      </c>
      <c r="D805" s="1">
        <v>1</v>
      </c>
      <c r="E805" s="1">
        <v>549.99</v>
      </c>
      <c r="F805" s="1">
        <v>0.05</v>
      </c>
      <c r="G805">
        <f t="shared" si="12"/>
        <v>549.94</v>
      </c>
      <c r="H805" t="str">
        <f>VLOOKUP(C805,[1]products!$A:$B,2,FALSE)</f>
        <v>Electra Townie Original 21D - 2016</v>
      </c>
      <c r="I805">
        <f>VLOOKUP(C805,[1]products!$A:$D,4,FALSE)</f>
        <v>3</v>
      </c>
      <c r="J805" t="str">
        <f>VLOOKUP(I805,[2]categories!$A$1:$B$8,2,FALSE)</f>
        <v>Cruisers Bicycles</v>
      </c>
    </row>
    <row r="806" customHeight="1" spans="1:10">
      <c r="A806" s="1">
        <v>285</v>
      </c>
      <c r="B806" s="1">
        <v>3</v>
      </c>
      <c r="C806" s="1">
        <v>2</v>
      </c>
      <c r="D806" s="1">
        <v>1</v>
      </c>
      <c r="E806" s="1">
        <v>749.99</v>
      </c>
      <c r="F806" s="1">
        <v>0.1</v>
      </c>
      <c r="G806">
        <f t="shared" si="12"/>
        <v>749.89</v>
      </c>
      <c r="H806" t="str">
        <f>VLOOKUP(C806,[1]products!$A:$B,2,FALSE)</f>
        <v>Ritchey Timberwolf Frameset - 2016</v>
      </c>
      <c r="I806">
        <f>VLOOKUP(C806,[1]products!$A:$D,4,FALSE)</f>
        <v>6</v>
      </c>
      <c r="J806" t="str">
        <f>VLOOKUP(I806,[2]categories!$A$1:$B$8,2,FALSE)</f>
        <v>Mountain Bikes</v>
      </c>
    </row>
    <row r="807" customHeight="1" spans="1:10">
      <c r="A807" s="1">
        <v>286</v>
      </c>
      <c r="B807" s="1">
        <v>1</v>
      </c>
      <c r="C807" s="1">
        <v>26</v>
      </c>
      <c r="D807" s="1">
        <v>2</v>
      </c>
      <c r="E807" s="1">
        <v>599.99</v>
      </c>
      <c r="F807" s="1">
        <v>0.2</v>
      </c>
      <c r="G807">
        <f t="shared" si="12"/>
        <v>1199.78</v>
      </c>
      <c r="H807" t="str">
        <f>VLOOKUP(C807,[1]products!$A:$B,2,FALSE)</f>
        <v>Electra Townie Original 7D EQ - 2016</v>
      </c>
      <c r="I807">
        <f>VLOOKUP(C807,[1]products!$A:$D,4,FALSE)</f>
        <v>2</v>
      </c>
      <c r="J807" t="str">
        <f>VLOOKUP(I807,[2]categories!$A$1:$B$8,2,FALSE)</f>
        <v>Comfort Bicycles</v>
      </c>
    </row>
    <row r="808" customHeight="1" spans="1:10">
      <c r="A808" s="1">
        <v>286</v>
      </c>
      <c r="B808" s="1">
        <v>2</v>
      </c>
      <c r="C808" s="1">
        <v>21</v>
      </c>
      <c r="D808" s="1">
        <v>2</v>
      </c>
      <c r="E808" s="1">
        <v>269.99</v>
      </c>
      <c r="F808" s="1">
        <v>0.07</v>
      </c>
      <c r="G808">
        <f t="shared" si="12"/>
        <v>539.91</v>
      </c>
      <c r="H808" t="str">
        <f>VLOOKUP(C808,[1]products!$A:$B,2,FALSE)</f>
        <v>Electra Cruiser 1 (24-Inch) - 2016</v>
      </c>
      <c r="I808">
        <f>VLOOKUP(C808,[1]products!$A:$D,4,FALSE)</f>
        <v>1</v>
      </c>
      <c r="J808" t="str">
        <f>VLOOKUP(I808,[2]categories!$A$1:$B$8,2,FALSE)</f>
        <v>Children Bicycles</v>
      </c>
    </row>
    <row r="809" customHeight="1" spans="1:10">
      <c r="A809" s="1">
        <v>286</v>
      </c>
      <c r="B809" s="1">
        <v>3</v>
      </c>
      <c r="C809" s="1">
        <v>16</v>
      </c>
      <c r="D809" s="1">
        <v>2</v>
      </c>
      <c r="E809" s="1">
        <v>599.99</v>
      </c>
      <c r="F809" s="1">
        <v>0.1</v>
      </c>
      <c r="G809">
        <f t="shared" si="12"/>
        <v>1199.88</v>
      </c>
      <c r="H809" t="str">
        <f>VLOOKUP(C809,[1]products!$A:$B,2,FALSE)</f>
        <v>Electra Townie Original 7D EQ - 2016</v>
      </c>
      <c r="I809">
        <f>VLOOKUP(C809,[1]products!$A:$D,4,FALSE)</f>
        <v>3</v>
      </c>
      <c r="J809" t="str">
        <f>VLOOKUP(I809,[2]categories!$A$1:$B$8,2,FALSE)</f>
        <v>Cruisers Bicycles</v>
      </c>
    </row>
    <row r="810" customHeight="1" spans="1:10">
      <c r="A810" s="1">
        <v>286</v>
      </c>
      <c r="B810" s="1">
        <v>4</v>
      </c>
      <c r="C810" s="1">
        <v>7</v>
      </c>
      <c r="D810" s="1">
        <v>1</v>
      </c>
      <c r="E810" s="1">
        <v>3999.99</v>
      </c>
      <c r="F810" s="1">
        <v>0.1</v>
      </c>
      <c r="G810">
        <f t="shared" si="12"/>
        <v>3999.89</v>
      </c>
      <c r="H810" t="str">
        <f>VLOOKUP(C810,[1]products!$A:$B,2,FALSE)</f>
        <v>Trek Slash 8 27.5 - 2016</v>
      </c>
      <c r="I810">
        <f>VLOOKUP(C810,[1]products!$A:$D,4,FALSE)</f>
        <v>6</v>
      </c>
      <c r="J810" t="str">
        <f>VLOOKUP(I810,[2]categories!$A$1:$B$8,2,FALSE)</f>
        <v>Mountain Bikes</v>
      </c>
    </row>
    <row r="811" customHeight="1" spans="1:10">
      <c r="A811" s="1">
        <v>287</v>
      </c>
      <c r="B811" s="1">
        <v>1</v>
      </c>
      <c r="C811" s="1">
        <v>5</v>
      </c>
      <c r="D811" s="1">
        <v>1</v>
      </c>
      <c r="E811" s="1">
        <v>1320.99</v>
      </c>
      <c r="F811" s="1">
        <v>0.2</v>
      </c>
      <c r="G811">
        <f t="shared" si="12"/>
        <v>1320.79</v>
      </c>
      <c r="H811" t="str">
        <f>VLOOKUP(C811,[1]products!$A:$B,2,FALSE)</f>
        <v>Heller Shagamaw Frame - 2016</v>
      </c>
      <c r="I811">
        <f>VLOOKUP(C811,[1]products!$A:$D,4,FALSE)</f>
        <v>6</v>
      </c>
      <c r="J811" t="str">
        <f>VLOOKUP(I811,[2]categories!$A$1:$B$8,2,FALSE)</f>
        <v>Mountain Bikes</v>
      </c>
    </row>
    <row r="812" customHeight="1" spans="1:10">
      <c r="A812" s="1">
        <v>287</v>
      </c>
      <c r="B812" s="1">
        <v>2</v>
      </c>
      <c r="C812" s="1">
        <v>10</v>
      </c>
      <c r="D812" s="1">
        <v>1</v>
      </c>
      <c r="E812" s="1">
        <v>1549</v>
      </c>
      <c r="F812" s="1">
        <v>0.05</v>
      </c>
      <c r="G812">
        <f t="shared" si="12"/>
        <v>1548.95</v>
      </c>
      <c r="H812" t="str">
        <f>VLOOKUP(C812,[1]products!$A:$B,2,FALSE)</f>
        <v>Surly Straggler - 2016</v>
      </c>
      <c r="I812">
        <f>VLOOKUP(C812,[1]products!$A:$D,4,FALSE)</f>
        <v>4</v>
      </c>
      <c r="J812" t="str">
        <f>VLOOKUP(I812,[2]categories!$A$1:$B$8,2,FALSE)</f>
        <v>Cyclocross Bicycles</v>
      </c>
    </row>
    <row r="813" customHeight="1" spans="1:10">
      <c r="A813" s="1">
        <v>287</v>
      </c>
      <c r="B813" s="1">
        <v>3</v>
      </c>
      <c r="C813" s="1">
        <v>2</v>
      </c>
      <c r="D813" s="1">
        <v>1</v>
      </c>
      <c r="E813" s="1">
        <v>749.99</v>
      </c>
      <c r="F813" s="1">
        <v>0.05</v>
      </c>
      <c r="G813">
        <f t="shared" si="12"/>
        <v>749.94</v>
      </c>
      <c r="H813" t="str">
        <f>VLOOKUP(C813,[1]products!$A:$B,2,FALSE)</f>
        <v>Ritchey Timberwolf Frameset - 2016</v>
      </c>
      <c r="I813">
        <f>VLOOKUP(C813,[1]products!$A:$D,4,FALSE)</f>
        <v>6</v>
      </c>
      <c r="J813" t="str">
        <f>VLOOKUP(I813,[2]categories!$A$1:$B$8,2,FALSE)</f>
        <v>Mountain Bikes</v>
      </c>
    </row>
    <row r="814" customHeight="1" spans="1:10">
      <c r="A814" s="1">
        <v>287</v>
      </c>
      <c r="B814" s="1">
        <v>4</v>
      </c>
      <c r="C814" s="1">
        <v>20</v>
      </c>
      <c r="D814" s="1">
        <v>1</v>
      </c>
      <c r="E814" s="1">
        <v>599.99</v>
      </c>
      <c r="F814" s="1">
        <v>0.05</v>
      </c>
      <c r="G814">
        <f t="shared" si="12"/>
        <v>599.94</v>
      </c>
      <c r="H814" t="str">
        <f>VLOOKUP(C814,[1]products!$A:$B,2,FALSE)</f>
        <v>Electra Townie Original 7D EQ - Women's - 2016</v>
      </c>
      <c r="I814">
        <f>VLOOKUP(C814,[1]products!$A:$D,4,FALSE)</f>
        <v>3</v>
      </c>
      <c r="J814" t="str">
        <f>VLOOKUP(I814,[2]categories!$A$1:$B$8,2,FALSE)</f>
        <v>Cruisers Bicycles</v>
      </c>
    </row>
    <row r="815" customHeight="1" spans="1:10">
      <c r="A815" s="1">
        <v>288</v>
      </c>
      <c r="B815" s="1">
        <v>1</v>
      </c>
      <c r="C815" s="1">
        <v>4</v>
      </c>
      <c r="D815" s="1">
        <v>1</v>
      </c>
      <c r="E815" s="1">
        <v>2899.99</v>
      </c>
      <c r="F815" s="1">
        <v>0.2</v>
      </c>
      <c r="G815">
        <f t="shared" si="12"/>
        <v>2899.79</v>
      </c>
      <c r="H815" t="str">
        <f>VLOOKUP(C815,[1]products!$A:$B,2,FALSE)</f>
        <v>Trek Fuel EX 8 29 - 2016</v>
      </c>
      <c r="I815">
        <f>VLOOKUP(C815,[1]products!$A:$D,4,FALSE)</f>
        <v>6</v>
      </c>
      <c r="J815" t="str">
        <f>VLOOKUP(I815,[2]categories!$A$1:$B$8,2,FALSE)</f>
        <v>Mountain Bikes</v>
      </c>
    </row>
    <row r="816" customHeight="1" spans="1:10">
      <c r="A816" s="1">
        <v>288</v>
      </c>
      <c r="B816" s="1">
        <v>2</v>
      </c>
      <c r="C816" s="1">
        <v>10</v>
      </c>
      <c r="D816" s="1">
        <v>1</v>
      </c>
      <c r="E816" s="1">
        <v>1549</v>
      </c>
      <c r="F816" s="1">
        <v>0.1</v>
      </c>
      <c r="G816">
        <f t="shared" si="12"/>
        <v>1548.9</v>
      </c>
      <c r="H816" t="str">
        <f>VLOOKUP(C816,[1]products!$A:$B,2,FALSE)</f>
        <v>Surly Straggler - 2016</v>
      </c>
      <c r="I816">
        <f>VLOOKUP(C816,[1]products!$A:$D,4,FALSE)</f>
        <v>4</v>
      </c>
      <c r="J816" t="str">
        <f>VLOOKUP(I816,[2]categories!$A$1:$B$8,2,FALSE)</f>
        <v>Cyclocross Bicycles</v>
      </c>
    </row>
    <row r="817" customHeight="1" spans="1:10">
      <c r="A817" s="1">
        <v>288</v>
      </c>
      <c r="B817" s="1">
        <v>3</v>
      </c>
      <c r="C817" s="1">
        <v>7</v>
      </c>
      <c r="D817" s="1">
        <v>2</v>
      </c>
      <c r="E817" s="1">
        <v>3999.99</v>
      </c>
      <c r="F817" s="1">
        <v>0.05</v>
      </c>
      <c r="G817">
        <f t="shared" si="12"/>
        <v>7999.93</v>
      </c>
      <c r="H817" t="str">
        <f>VLOOKUP(C817,[1]products!$A:$B,2,FALSE)</f>
        <v>Trek Slash 8 27.5 - 2016</v>
      </c>
      <c r="I817">
        <f>VLOOKUP(C817,[1]products!$A:$D,4,FALSE)</f>
        <v>6</v>
      </c>
      <c r="J817" t="str">
        <f>VLOOKUP(I817,[2]categories!$A$1:$B$8,2,FALSE)</f>
        <v>Mountain Bikes</v>
      </c>
    </row>
    <row r="818" customHeight="1" spans="1:10">
      <c r="A818" s="1">
        <v>289</v>
      </c>
      <c r="B818" s="1">
        <v>1</v>
      </c>
      <c r="C818" s="1">
        <v>13</v>
      </c>
      <c r="D818" s="1">
        <v>1</v>
      </c>
      <c r="E818" s="1">
        <v>269.99</v>
      </c>
      <c r="F818" s="1">
        <v>0.07</v>
      </c>
      <c r="G818">
        <f t="shared" si="12"/>
        <v>269.92</v>
      </c>
      <c r="H818" t="str">
        <f>VLOOKUP(C818,[1]products!$A:$B,2,FALSE)</f>
        <v>Electra Cruiser 1 (24-Inch) - 2016</v>
      </c>
      <c r="I818">
        <f>VLOOKUP(C818,[1]products!$A:$D,4,FALSE)</f>
        <v>3</v>
      </c>
      <c r="J818" t="str">
        <f>VLOOKUP(I818,[2]categories!$A$1:$B$8,2,FALSE)</f>
        <v>Cruisers Bicycles</v>
      </c>
    </row>
    <row r="819" customHeight="1" spans="1:10">
      <c r="A819" s="1">
        <v>289</v>
      </c>
      <c r="B819" s="1">
        <v>2</v>
      </c>
      <c r="C819" s="1">
        <v>24</v>
      </c>
      <c r="D819" s="1">
        <v>1</v>
      </c>
      <c r="E819" s="1">
        <v>549.99</v>
      </c>
      <c r="F819" s="1">
        <v>0.2</v>
      </c>
      <c r="G819">
        <f t="shared" si="12"/>
        <v>549.79</v>
      </c>
      <c r="H819" t="str">
        <f>VLOOKUP(C819,[1]products!$A:$B,2,FALSE)</f>
        <v>Electra Townie Original 21D - 2016</v>
      </c>
      <c r="I819">
        <f>VLOOKUP(C819,[1]products!$A:$D,4,FALSE)</f>
        <v>2</v>
      </c>
      <c r="J819" t="str">
        <f>VLOOKUP(I819,[2]categories!$A$1:$B$8,2,FALSE)</f>
        <v>Comfort Bicycles</v>
      </c>
    </row>
    <row r="820" customHeight="1" spans="1:10">
      <c r="A820" s="1">
        <v>289</v>
      </c>
      <c r="B820" s="1">
        <v>3</v>
      </c>
      <c r="C820" s="1">
        <v>17</v>
      </c>
      <c r="D820" s="1">
        <v>1</v>
      </c>
      <c r="E820" s="1">
        <v>429</v>
      </c>
      <c r="F820" s="1">
        <v>0.2</v>
      </c>
      <c r="G820">
        <f t="shared" si="12"/>
        <v>428.8</v>
      </c>
      <c r="H820" t="str">
        <f>VLOOKUP(C820,[1]products!$A:$B,2,FALSE)</f>
        <v>Pure Cycles Vine 8-Speed - 2016</v>
      </c>
      <c r="I820">
        <f>VLOOKUP(C820,[1]products!$A:$D,4,FALSE)</f>
        <v>3</v>
      </c>
      <c r="J820" t="str">
        <f>VLOOKUP(I820,[2]categories!$A$1:$B$8,2,FALSE)</f>
        <v>Cruisers Bicycles</v>
      </c>
    </row>
    <row r="821" customHeight="1" spans="1:10">
      <c r="A821" s="1">
        <v>290</v>
      </c>
      <c r="B821" s="1">
        <v>1</v>
      </c>
      <c r="C821" s="1">
        <v>2</v>
      </c>
      <c r="D821" s="1">
        <v>2</v>
      </c>
      <c r="E821" s="1">
        <v>749.99</v>
      </c>
      <c r="F821" s="1">
        <v>0.07</v>
      </c>
      <c r="G821">
        <f t="shared" si="12"/>
        <v>1499.91</v>
      </c>
      <c r="H821" t="str">
        <f>VLOOKUP(C821,[1]products!$A:$B,2,FALSE)</f>
        <v>Ritchey Timberwolf Frameset - 2016</v>
      </c>
      <c r="I821">
        <f>VLOOKUP(C821,[1]products!$A:$D,4,FALSE)</f>
        <v>6</v>
      </c>
      <c r="J821" t="str">
        <f>VLOOKUP(I821,[2]categories!$A$1:$B$8,2,FALSE)</f>
        <v>Mountain Bikes</v>
      </c>
    </row>
    <row r="822" customHeight="1" spans="1:10">
      <c r="A822" s="1">
        <v>290</v>
      </c>
      <c r="B822" s="1">
        <v>2</v>
      </c>
      <c r="C822" s="1">
        <v>5</v>
      </c>
      <c r="D822" s="1">
        <v>2</v>
      </c>
      <c r="E822" s="1">
        <v>1320.99</v>
      </c>
      <c r="F822" s="1">
        <v>0.07</v>
      </c>
      <c r="G822">
        <f t="shared" si="12"/>
        <v>2641.91</v>
      </c>
      <c r="H822" t="str">
        <f>VLOOKUP(C822,[1]products!$A:$B,2,FALSE)</f>
        <v>Heller Shagamaw Frame - 2016</v>
      </c>
      <c r="I822">
        <f>VLOOKUP(C822,[1]products!$A:$D,4,FALSE)</f>
        <v>6</v>
      </c>
      <c r="J822" t="str">
        <f>VLOOKUP(I822,[2]categories!$A$1:$B$8,2,FALSE)</f>
        <v>Mountain Bikes</v>
      </c>
    </row>
    <row r="823" customHeight="1" spans="1:10">
      <c r="A823" s="1">
        <v>290</v>
      </c>
      <c r="B823" s="1">
        <v>3</v>
      </c>
      <c r="C823" s="1">
        <v>21</v>
      </c>
      <c r="D823" s="1">
        <v>1</v>
      </c>
      <c r="E823" s="1">
        <v>269.99</v>
      </c>
      <c r="F823" s="1">
        <v>0.1</v>
      </c>
      <c r="G823">
        <f t="shared" si="12"/>
        <v>269.89</v>
      </c>
      <c r="H823" t="str">
        <f>VLOOKUP(C823,[1]products!$A:$B,2,FALSE)</f>
        <v>Electra Cruiser 1 (24-Inch) - 2016</v>
      </c>
      <c r="I823">
        <f>VLOOKUP(C823,[1]products!$A:$D,4,FALSE)</f>
        <v>1</v>
      </c>
      <c r="J823" t="str">
        <f>VLOOKUP(I823,[2]categories!$A$1:$B$8,2,FALSE)</f>
        <v>Children Bicycles</v>
      </c>
    </row>
    <row r="824" customHeight="1" spans="1:10">
      <c r="A824" s="1">
        <v>291</v>
      </c>
      <c r="B824" s="1">
        <v>1</v>
      </c>
      <c r="C824" s="1">
        <v>6</v>
      </c>
      <c r="D824" s="1">
        <v>2</v>
      </c>
      <c r="E824" s="1">
        <v>469.99</v>
      </c>
      <c r="F824" s="1">
        <v>0.05</v>
      </c>
      <c r="G824">
        <f t="shared" si="12"/>
        <v>939.93</v>
      </c>
      <c r="H824" t="str">
        <f>VLOOKUP(C824,[1]products!$A:$B,2,FALSE)</f>
        <v>Surly Ice Cream Truck Frameset - 2016</v>
      </c>
      <c r="I824">
        <f>VLOOKUP(C824,[1]products!$A:$D,4,FALSE)</f>
        <v>6</v>
      </c>
      <c r="J824" t="str">
        <f>VLOOKUP(I824,[2]categories!$A$1:$B$8,2,FALSE)</f>
        <v>Mountain Bikes</v>
      </c>
    </row>
    <row r="825" customHeight="1" spans="1:10">
      <c r="A825" s="1">
        <v>291</v>
      </c>
      <c r="B825" s="1">
        <v>2</v>
      </c>
      <c r="C825" s="1">
        <v>21</v>
      </c>
      <c r="D825" s="1">
        <v>2</v>
      </c>
      <c r="E825" s="1">
        <v>269.99</v>
      </c>
      <c r="F825" s="1">
        <v>0.07</v>
      </c>
      <c r="G825">
        <f t="shared" si="12"/>
        <v>539.91</v>
      </c>
      <c r="H825" t="str">
        <f>VLOOKUP(C825,[1]products!$A:$B,2,FALSE)</f>
        <v>Electra Cruiser 1 (24-Inch) - 2016</v>
      </c>
      <c r="I825">
        <f>VLOOKUP(C825,[1]products!$A:$D,4,FALSE)</f>
        <v>1</v>
      </c>
      <c r="J825" t="str">
        <f>VLOOKUP(I825,[2]categories!$A$1:$B$8,2,FALSE)</f>
        <v>Children Bicycles</v>
      </c>
    </row>
    <row r="826" customHeight="1" spans="1:10">
      <c r="A826" s="1">
        <v>292</v>
      </c>
      <c r="B826" s="1">
        <v>1</v>
      </c>
      <c r="C826" s="1">
        <v>18</v>
      </c>
      <c r="D826" s="1">
        <v>2</v>
      </c>
      <c r="E826" s="1">
        <v>449</v>
      </c>
      <c r="F826" s="1">
        <v>0.1</v>
      </c>
      <c r="G826">
        <f t="shared" si="12"/>
        <v>897.9</v>
      </c>
      <c r="H826" t="str">
        <f>VLOOKUP(C826,[1]products!$A:$B,2,FALSE)</f>
        <v>Pure Cycles Western 3-Speed - Women's - 2015/2016</v>
      </c>
      <c r="I826">
        <f>VLOOKUP(C826,[1]products!$A:$D,4,FALSE)</f>
        <v>3</v>
      </c>
      <c r="J826" t="str">
        <f>VLOOKUP(I826,[2]categories!$A$1:$B$8,2,FALSE)</f>
        <v>Cruisers Bicycles</v>
      </c>
    </row>
    <row r="827" customHeight="1" spans="1:10">
      <c r="A827" s="1">
        <v>292</v>
      </c>
      <c r="B827" s="1">
        <v>2</v>
      </c>
      <c r="C827" s="1">
        <v>4</v>
      </c>
      <c r="D827" s="1">
        <v>1</v>
      </c>
      <c r="E827" s="1">
        <v>2899.99</v>
      </c>
      <c r="F827" s="1">
        <v>0.07</v>
      </c>
      <c r="G827">
        <f t="shared" si="12"/>
        <v>2899.92</v>
      </c>
      <c r="H827" t="str">
        <f>VLOOKUP(C827,[1]products!$A:$B,2,FALSE)</f>
        <v>Trek Fuel EX 8 29 - 2016</v>
      </c>
      <c r="I827">
        <f>VLOOKUP(C827,[1]products!$A:$D,4,FALSE)</f>
        <v>6</v>
      </c>
      <c r="J827" t="str">
        <f>VLOOKUP(I827,[2]categories!$A$1:$B$8,2,FALSE)</f>
        <v>Mountain Bikes</v>
      </c>
    </row>
    <row r="828" customHeight="1" spans="1:10">
      <c r="A828" s="1">
        <v>292</v>
      </c>
      <c r="B828" s="1">
        <v>3</v>
      </c>
      <c r="C828" s="1">
        <v>10</v>
      </c>
      <c r="D828" s="1">
        <v>2</v>
      </c>
      <c r="E828" s="1">
        <v>1549</v>
      </c>
      <c r="F828" s="1">
        <v>0.05</v>
      </c>
      <c r="G828">
        <f t="shared" si="12"/>
        <v>3097.95</v>
      </c>
      <c r="H828" t="str">
        <f>VLOOKUP(C828,[1]products!$A:$B,2,FALSE)</f>
        <v>Surly Straggler - 2016</v>
      </c>
      <c r="I828">
        <f>VLOOKUP(C828,[1]products!$A:$D,4,FALSE)</f>
        <v>4</v>
      </c>
      <c r="J828" t="str">
        <f>VLOOKUP(I828,[2]categories!$A$1:$B$8,2,FALSE)</f>
        <v>Cyclocross Bicycles</v>
      </c>
    </row>
    <row r="829" customHeight="1" spans="1:10">
      <c r="A829" s="1">
        <v>293</v>
      </c>
      <c r="B829" s="1">
        <v>1</v>
      </c>
      <c r="C829" s="1">
        <v>19</v>
      </c>
      <c r="D829" s="1">
        <v>2</v>
      </c>
      <c r="E829" s="1">
        <v>449</v>
      </c>
      <c r="F829" s="1">
        <v>0.05</v>
      </c>
      <c r="G829">
        <f t="shared" si="12"/>
        <v>897.95</v>
      </c>
      <c r="H829" t="str">
        <f>VLOOKUP(C829,[1]products!$A:$B,2,FALSE)</f>
        <v>Pure Cycles William 3-Speed - 2016</v>
      </c>
      <c r="I829">
        <f>VLOOKUP(C829,[1]products!$A:$D,4,FALSE)</f>
        <v>3</v>
      </c>
      <c r="J829" t="str">
        <f>VLOOKUP(I829,[2]categories!$A$1:$B$8,2,FALSE)</f>
        <v>Cruisers Bicycles</v>
      </c>
    </row>
    <row r="830" customHeight="1" spans="1:10">
      <c r="A830" s="1">
        <v>293</v>
      </c>
      <c r="B830" s="1">
        <v>2</v>
      </c>
      <c r="C830" s="1">
        <v>6</v>
      </c>
      <c r="D830" s="1">
        <v>1</v>
      </c>
      <c r="E830" s="1">
        <v>469.99</v>
      </c>
      <c r="F830" s="1">
        <v>0.2</v>
      </c>
      <c r="G830">
        <f t="shared" si="12"/>
        <v>469.79</v>
      </c>
      <c r="H830" t="str">
        <f>VLOOKUP(C830,[1]products!$A:$B,2,FALSE)</f>
        <v>Surly Ice Cream Truck Frameset - 2016</v>
      </c>
      <c r="I830">
        <f>VLOOKUP(C830,[1]products!$A:$D,4,FALSE)</f>
        <v>6</v>
      </c>
      <c r="J830" t="str">
        <f>VLOOKUP(I830,[2]categories!$A$1:$B$8,2,FALSE)</f>
        <v>Mountain Bikes</v>
      </c>
    </row>
    <row r="831" customHeight="1" spans="1:10">
      <c r="A831" s="1">
        <v>294</v>
      </c>
      <c r="B831" s="1">
        <v>1</v>
      </c>
      <c r="C831" s="1">
        <v>18</v>
      </c>
      <c r="D831" s="1">
        <v>1</v>
      </c>
      <c r="E831" s="1">
        <v>449</v>
      </c>
      <c r="F831" s="1">
        <v>0.2</v>
      </c>
      <c r="G831">
        <f t="shared" si="12"/>
        <v>448.8</v>
      </c>
      <c r="H831" t="str">
        <f>VLOOKUP(C831,[1]products!$A:$B,2,FALSE)</f>
        <v>Pure Cycles Western 3-Speed - Women's - 2015/2016</v>
      </c>
      <c r="I831">
        <f>VLOOKUP(C831,[1]products!$A:$D,4,FALSE)</f>
        <v>3</v>
      </c>
      <c r="J831" t="str">
        <f>VLOOKUP(I831,[2]categories!$A$1:$B$8,2,FALSE)</f>
        <v>Cruisers Bicycles</v>
      </c>
    </row>
    <row r="832" customHeight="1" spans="1:10">
      <c r="A832" s="1">
        <v>294</v>
      </c>
      <c r="B832" s="1">
        <v>2</v>
      </c>
      <c r="C832" s="1">
        <v>14</v>
      </c>
      <c r="D832" s="1">
        <v>1</v>
      </c>
      <c r="E832" s="1">
        <v>269.99</v>
      </c>
      <c r="F832" s="1">
        <v>0.2</v>
      </c>
      <c r="G832">
        <f t="shared" si="12"/>
        <v>269.79</v>
      </c>
      <c r="H832" t="str">
        <f>VLOOKUP(C832,[1]products!$A:$B,2,FALSE)</f>
        <v>Electra Girl's Hawaii 1 (16-inch) - 2015/2016</v>
      </c>
      <c r="I832">
        <f>VLOOKUP(C832,[1]products!$A:$D,4,FALSE)</f>
        <v>3</v>
      </c>
      <c r="J832" t="str">
        <f>VLOOKUP(I832,[2]categories!$A$1:$B$8,2,FALSE)</f>
        <v>Cruisers Bicycles</v>
      </c>
    </row>
    <row r="833" customHeight="1" spans="1:10">
      <c r="A833" s="1">
        <v>294</v>
      </c>
      <c r="B833" s="1">
        <v>3</v>
      </c>
      <c r="C833" s="1">
        <v>7</v>
      </c>
      <c r="D833" s="1">
        <v>2</v>
      </c>
      <c r="E833" s="1">
        <v>3999.99</v>
      </c>
      <c r="F833" s="1">
        <v>0.05</v>
      </c>
      <c r="G833">
        <f t="shared" si="12"/>
        <v>7999.93</v>
      </c>
      <c r="H833" t="str">
        <f>VLOOKUP(C833,[1]products!$A:$B,2,FALSE)</f>
        <v>Trek Slash 8 27.5 - 2016</v>
      </c>
      <c r="I833">
        <f>VLOOKUP(C833,[1]products!$A:$D,4,FALSE)</f>
        <v>6</v>
      </c>
      <c r="J833" t="str">
        <f>VLOOKUP(I833,[2]categories!$A$1:$B$8,2,FALSE)</f>
        <v>Mountain Bikes</v>
      </c>
    </row>
    <row r="834" customHeight="1" spans="1:10">
      <c r="A834" s="1">
        <v>294</v>
      </c>
      <c r="B834" s="1">
        <v>4</v>
      </c>
      <c r="C834" s="1">
        <v>25</v>
      </c>
      <c r="D834" s="1">
        <v>2</v>
      </c>
      <c r="E834" s="1">
        <v>499.99</v>
      </c>
      <c r="F834" s="1">
        <v>0.2</v>
      </c>
      <c r="G834">
        <f t="shared" si="12"/>
        <v>999.78</v>
      </c>
      <c r="H834" t="str">
        <f>VLOOKUP(C834,[1]products!$A:$B,2,FALSE)</f>
        <v>Electra Townie Original 7D - 2015/2016</v>
      </c>
      <c r="I834">
        <f>VLOOKUP(C834,[1]products!$A:$D,4,FALSE)</f>
        <v>2</v>
      </c>
      <c r="J834" t="str">
        <f>VLOOKUP(I834,[2]categories!$A$1:$B$8,2,FALSE)</f>
        <v>Comfort Bicycles</v>
      </c>
    </row>
    <row r="835" customHeight="1" spans="1:10">
      <c r="A835" s="1">
        <v>295</v>
      </c>
      <c r="B835" s="1">
        <v>1</v>
      </c>
      <c r="C835" s="1">
        <v>22</v>
      </c>
      <c r="D835" s="1">
        <v>2</v>
      </c>
      <c r="E835" s="1">
        <v>269.99</v>
      </c>
      <c r="F835" s="1">
        <v>0.07</v>
      </c>
      <c r="G835">
        <f t="shared" ref="G835:G898" si="13">(E835*D835)-F835</f>
        <v>539.91</v>
      </c>
      <c r="H835" t="str">
        <f>VLOOKUP(C835,[1]products!$A:$B,2,FALSE)</f>
        <v>Electra Girl's Hawaii 1 (16-inch) - 2015/2016</v>
      </c>
      <c r="I835">
        <f>VLOOKUP(C835,[1]products!$A:$D,4,FALSE)</f>
        <v>1</v>
      </c>
      <c r="J835" t="str">
        <f>VLOOKUP(I835,[2]categories!$A$1:$B$8,2,FALSE)</f>
        <v>Children Bicycles</v>
      </c>
    </row>
    <row r="836" customHeight="1" spans="1:10">
      <c r="A836" s="1">
        <v>296</v>
      </c>
      <c r="B836" s="1">
        <v>1</v>
      </c>
      <c r="C836" s="1">
        <v>25</v>
      </c>
      <c r="D836" s="1">
        <v>2</v>
      </c>
      <c r="E836" s="1">
        <v>499.99</v>
      </c>
      <c r="F836" s="1">
        <v>0.07</v>
      </c>
      <c r="G836">
        <f t="shared" si="13"/>
        <v>999.91</v>
      </c>
      <c r="H836" t="str">
        <f>VLOOKUP(C836,[1]products!$A:$B,2,FALSE)</f>
        <v>Electra Townie Original 7D - 2015/2016</v>
      </c>
      <c r="I836">
        <f>VLOOKUP(C836,[1]products!$A:$D,4,FALSE)</f>
        <v>2</v>
      </c>
      <c r="J836" t="str">
        <f>VLOOKUP(I836,[2]categories!$A$1:$B$8,2,FALSE)</f>
        <v>Comfort Bicycles</v>
      </c>
    </row>
    <row r="837" customHeight="1" spans="1:10">
      <c r="A837" s="1">
        <v>296</v>
      </c>
      <c r="B837" s="1">
        <v>2</v>
      </c>
      <c r="C837" s="1">
        <v>12</v>
      </c>
      <c r="D837" s="1">
        <v>2</v>
      </c>
      <c r="E837" s="1">
        <v>549.99</v>
      </c>
      <c r="F837" s="1">
        <v>0.1</v>
      </c>
      <c r="G837">
        <f t="shared" si="13"/>
        <v>1099.88</v>
      </c>
      <c r="H837" t="str">
        <f>VLOOKUP(C837,[1]products!$A:$B,2,FALSE)</f>
        <v>Electra Townie Original 21D - 2016</v>
      </c>
      <c r="I837">
        <f>VLOOKUP(C837,[1]products!$A:$D,4,FALSE)</f>
        <v>3</v>
      </c>
      <c r="J837" t="str">
        <f>VLOOKUP(I837,[2]categories!$A$1:$B$8,2,FALSE)</f>
        <v>Cruisers Bicycles</v>
      </c>
    </row>
    <row r="838" customHeight="1" spans="1:10">
      <c r="A838" s="1">
        <v>296</v>
      </c>
      <c r="B838" s="1">
        <v>3</v>
      </c>
      <c r="C838" s="1">
        <v>11</v>
      </c>
      <c r="D838" s="1">
        <v>2</v>
      </c>
      <c r="E838" s="1">
        <v>1680.99</v>
      </c>
      <c r="F838" s="1">
        <v>0.1</v>
      </c>
      <c r="G838">
        <f t="shared" si="13"/>
        <v>3361.88</v>
      </c>
      <c r="H838" t="str">
        <f>VLOOKUP(C838,[1]products!$A:$B,2,FALSE)</f>
        <v>Surly Straggler 650b - 2016</v>
      </c>
      <c r="I838">
        <f>VLOOKUP(C838,[1]products!$A:$D,4,FALSE)</f>
        <v>4</v>
      </c>
      <c r="J838" t="str">
        <f>VLOOKUP(I838,[2]categories!$A$1:$B$8,2,FALSE)</f>
        <v>Cyclocross Bicycles</v>
      </c>
    </row>
    <row r="839" customHeight="1" spans="1:10">
      <c r="A839" s="1">
        <v>296</v>
      </c>
      <c r="B839" s="1">
        <v>4</v>
      </c>
      <c r="C839" s="1">
        <v>9</v>
      </c>
      <c r="D839" s="1">
        <v>1</v>
      </c>
      <c r="E839" s="1">
        <v>2999.99</v>
      </c>
      <c r="F839" s="1">
        <v>0.2</v>
      </c>
      <c r="G839">
        <f t="shared" si="13"/>
        <v>2999.79</v>
      </c>
      <c r="H839" t="str">
        <f>VLOOKUP(C839,[1]products!$A:$B,2,FALSE)</f>
        <v>Trek Conduit+ - 2016</v>
      </c>
      <c r="I839">
        <f>VLOOKUP(C839,[1]products!$A:$D,4,FALSE)</f>
        <v>5</v>
      </c>
      <c r="J839" t="str">
        <f>VLOOKUP(I839,[2]categories!$A$1:$B$8,2,FALSE)</f>
        <v>Electric Bikes</v>
      </c>
    </row>
    <row r="840" customHeight="1" spans="1:10">
      <c r="A840" s="1">
        <v>297</v>
      </c>
      <c r="B840" s="1">
        <v>1</v>
      </c>
      <c r="C840" s="1">
        <v>4</v>
      </c>
      <c r="D840" s="1">
        <v>2</v>
      </c>
      <c r="E840" s="1">
        <v>2899.99</v>
      </c>
      <c r="F840" s="1">
        <v>0.2</v>
      </c>
      <c r="G840">
        <f t="shared" si="13"/>
        <v>5799.78</v>
      </c>
      <c r="H840" t="str">
        <f>VLOOKUP(C840,[1]products!$A:$B,2,FALSE)</f>
        <v>Trek Fuel EX 8 29 - 2016</v>
      </c>
      <c r="I840">
        <f>VLOOKUP(C840,[1]products!$A:$D,4,FALSE)</f>
        <v>6</v>
      </c>
      <c r="J840" t="str">
        <f>VLOOKUP(I840,[2]categories!$A$1:$B$8,2,FALSE)</f>
        <v>Mountain Bikes</v>
      </c>
    </row>
    <row r="841" customHeight="1" spans="1:10">
      <c r="A841" s="1">
        <v>298</v>
      </c>
      <c r="B841" s="1">
        <v>1</v>
      </c>
      <c r="C841" s="1">
        <v>23</v>
      </c>
      <c r="D841" s="1">
        <v>1</v>
      </c>
      <c r="E841" s="1">
        <v>299.99</v>
      </c>
      <c r="F841" s="1">
        <v>0.2</v>
      </c>
      <c r="G841">
        <f t="shared" si="13"/>
        <v>299.79</v>
      </c>
      <c r="H841" t="str">
        <f>VLOOKUP(C841,[1]products!$A:$B,2,FALSE)</f>
        <v>Electra Girl's Hawaii 1 (20-inch) - 2015/2016</v>
      </c>
      <c r="I841">
        <f>VLOOKUP(C841,[1]products!$A:$D,4,FALSE)</f>
        <v>1</v>
      </c>
      <c r="J841" t="str">
        <f>VLOOKUP(I841,[2]categories!$A$1:$B$8,2,FALSE)</f>
        <v>Children Bicycles</v>
      </c>
    </row>
    <row r="842" customHeight="1" spans="1:10">
      <c r="A842" s="1">
        <v>298</v>
      </c>
      <c r="B842" s="1">
        <v>2</v>
      </c>
      <c r="C842" s="1">
        <v>6</v>
      </c>
      <c r="D842" s="1">
        <v>2</v>
      </c>
      <c r="E842" s="1">
        <v>469.99</v>
      </c>
      <c r="F842" s="1">
        <v>0.05</v>
      </c>
      <c r="G842">
        <f t="shared" si="13"/>
        <v>939.93</v>
      </c>
      <c r="H842" t="str">
        <f>VLOOKUP(C842,[1]products!$A:$B,2,FALSE)</f>
        <v>Surly Ice Cream Truck Frameset - 2016</v>
      </c>
      <c r="I842">
        <f>VLOOKUP(C842,[1]products!$A:$D,4,FALSE)</f>
        <v>6</v>
      </c>
      <c r="J842" t="str">
        <f>VLOOKUP(I842,[2]categories!$A$1:$B$8,2,FALSE)</f>
        <v>Mountain Bikes</v>
      </c>
    </row>
    <row r="843" customHeight="1" spans="1:10">
      <c r="A843" s="1">
        <v>298</v>
      </c>
      <c r="B843" s="1">
        <v>3</v>
      </c>
      <c r="C843" s="1">
        <v>22</v>
      </c>
      <c r="D843" s="1">
        <v>1</v>
      </c>
      <c r="E843" s="1">
        <v>269.99</v>
      </c>
      <c r="F843" s="1">
        <v>0.2</v>
      </c>
      <c r="G843">
        <f t="shared" si="13"/>
        <v>269.79</v>
      </c>
      <c r="H843" t="str">
        <f>VLOOKUP(C843,[1]products!$A:$B,2,FALSE)</f>
        <v>Electra Girl's Hawaii 1 (16-inch) - 2015/2016</v>
      </c>
      <c r="I843">
        <f>VLOOKUP(C843,[1]products!$A:$D,4,FALSE)</f>
        <v>1</v>
      </c>
      <c r="J843" t="str">
        <f>VLOOKUP(I843,[2]categories!$A$1:$B$8,2,FALSE)</f>
        <v>Children Bicycles</v>
      </c>
    </row>
    <row r="844" customHeight="1" spans="1:10">
      <c r="A844" s="1">
        <v>298</v>
      </c>
      <c r="B844" s="1">
        <v>4</v>
      </c>
      <c r="C844" s="1">
        <v>9</v>
      </c>
      <c r="D844" s="1">
        <v>1</v>
      </c>
      <c r="E844" s="1">
        <v>2999.99</v>
      </c>
      <c r="F844" s="1">
        <v>0.07</v>
      </c>
      <c r="G844">
        <f t="shared" si="13"/>
        <v>2999.92</v>
      </c>
      <c r="H844" t="str">
        <f>VLOOKUP(C844,[1]products!$A:$B,2,FALSE)</f>
        <v>Trek Conduit+ - 2016</v>
      </c>
      <c r="I844">
        <f>VLOOKUP(C844,[1]products!$A:$D,4,FALSE)</f>
        <v>5</v>
      </c>
      <c r="J844" t="str">
        <f>VLOOKUP(I844,[2]categories!$A$1:$B$8,2,FALSE)</f>
        <v>Electric Bikes</v>
      </c>
    </row>
    <row r="845" customHeight="1" spans="1:10">
      <c r="A845" s="1">
        <v>298</v>
      </c>
      <c r="B845" s="1">
        <v>5</v>
      </c>
      <c r="C845" s="1">
        <v>14</v>
      </c>
      <c r="D845" s="1">
        <v>2</v>
      </c>
      <c r="E845" s="1">
        <v>269.99</v>
      </c>
      <c r="F845" s="1">
        <v>0.1</v>
      </c>
      <c r="G845">
        <f t="shared" si="13"/>
        <v>539.88</v>
      </c>
      <c r="H845" t="str">
        <f>VLOOKUP(C845,[1]products!$A:$B,2,FALSE)</f>
        <v>Electra Girl's Hawaii 1 (16-inch) - 2015/2016</v>
      </c>
      <c r="I845">
        <f>VLOOKUP(C845,[1]products!$A:$D,4,FALSE)</f>
        <v>3</v>
      </c>
      <c r="J845" t="str">
        <f>VLOOKUP(I845,[2]categories!$A$1:$B$8,2,FALSE)</f>
        <v>Cruisers Bicycles</v>
      </c>
    </row>
    <row r="846" customHeight="1" spans="1:10">
      <c r="A846" s="1">
        <v>299</v>
      </c>
      <c r="B846" s="1">
        <v>1</v>
      </c>
      <c r="C846" s="1">
        <v>11</v>
      </c>
      <c r="D846" s="1">
        <v>2</v>
      </c>
      <c r="E846" s="1">
        <v>1680.99</v>
      </c>
      <c r="F846" s="1">
        <v>0.05</v>
      </c>
      <c r="G846">
        <f t="shared" si="13"/>
        <v>3361.93</v>
      </c>
      <c r="H846" t="str">
        <f>VLOOKUP(C846,[1]products!$A:$B,2,FALSE)</f>
        <v>Surly Straggler 650b - 2016</v>
      </c>
      <c r="I846">
        <f>VLOOKUP(C846,[1]products!$A:$D,4,FALSE)</f>
        <v>4</v>
      </c>
      <c r="J846" t="str">
        <f>VLOOKUP(I846,[2]categories!$A$1:$B$8,2,FALSE)</f>
        <v>Cyclocross Bicycles</v>
      </c>
    </row>
    <row r="847" customHeight="1" spans="1:10">
      <c r="A847" s="1">
        <v>299</v>
      </c>
      <c r="B847" s="1">
        <v>2</v>
      </c>
      <c r="C847" s="1">
        <v>10</v>
      </c>
      <c r="D847" s="1">
        <v>2</v>
      </c>
      <c r="E847" s="1">
        <v>1549</v>
      </c>
      <c r="F847" s="1">
        <v>0.2</v>
      </c>
      <c r="G847">
        <f t="shared" si="13"/>
        <v>3097.8</v>
      </c>
      <c r="H847" t="str">
        <f>VLOOKUP(C847,[1]products!$A:$B,2,FALSE)</f>
        <v>Surly Straggler - 2016</v>
      </c>
      <c r="I847">
        <f>VLOOKUP(C847,[1]products!$A:$D,4,FALSE)</f>
        <v>4</v>
      </c>
      <c r="J847" t="str">
        <f>VLOOKUP(I847,[2]categories!$A$1:$B$8,2,FALSE)</f>
        <v>Cyclocross Bicycles</v>
      </c>
    </row>
    <row r="848" customHeight="1" spans="1:10">
      <c r="A848" s="1">
        <v>300</v>
      </c>
      <c r="B848" s="1">
        <v>1</v>
      </c>
      <c r="C848" s="1">
        <v>16</v>
      </c>
      <c r="D848" s="1">
        <v>2</v>
      </c>
      <c r="E848" s="1">
        <v>599.99</v>
      </c>
      <c r="F848" s="1">
        <v>0.1</v>
      </c>
      <c r="G848">
        <f t="shared" si="13"/>
        <v>1199.88</v>
      </c>
      <c r="H848" t="str">
        <f>VLOOKUP(C848,[1]products!$A:$B,2,FALSE)</f>
        <v>Electra Townie Original 7D EQ - 2016</v>
      </c>
      <c r="I848">
        <f>VLOOKUP(C848,[1]products!$A:$D,4,FALSE)</f>
        <v>3</v>
      </c>
      <c r="J848" t="str">
        <f>VLOOKUP(I848,[2]categories!$A$1:$B$8,2,FALSE)</f>
        <v>Cruisers Bicycles</v>
      </c>
    </row>
    <row r="849" customHeight="1" spans="1:10">
      <c r="A849" s="1">
        <v>300</v>
      </c>
      <c r="B849" s="1">
        <v>2</v>
      </c>
      <c r="C849" s="1">
        <v>9</v>
      </c>
      <c r="D849" s="1">
        <v>2</v>
      </c>
      <c r="E849" s="1">
        <v>2999.99</v>
      </c>
      <c r="F849" s="1">
        <v>0.1</v>
      </c>
      <c r="G849">
        <f t="shared" si="13"/>
        <v>5999.88</v>
      </c>
      <c r="H849" t="str">
        <f>VLOOKUP(C849,[1]products!$A:$B,2,FALSE)</f>
        <v>Trek Conduit+ - 2016</v>
      </c>
      <c r="I849">
        <f>VLOOKUP(C849,[1]products!$A:$D,4,FALSE)</f>
        <v>5</v>
      </c>
      <c r="J849" t="str">
        <f>VLOOKUP(I849,[2]categories!$A$1:$B$8,2,FALSE)</f>
        <v>Electric Bikes</v>
      </c>
    </row>
    <row r="850" customHeight="1" spans="1:10">
      <c r="A850" s="1">
        <v>300</v>
      </c>
      <c r="B850" s="1">
        <v>3</v>
      </c>
      <c r="C850" s="1">
        <v>10</v>
      </c>
      <c r="D850" s="1">
        <v>1</v>
      </c>
      <c r="E850" s="1">
        <v>1549</v>
      </c>
      <c r="F850" s="1">
        <v>0.1</v>
      </c>
      <c r="G850">
        <f t="shared" si="13"/>
        <v>1548.9</v>
      </c>
      <c r="H850" t="str">
        <f>VLOOKUP(C850,[1]products!$A:$B,2,FALSE)</f>
        <v>Surly Straggler - 2016</v>
      </c>
      <c r="I850">
        <f>VLOOKUP(C850,[1]products!$A:$D,4,FALSE)</f>
        <v>4</v>
      </c>
      <c r="J850" t="str">
        <f>VLOOKUP(I850,[2]categories!$A$1:$B$8,2,FALSE)</f>
        <v>Cyclocross Bicycles</v>
      </c>
    </row>
    <row r="851" customHeight="1" spans="1:10">
      <c r="A851" s="1">
        <v>300</v>
      </c>
      <c r="B851" s="1">
        <v>4</v>
      </c>
      <c r="C851" s="1">
        <v>11</v>
      </c>
      <c r="D851" s="1">
        <v>2</v>
      </c>
      <c r="E851" s="1">
        <v>1680.99</v>
      </c>
      <c r="F851" s="1">
        <v>0.2</v>
      </c>
      <c r="G851">
        <f t="shared" si="13"/>
        <v>3361.78</v>
      </c>
      <c r="H851" t="str">
        <f>VLOOKUP(C851,[1]products!$A:$B,2,FALSE)</f>
        <v>Surly Straggler 650b - 2016</v>
      </c>
      <c r="I851">
        <f>VLOOKUP(C851,[1]products!$A:$D,4,FALSE)</f>
        <v>4</v>
      </c>
      <c r="J851" t="str">
        <f>VLOOKUP(I851,[2]categories!$A$1:$B$8,2,FALSE)</f>
        <v>Cyclocross Bicycles</v>
      </c>
    </row>
    <row r="852" customHeight="1" spans="1:10">
      <c r="A852" s="1">
        <v>301</v>
      </c>
      <c r="B852" s="1">
        <v>1</v>
      </c>
      <c r="C852" s="1">
        <v>6</v>
      </c>
      <c r="D852" s="1">
        <v>1</v>
      </c>
      <c r="E852" s="1">
        <v>469.99</v>
      </c>
      <c r="F852" s="1">
        <v>0.05</v>
      </c>
      <c r="G852">
        <f t="shared" si="13"/>
        <v>469.94</v>
      </c>
      <c r="H852" t="str">
        <f>VLOOKUP(C852,[1]products!$A:$B,2,FALSE)</f>
        <v>Surly Ice Cream Truck Frameset - 2016</v>
      </c>
      <c r="I852">
        <f>VLOOKUP(C852,[1]products!$A:$D,4,FALSE)</f>
        <v>6</v>
      </c>
      <c r="J852" t="str">
        <f>VLOOKUP(I852,[2]categories!$A$1:$B$8,2,FALSE)</f>
        <v>Mountain Bikes</v>
      </c>
    </row>
    <row r="853" customHeight="1" spans="1:10">
      <c r="A853" s="1">
        <v>301</v>
      </c>
      <c r="B853" s="1">
        <v>2</v>
      </c>
      <c r="C853" s="1">
        <v>22</v>
      </c>
      <c r="D853" s="1">
        <v>1</v>
      </c>
      <c r="E853" s="1">
        <v>269.99</v>
      </c>
      <c r="F853" s="1">
        <v>0.1</v>
      </c>
      <c r="G853">
        <f t="shared" si="13"/>
        <v>269.89</v>
      </c>
      <c r="H853" t="str">
        <f>VLOOKUP(C853,[1]products!$A:$B,2,FALSE)</f>
        <v>Electra Girl's Hawaii 1 (16-inch) - 2015/2016</v>
      </c>
      <c r="I853">
        <f>VLOOKUP(C853,[1]products!$A:$D,4,FALSE)</f>
        <v>1</v>
      </c>
      <c r="J853" t="str">
        <f>VLOOKUP(I853,[2]categories!$A$1:$B$8,2,FALSE)</f>
        <v>Children Bicycles</v>
      </c>
    </row>
    <row r="854" customHeight="1" spans="1:10">
      <c r="A854" s="1">
        <v>302</v>
      </c>
      <c r="B854" s="1">
        <v>1</v>
      </c>
      <c r="C854" s="1">
        <v>24</v>
      </c>
      <c r="D854" s="1">
        <v>2</v>
      </c>
      <c r="E854" s="1">
        <v>549.99</v>
      </c>
      <c r="F854" s="1">
        <v>0.2</v>
      </c>
      <c r="G854">
        <f t="shared" si="13"/>
        <v>1099.78</v>
      </c>
      <c r="H854" t="str">
        <f>VLOOKUP(C854,[1]products!$A:$B,2,FALSE)</f>
        <v>Electra Townie Original 21D - 2016</v>
      </c>
      <c r="I854">
        <f>VLOOKUP(C854,[1]products!$A:$D,4,FALSE)</f>
        <v>2</v>
      </c>
      <c r="J854" t="str">
        <f>VLOOKUP(I854,[2]categories!$A$1:$B$8,2,FALSE)</f>
        <v>Comfort Bicycles</v>
      </c>
    </row>
    <row r="855" customHeight="1" spans="1:10">
      <c r="A855" s="1">
        <v>302</v>
      </c>
      <c r="B855" s="1">
        <v>2</v>
      </c>
      <c r="C855" s="1">
        <v>18</v>
      </c>
      <c r="D855" s="1">
        <v>2</v>
      </c>
      <c r="E855" s="1">
        <v>449</v>
      </c>
      <c r="F855" s="1">
        <v>0.07</v>
      </c>
      <c r="G855">
        <f t="shared" si="13"/>
        <v>897.93</v>
      </c>
      <c r="H855" t="str">
        <f>VLOOKUP(C855,[1]products!$A:$B,2,FALSE)</f>
        <v>Pure Cycles Western 3-Speed - Women's - 2015/2016</v>
      </c>
      <c r="I855">
        <f>VLOOKUP(C855,[1]products!$A:$D,4,FALSE)</f>
        <v>3</v>
      </c>
      <c r="J855" t="str">
        <f>VLOOKUP(I855,[2]categories!$A$1:$B$8,2,FALSE)</f>
        <v>Cruisers Bicycles</v>
      </c>
    </row>
    <row r="856" customHeight="1" spans="1:10">
      <c r="A856" s="1">
        <v>302</v>
      </c>
      <c r="B856" s="1">
        <v>3</v>
      </c>
      <c r="C856" s="1">
        <v>2</v>
      </c>
      <c r="D856" s="1">
        <v>2</v>
      </c>
      <c r="E856" s="1">
        <v>749.99</v>
      </c>
      <c r="F856" s="1">
        <v>0.2</v>
      </c>
      <c r="G856">
        <f t="shared" si="13"/>
        <v>1499.78</v>
      </c>
      <c r="H856" t="str">
        <f>VLOOKUP(C856,[1]products!$A:$B,2,FALSE)</f>
        <v>Ritchey Timberwolf Frameset - 2016</v>
      </c>
      <c r="I856">
        <f>VLOOKUP(C856,[1]products!$A:$D,4,FALSE)</f>
        <v>6</v>
      </c>
      <c r="J856" t="str">
        <f>VLOOKUP(I856,[2]categories!$A$1:$B$8,2,FALSE)</f>
        <v>Mountain Bikes</v>
      </c>
    </row>
    <row r="857" customHeight="1" spans="1:10">
      <c r="A857" s="1">
        <v>303</v>
      </c>
      <c r="B857" s="1">
        <v>1</v>
      </c>
      <c r="C857" s="1">
        <v>8</v>
      </c>
      <c r="D857" s="1">
        <v>2</v>
      </c>
      <c r="E857" s="1">
        <v>1799.99</v>
      </c>
      <c r="F857" s="1">
        <v>0.05</v>
      </c>
      <c r="G857">
        <f t="shared" si="13"/>
        <v>3599.93</v>
      </c>
      <c r="H857" t="str">
        <f>VLOOKUP(C857,[1]products!$A:$B,2,FALSE)</f>
        <v>Trek Remedy 29 Carbon Frameset - 2016</v>
      </c>
      <c r="I857">
        <f>VLOOKUP(C857,[1]products!$A:$D,4,FALSE)</f>
        <v>6</v>
      </c>
      <c r="J857" t="str">
        <f>VLOOKUP(I857,[2]categories!$A$1:$B$8,2,FALSE)</f>
        <v>Mountain Bikes</v>
      </c>
    </row>
    <row r="858" customHeight="1" spans="1:10">
      <c r="A858" s="1">
        <v>303</v>
      </c>
      <c r="B858" s="1">
        <v>2</v>
      </c>
      <c r="C858" s="1">
        <v>24</v>
      </c>
      <c r="D858" s="1">
        <v>2</v>
      </c>
      <c r="E858" s="1">
        <v>549.99</v>
      </c>
      <c r="F858" s="1">
        <v>0.05</v>
      </c>
      <c r="G858">
        <f t="shared" si="13"/>
        <v>1099.93</v>
      </c>
      <c r="H858" t="str">
        <f>VLOOKUP(C858,[1]products!$A:$B,2,FALSE)</f>
        <v>Electra Townie Original 21D - 2016</v>
      </c>
      <c r="I858">
        <f>VLOOKUP(C858,[1]products!$A:$D,4,FALSE)</f>
        <v>2</v>
      </c>
      <c r="J858" t="str">
        <f>VLOOKUP(I858,[2]categories!$A$1:$B$8,2,FALSE)</f>
        <v>Comfort Bicycles</v>
      </c>
    </row>
    <row r="859" customHeight="1" spans="1:10">
      <c r="A859" s="1">
        <v>304</v>
      </c>
      <c r="B859" s="1">
        <v>1</v>
      </c>
      <c r="C859" s="1">
        <v>10</v>
      </c>
      <c r="D859" s="1">
        <v>1</v>
      </c>
      <c r="E859" s="1">
        <v>1549</v>
      </c>
      <c r="F859" s="1">
        <v>0.05</v>
      </c>
      <c r="G859">
        <f t="shared" si="13"/>
        <v>1548.95</v>
      </c>
      <c r="H859" t="str">
        <f>VLOOKUP(C859,[1]products!$A:$B,2,FALSE)</f>
        <v>Surly Straggler - 2016</v>
      </c>
      <c r="I859">
        <f>VLOOKUP(C859,[1]products!$A:$D,4,FALSE)</f>
        <v>4</v>
      </c>
      <c r="J859" t="str">
        <f>VLOOKUP(I859,[2]categories!$A$1:$B$8,2,FALSE)</f>
        <v>Cyclocross Bicycles</v>
      </c>
    </row>
    <row r="860" customHeight="1" spans="1:10">
      <c r="A860" s="1">
        <v>304</v>
      </c>
      <c r="B860" s="1">
        <v>2</v>
      </c>
      <c r="C860" s="1">
        <v>7</v>
      </c>
      <c r="D860" s="1">
        <v>2</v>
      </c>
      <c r="E860" s="1">
        <v>3999.99</v>
      </c>
      <c r="F860" s="1">
        <v>0.1</v>
      </c>
      <c r="G860">
        <f t="shared" si="13"/>
        <v>7999.88</v>
      </c>
      <c r="H860" t="str">
        <f>VLOOKUP(C860,[1]products!$A:$B,2,FALSE)</f>
        <v>Trek Slash 8 27.5 - 2016</v>
      </c>
      <c r="I860">
        <f>VLOOKUP(C860,[1]products!$A:$D,4,FALSE)</f>
        <v>6</v>
      </c>
      <c r="J860" t="str">
        <f>VLOOKUP(I860,[2]categories!$A$1:$B$8,2,FALSE)</f>
        <v>Mountain Bikes</v>
      </c>
    </row>
    <row r="861" customHeight="1" spans="1:10">
      <c r="A861" s="1">
        <v>304</v>
      </c>
      <c r="B861" s="1">
        <v>3</v>
      </c>
      <c r="C861" s="1">
        <v>20</v>
      </c>
      <c r="D861" s="1">
        <v>1</v>
      </c>
      <c r="E861" s="1">
        <v>599.99</v>
      </c>
      <c r="F861" s="1">
        <v>0.1</v>
      </c>
      <c r="G861">
        <f t="shared" si="13"/>
        <v>599.89</v>
      </c>
      <c r="H861" t="str">
        <f>VLOOKUP(C861,[1]products!$A:$B,2,FALSE)</f>
        <v>Electra Townie Original 7D EQ - Women's - 2016</v>
      </c>
      <c r="I861">
        <f>VLOOKUP(C861,[1]products!$A:$D,4,FALSE)</f>
        <v>3</v>
      </c>
      <c r="J861" t="str">
        <f>VLOOKUP(I861,[2]categories!$A$1:$B$8,2,FALSE)</f>
        <v>Cruisers Bicycles</v>
      </c>
    </row>
    <row r="862" customHeight="1" spans="1:10">
      <c r="A862" s="1">
        <v>305</v>
      </c>
      <c r="B862" s="1">
        <v>1</v>
      </c>
      <c r="C862" s="1">
        <v>10</v>
      </c>
      <c r="D862" s="1">
        <v>1</v>
      </c>
      <c r="E862" s="1">
        <v>1549</v>
      </c>
      <c r="F862" s="1">
        <v>0.07</v>
      </c>
      <c r="G862">
        <f t="shared" si="13"/>
        <v>1548.93</v>
      </c>
      <c r="H862" t="str">
        <f>VLOOKUP(C862,[1]products!$A:$B,2,FALSE)</f>
        <v>Surly Straggler - 2016</v>
      </c>
      <c r="I862">
        <f>VLOOKUP(C862,[1]products!$A:$D,4,FALSE)</f>
        <v>4</v>
      </c>
      <c r="J862" t="str">
        <f>VLOOKUP(I862,[2]categories!$A$1:$B$8,2,FALSE)</f>
        <v>Cyclocross Bicycles</v>
      </c>
    </row>
    <row r="863" customHeight="1" spans="1:10">
      <c r="A863" s="1">
        <v>305</v>
      </c>
      <c r="B863" s="1">
        <v>2</v>
      </c>
      <c r="C863" s="1">
        <v>6</v>
      </c>
      <c r="D863" s="1">
        <v>1</v>
      </c>
      <c r="E863" s="1">
        <v>469.99</v>
      </c>
      <c r="F863" s="1">
        <v>0.1</v>
      </c>
      <c r="G863">
        <f t="shared" si="13"/>
        <v>469.89</v>
      </c>
      <c r="H863" t="str">
        <f>VLOOKUP(C863,[1]products!$A:$B,2,FALSE)</f>
        <v>Surly Ice Cream Truck Frameset - 2016</v>
      </c>
      <c r="I863">
        <f>VLOOKUP(C863,[1]products!$A:$D,4,FALSE)</f>
        <v>6</v>
      </c>
      <c r="J863" t="str">
        <f>VLOOKUP(I863,[2]categories!$A$1:$B$8,2,FALSE)</f>
        <v>Mountain Bikes</v>
      </c>
    </row>
    <row r="864" customHeight="1" spans="1:10">
      <c r="A864" s="1">
        <v>305</v>
      </c>
      <c r="B864" s="1">
        <v>3</v>
      </c>
      <c r="C864" s="1">
        <v>3</v>
      </c>
      <c r="D864" s="1">
        <v>2</v>
      </c>
      <c r="E864" s="1">
        <v>999.99</v>
      </c>
      <c r="F864" s="1">
        <v>0.2</v>
      </c>
      <c r="G864">
        <f t="shared" si="13"/>
        <v>1999.78</v>
      </c>
      <c r="H864" t="str">
        <f>VLOOKUP(C864,[1]products!$A:$B,2,FALSE)</f>
        <v>Surly Wednesday Frameset - 2016</v>
      </c>
      <c r="I864">
        <f>VLOOKUP(C864,[1]products!$A:$D,4,FALSE)</f>
        <v>6</v>
      </c>
      <c r="J864" t="str">
        <f>VLOOKUP(I864,[2]categories!$A$1:$B$8,2,FALSE)</f>
        <v>Mountain Bikes</v>
      </c>
    </row>
    <row r="865" customHeight="1" spans="1:10">
      <c r="A865" s="1">
        <v>306</v>
      </c>
      <c r="B865" s="1">
        <v>1</v>
      </c>
      <c r="C865" s="1">
        <v>10</v>
      </c>
      <c r="D865" s="1">
        <v>1</v>
      </c>
      <c r="E865" s="1">
        <v>1549</v>
      </c>
      <c r="F865" s="1">
        <v>0.2</v>
      </c>
      <c r="G865">
        <f t="shared" si="13"/>
        <v>1548.8</v>
      </c>
      <c r="H865" t="str">
        <f>VLOOKUP(C865,[1]products!$A:$B,2,FALSE)</f>
        <v>Surly Straggler - 2016</v>
      </c>
      <c r="I865">
        <f>VLOOKUP(C865,[1]products!$A:$D,4,FALSE)</f>
        <v>4</v>
      </c>
      <c r="J865" t="str">
        <f>VLOOKUP(I865,[2]categories!$A$1:$B$8,2,FALSE)</f>
        <v>Cyclocross Bicycles</v>
      </c>
    </row>
    <row r="866" customHeight="1" spans="1:10">
      <c r="A866" s="1">
        <v>306</v>
      </c>
      <c r="B866" s="1">
        <v>2</v>
      </c>
      <c r="C866" s="1">
        <v>22</v>
      </c>
      <c r="D866" s="1">
        <v>1</v>
      </c>
      <c r="E866" s="1">
        <v>269.99</v>
      </c>
      <c r="F866" s="1">
        <v>0.07</v>
      </c>
      <c r="G866">
        <f t="shared" si="13"/>
        <v>269.92</v>
      </c>
      <c r="H866" t="str">
        <f>VLOOKUP(C866,[1]products!$A:$B,2,FALSE)</f>
        <v>Electra Girl's Hawaii 1 (16-inch) - 2015/2016</v>
      </c>
      <c r="I866">
        <f>VLOOKUP(C866,[1]products!$A:$D,4,FALSE)</f>
        <v>1</v>
      </c>
      <c r="J866" t="str">
        <f>VLOOKUP(I866,[2]categories!$A$1:$B$8,2,FALSE)</f>
        <v>Children Bicycles</v>
      </c>
    </row>
    <row r="867" customHeight="1" spans="1:10">
      <c r="A867" s="1">
        <v>307</v>
      </c>
      <c r="B867" s="1">
        <v>1</v>
      </c>
      <c r="C867" s="1">
        <v>15</v>
      </c>
      <c r="D867" s="1">
        <v>2</v>
      </c>
      <c r="E867" s="1">
        <v>529.99</v>
      </c>
      <c r="F867" s="1">
        <v>0.05</v>
      </c>
      <c r="G867">
        <f t="shared" si="13"/>
        <v>1059.93</v>
      </c>
      <c r="H867" t="str">
        <f>VLOOKUP(C867,[1]products!$A:$B,2,FALSE)</f>
        <v>Electra Moto 1 - 2016</v>
      </c>
      <c r="I867">
        <f>VLOOKUP(C867,[1]products!$A:$D,4,FALSE)</f>
        <v>3</v>
      </c>
      <c r="J867" t="str">
        <f>VLOOKUP(I867,[2]categories!$A$1:$B$8,2,FALSE)</f>
        <v>Cruisers Bicycles</v>
      </c>
    </row>
    <row r="868" customHeight="1" spans="1:10">
      <c r="A868" s="1">
        <v>308</v>
      </c>
      <c r="B868" s="1">
        <v>1</v>
      </c>
      <c r="C868" s="1">
        <v>7</v>
      </c>
      <c r="D868" s="1">
        <v>1</v>
      </c>
      <c r="E868" s="1">
        <v>3999.99</v>
      </c>
      <c r="F868" s="1">
        <v>0.1</v>
      </c>
      <c r="G868">
        <f t="shared" si="13"/>
        <v>3999.89</v>
      </c>
      <c r="H868" t="str">
        <f>VLOOKUP(C868,[1]products!$A:$B,2,FALSE)</f>
        <v>Trek Slash 8 27.5 - 2016</v>
      </c>
      <c r="I868">
        <f>VLOOKUP(C868,[1]products!$A:$D,4,FALSE)</f>
        <v>6</v>
      </c>
      <c r="J868" t="str">
        <f>VLOOKUP(I868,[2]categories!$A$1:$B$8,2,FALSE)</f>
        <v>Mountain Bikes</v>
      </c>
    </row>
    <row r="869" customHeight="1" spans="1:10">
      <c r="A869" s="1">
        <v>308</v>
      </c>
      <c r="B869" s="1">
        <v>2</v>
      </c>
      <c r="C869" s="1">
        <v>18</v>
      </c>
      <c r="D869" s="1">
        <v>2</v>
      </c>
      <c r="E869" s="1">
        <v>449</v>
      </c>
      <c r="F869" s="1">
        <v>0.2</v>
      </c>
      <c r="G869">
        <f t="shared" si="13"/>
        <v>897.8</v>
      </c>
      <c r="H869" t="str">
        <f>VLOOKUP(C869,[1]products!$A:$B,2,FALSE)</f>
        <v>Pure Cycles Western 3-Speed - Women's - 2015/2016</v>
      </c>
      <c r="I869">
        <f>VLOOKUP(C869,[1]products!$A:$D,4,FALSE)</f>
        <v>3</v>
      </c>
      <c r="J869" t="str">
        <f>VLOOKUP(I869,[2]categories!$A$1:$B$8,2,FALSE)</f>
        <v>Cruisers Bicycles</v>
      </c>
    </row>
    <row r="870" customHeight="1" spans="1:10">
      <c r="A870" s="1">
        <v>308</v>
      </c>
      <c r="B870" s="1">
        <v>3</v>
      </c>
      <c r="C870" s="1">
        <v>14</v>
      </c>
      <c r="D870" s="1">
        <v>1</v>
      </c>
      <c r="E870" s="1">
        <v>269.99</v>
      </c>
      <c r="F870" s="1">
        <v>0.2</v>
      </c>
      <c r="G870">
        <f t="shared" si="13"/>
        <v>269.79</v>
      </c>
      <c r="H870" t="str">
        <f>VLOOKUP(C870,[1]products!$A:$B,2,FALSE)</f>
        <v>Electra Girl's Hawaii 1 (16-inch) - 2015/2016</v>
      </c>
      <c r="I870">
        <f>VLOOKUP(C870,[1]products!$A:$D,4,FALSE)</f>
        <v>3</v>
      </c>
      <c r="J870" t="str">
        <f>VLOOKUP(I870,[2]categories!$A$1:$B$8,2,FALSE)</f>
        <v>Cruisers Bicycles</v>
      </c>
    </row>
    <row r="871" customHeight="1" spans="1:10">
      <c r="A871" s="1">
        <v>309</v>
      </c>
      <c r="B871" s="1">
        <v>1</v>
      </c>
      <c r="C871" s="1">
        <v>3</v>
      </c>
      <c r="D871" s="1">
        <v>1</v>
      </c>
      <c r="E871" s="1">
        <v>999.99</v>
      </c>
      <c r="F871" s="1">
        <v>0.05</v>
      </c>
      <c r="G871">
        <f t="shared" si="13"/>
        <v>999.94</v>
      </c>
      <c r="H871" t="str">
        <f>VLOOKUP(C871,[1]products!$A:$B,2,FALSE)</f>
        <v>Surly Wednesday Frameset - 2016</v>
      </c>
      <c r="I871">
        <f>VLOOKUP(C871,[1]products!$A:$D,4,FALSE)</f>
        <v>6</v>
      </c>
      <c r="J871" t="str">
        <f>VLOOKUP(I871,[2]categories!$A$1:$B$8,2,FALSE)</f>
        <v>Mountain Bikes</v>
      </c>
    </row>
    <row r="872" customHeight="1" spans="1:10">
      <c r="A872" s="1">
        <v>309</v>
      </c>
      <c r="B872" s="1">
        <v>2</v>
      </c>
      <c r="C872" s="1">
        <v>12</v>
      </c>
      <c r="D872" s="1">
        <v>1</v>
      </c>
      <c r="E872" s="1">
        <v>549.99</v>
      </c>
      <c r="F872" s="1">
        <v>0.05</v>
      </c>
      <c r="G872">
        <f t="shared" si="13"/>
        <v>549.94</v>
      </c>
      <c r="H872" t="str">
        <f>VLOOKUP(C872,[1]products!$A:$B,2,FALSE)</f>
        <v>Electra Townie Original 21D - 2016</v>
      </c>
      <c r="I872">
        <f>VLOOKUP(C872,[1]products!$A:$D,4,FALSE)</f>
        <v>3</v>
      </c>
      <c r="J872" t="str">
        <f>VLOOKUP(I872,[2]categories!$A$1:$B$8,2,FALSE)</f>
        <v>Cruisers Bicycles</v>
      </c>
    </row>
    <row r="873" customHeight="1" spans="1:10">
      <c r="A873" s="1">
        <v>310</v>
      </c>
      <c r="B873" s="1">
        <v>1</v>
      </c>
      <c r="C873" s="1">
        <v>7</v>
      </c>
      <c r="D873" s="1">
        <v>2</v>
      </c>
      <c r="E873" s="1">
        <v>3999.99</v>
      </c>
      <c r="F873" s="1">
        <v>0.07</v>
      </c>
      <c r="G873">
        <f t="shared" si="13"/>
        <v>7999.91</v>
      </c>
      <c r="H873" t="str">
        <f>VLOOKUP(C873,[1]products!$A:$B,2,FALSE)</f>
        <v>Trek Slash 8 27.5 - 2016</v>
      </c>
      <c r="I873">
        <f>VLOOKUP(C873,[1]products!$A:$D,4,FALSE)</f>
        <v>6</v>
      </c>
      <c r="J873" t="str">
        <f>VLOOKUP(I873,[2]categories!$A$1:$B$8,2,FALSE)</f>
        <v>Mountain Bikes</v>
      </c>
    </row>
    <row r="874" customHeight="1" spans="1:10">
      <c r="A874" s="1">
        <v>310</v>
      </c>
      <c r="B874" s="1">
        <v>2</v>
      </c>
      <c r="C874" s="1">
        <v>14</v>
      </c>
      <c r="D874" s="1">
        <v>2</v>
      </c>
      <c r="E874" s="1">
        <v>269.99</v>
      </c>
      <c r="F874" s="1">
        <v>0.1</v>
      </c>
      <c r="G874">
        <f t="shared" si="13"/>
        <v>539.88</v>
      </c>
      <c r="H874" t="str">
        <f>VLOOKUP(C874,[1]products!$A:$B,2,FALSE)</f>
        <v>Electra Girl's Hawaii 1 (16-inch) - 2015/2016</v>
      </c>
      <c r="I874">
        <f>VLOOKUP(C874,[1]products!$A:$D,4,FALSE)</f>
        <v>3</v>
      </c>
      <c r="J874" t="str">
        <f>VLOOKUP(I874,[2]categories!$A$1:$B$8,2,FALSE)</f>
        <v>Cruisers Bicycles</v>
      </c>
    </row>
    <row r="875" customHeight="1" spans="1:10">
      <c r="A875" s="1">
        <v>310</v>
      </c>
      <c r="B875" s="1">
        <v>3</v>
      </c>
      <c r="C875" s="1">
        <v>5</v>
      </c>
      <c r="D875" s="1">
        <v>2</v>
      </c>
      <c r="E875" s="1">
        <v>1320.99</v>
      </c>
      <c r="F875" s="1">
        <v>0.2</v>
      </c>
      <c r="G875">
        <f t="shared" si="13"/>
        <v>2641.78</v>
      </c>
      <c r="H875" t="str">
        <f>VLOOKUP(C875,[1]products!$A:$B,2,FALSE)</f>
        <v>Heller Shagamaw Frame - 2016</v>
      </c>
      <c r="I875">
        <f>VLOOKUP(C875,[1]products!$A:$D,4,FALSE)</f>
        <v>6</v>
      </c>
      <c r="J875" t="str">
        <f>VLOOKUP(I875,[2]categories!$A$1:$B$8,2,FALSE)</f>
        <v>Mountain Bikes</v>
      </c>
    </row>
    <row r="876" customHeight="1" spans="1:10">
      <c r="A876" s="1">
        <v>310</v>
      </c>
      <c r="B876" s="1">
        <v>4</v>
      </c>
      <c r="C876" s="1">
        <v>8</v>
      </c>
      <c r="D876" s="1">
        <v>1</v>
      </c>
      <c r="E876" s="1">
        <v>1799.99</v>
      </c>
      <c r="F876" s="1">
        <v>0.2</v>
      </c>
      <c r="G876">
        <f t="shared" si="13"/>
        <v>1799.79</v>
      </c>
      <c r="H876" t="str">
        <f>VLOOKUP(C876,[1]products!$A:$B,2,FALSE)</f>
        <v>Trek Remedy 29 Carbon Frameset - 2016</v>
      </c>
      <c r="I876">
        <f>VLOOKUP(C876,[1]products!$A:$D,4,FALSE)</f>
        <v>6</v>
      </c>
      <c r="J876" t="str">
        <f>VLOOKUP(I876,[2]categories!$A$1:$B$8,2,FALSE)</f>
        <v>Mountain Bikes</v>
      </c>
    </row>
    <row r="877" customHeight="1" spans="1:10">
      <c r="A877" s="1">
        <v>311</v>
      </c>
      <c r="B877" s="1">
        <v>1</v>
      </c>
      <c r="C877" s="1">
        <v>17</v>
      </c>
      <c r="D877" s="1">
        <v>2</v>
      </c>
      <c r="E877" s="1">
        <v>429</v>
      </c>
      <c r="F877" s="1">
        <v>0.05</v>
      </c>
      <c r="G877">
        <f t="shared" si="13"/>
        <v>857.95</v>
      </c>
      <c r="H877" t="str">
        <f>VLOOKUP(C877,[1]products!$A:$B,2,FALSE)</f>
        <v>Pure Cycles Vine 8-Speed - 2016</v>
      </c>
      <c r="I877">
        <f>VLOOKUP(C877,[1]products!$A:$D,4,FALSE)</f>
        <v>3</v>
      </c>
      <c r="J877" t="str">
        <f>VLOOKUP(I877,[2]categories!$A$1:$B$8,2,FALSE)</f>
        <v>Cruisers Bicycles</v>
      </c>
    </row>
    <row r="878" customHeight="1" spans="1:10">
      <c r="A878" s="1">
        <v>311</v>
      </c>
      <c r="B878" s="1">
        <v>2</v>
      </c>
      <c r="C878" s="1">
        <v>5</v>
      </c>
      <c r="D878" s="1">
        <v>2</v>
      </c>
      <c r="E878" s="1">
        <v>1320.99</v>
      </c>
      <c r="F878" s="1">
        <v>0.2</v>
      </c>
      <c r="G878">
        <f t="shared" si="13"/>
        <v>2641.78</v>
      </c>
      <c r="H878" t="str">
        <f>VLOOKUP(C878,[1]products!$A:$B,2,FALSE)</f>
        <v>Heller Shagamaw Frame - 2016</v>
      </c>
      <c r="I878">
        <f>VLOOKUP(C878,[1]products!$A:$D,4,FALSE)</f>
        <v>6</v>
      </c>
      <c r="J878" t="str">
        <f>VLOOKUP(I878,[2]categories!$A$1:$B$8,2,FALSE)</f>
        <v>Mountain Bikes</v>
      </c>
    </row>
    <row r="879" customHeight="1" spans="1:10">
      <c r="A879" s="1">
        <v>312</v>
      </c>
      <c r="B879" s="1">
        <v>1</v>
      </c>
      <c r="C879" s="1">
        <v>24</v>
      </c>
      <c r="D879" s="1">
        <v>2</v>
      </c>
      <c r="E879" s="1">
        <v>549.99</v>
      </c>
      <c r="F879" s="1">
        <v>0.05</v>
      </c>
      <c r="G879">
        <f t="shared" si="13"/>
        <v>1099.93</v>
      </c>
      <c r="H879" t="str">
        <f>VLOOKUP(C879,[1]products!$A:$B,2,FALSE)</f>
        <v>Electra Townie Original 21D - 2016</v>
      </c>
      <c r="I879">
        <f>VLOOKUP(C879,[1]products!$A:$D,4,FALSE)</f>
        <v>2</v>
      </c>
      <c r="J879" t="str">
        <f>VLOOKUP(I879,[2]categories!$A$1:$B$8,2,FALSE)</f>
        <v>Comfort Bicycles</v>
      </c>
    </row>
    <row r="880" customHeight="1" spans="1:10">
      <c r="A880" s="1">
        <v>312</v>
      </c>
      <c r="B880" s="1">
        <v>2</v>
      </c>
      <c r="C880" s="1">
        <v>14</v>
      </c>
      <c r="D880" s="1">
        <v>2</v>
      </c>
      <c r="E880" s="1">
        <v>269.99</v>
      </c>
      <c r="F880" s="1">
        <v>0.07</v>
      </c>
      <c r="G880">
        <f t="shared" si="13"/>
        <v>539.91</v>
      </c>
      <c r="H880" t="str">
        <f>VLOOKUP(C880,[1]products!$A:$B,2,FALSE)</f>
        <v>Electra Girl's Hawaii 1 (16-inch) - 2015/2016</v>
      </c>
      <c r="I880">
        <f>VLOOKUP(C880,[1]products!$A:$D,4,FALSE)</f>
        <v>3</v>
      </c>
      <c r="J880" t="str">
        <f>VLOOKUP(I880,[2]categories!$A$1:$B$8,2,FALSE)</f>
        <v>Cruisers Bicycles</v>
      </c>
    </row>
    <row r="881" customHeight="1" spans="1:10">
      <c r="A881" s="1">
        <v>312</v>
      </c>
      <c r="B881" s="1">
        <v>3</v>
      </c>
      <c r="C881" s="1">
        <v>16</v>
      </c>
      <c r="D881" s="1">
        <v>2</v>
      </c>
      <c r="E881" s="1">
        <v>599.99</v>
      </c>
      <c r="F881" s="1">
        <v>0.05</v>
      </c>
      <c r="G881">
        <f t="shared" si="13"/>
        <v>1199.93</v>
      </c>
      <c r="H881" t="str">
        <f>VLOOKUP(C881,[1]products!$A:$B,2,FALSE)</f>
        <v>Electra Townie Original 7D EQ - 2016</v>
      </c>
      <c r="I881">
        <f>VLOOKUP(C881,[1]products!$A:$D,4,FALSE)</f>
        <v>3</v>
      </c>
      <c r="J881" t="str">
        <f>VLOOKUP(I881,[2]categories!$A$1:$B$8,2,FALSE)</f>
        <v>Cruisers Bicycles</v>
      </c>
    </row>
    <row r="882" customHeight="1" spans="1:10">
      <c r="A882" s="1">
        <v>313</v>
      </c>
      <c r="B882" s="1">
        <v>1</v>
      </c>
      <c r="C882" s="1">
        <v>4</v>
      </c>
      <c r="D882" s="1">
        <v>1</v>
      </c>
      <c r="E882" s="1">
        <v>2899.99</v>
      </c>
      <c r="F882" s="1">
        <v>0.07</v>
      </c>
      <c r="G882">
        <f t="shared" si="13"/>
        <v>2899.92</v>
      </c>
      <c r="H882" t="str">
        <f>VLOOKUP(C882,[1]products!$A:$B,2,FALSE)</f>
        <v>Trek Fuel EX 8 29 - 2016</v>
      </c>
      <c r="I882">
        <f>VLOOKUP(C882,[1]products!$A:$D,4,FALSE)</f>
        <v>6</v>
      </c>
      <c r="J882" t="str">
        <f>VLOOKUP(I882,[2]categories!$A$1:$B$8,2,FALSE)</f>
        <v>Mountain Bikes</v>
      </c>
    </row>
    <row r="883" customHeight="1" spans="1:10">
      <c r="A883" s="1">
        <v>313</v>
      </c>
      <c r="B883" s="1">
        <v>2</v>
      </c>
      <c r="C883" s="1">
        <v>10</v>
      </c>
      <c r="D883" s="1">
        <v>2</v>
      </c>
      <c r="E883" s="1">
        <v>1549</v>
      </c>
      <c r="F883" s="1">
        <v>0.07</v>
      </c>
      <c r="G883">
        <f t="shared" si="13"/>
        <v>3097.93</v>
      </c>
      <c r="H883" t="str">
        <f>VLOOKUP(C883,[1]products!$A:$B,2,FALSE)</f>
        <v>Surly Straggler - 2016</v>
      </c>
      <c r="I883">
        <f>VLOOKUP(C883,[1]products!$A:$D,4,FALSE)</f>
        <v>4</v>
      </c>
      <c r="J883" t="str">
        <f>VLOOKUP(I883,[2]categories!$A$1:$B$8,2,FALSE)</f>
        <v>Cyclocross Bicycles</v>
      </c>
    </row>
    <row r="884" customHeight="1" spans="1:10">
      <c r="A884" s="1">
        <v>314</v>
      </c>
      <c r="B884" s="1">
        <v>1</v>
      </c>
      <c r="C884" s="1">
        <v>5</v>
      </c>
      <c r="D884" s="1">
        <v>1</v>
      </c>
      <c r="E884" s="1">
        <v>1320.99</v>
      </c>
      <c r="F884" s="1">
        <v>0.07</v>
      </c>
      <c r="G884">
        <f t="shared" si="13"/>
        <v>1320.92</v>
      </c>
      <c r="H884" t="str">
        <f>VLOOKUP(C884,[1]products!$A:$B,2,FALSE)</f>
        <v>Heller Shagamaw Frame - 2016</v>
      </c>
      <c r="I884">
        <f>VLOOKUP(C884,[1]products!$A:$D,4,FALSE)</f>
        <v>6</v>
      </c>
      <c r="J884" t="str">
        <f>VLOOKUP(I884,[2]categories!$A$1:$B$8,2,FALSE)</f>
        <v>Mountain Bikes</v>
      </c>
    </row>
    <row r="885" customHeight="1" spans="1:10">
      <c r="A885" s="1">
        <v>314</v>
      </c>
      <c r="B885" s="1">
        <v>2</v>
      </c>
      <c r="C885" s="1">
        <v>9</v>
      </c>
      <c r="D885" s="1">
        <v>1</v>
      </c>
      <c r="E885" s="1">
        <v>2999.99</v>
      </c>
      <c r="F885" s="1">
        <v>0.05</v>
      </c>
      <c r="G885">
        <f t="shared" si="13"/>
        <v>2999.94</v>
      </c>
      <c r="H885" t="str">
        <f>VLOOKUP(C885,[1]products!$A:$B,2,FALSE)</f>
        <v>Trek Conduit+ - 2016</v>
      </c>
      <c r="I885">
        <f>VLOOKUP(C885,[1]products!$A:$D,4,FALSE)</f>
        <v>5</v>
      </c>
      <c r="J885" t="str">
        <f>VLOOKUP(I885,[2]categories!$A$1:$B$8,2,FALSE)</f>
        <v>Electric Bikes</v>
      </c>
    </row>
    <row r="886" customHeight="1" spans="1:10">
      <c r="A886" s="1">
        <v>314</v>
      </c>
      <c r="B886" s="1">
        <v>3</v>
      </c>
      <c r="C886" s="1">
        <v>22</v>
      </c>
      <c r="D886" s="1">
        <v>2</v>
      </c>
      <c r="E886" s="1">
        <v>269.99</v>
      </c>
      <c r="F886" s="1">
        <v>0.2</v>
      </c>
      <c r="G886">
        <f t="shared" si="13"/>
        <v>539.78</v>
      </c>
      <c r="H886" t="str">
        <f>VLOOKUP(C886,[1]products!$A:$B,2,FALSE)</f>
        <v>Electra Girl's Hawaii 1 (16-inch) - 2015/2016</v>
      </c>
      <c r="I886">
        <f>VLOOKUP(C886,[1]products!$A:$D,4,FALSE)</f>
        <v>1</v>
      </c>
      <c r="J886" t="str">
        <f>VLOOKUP(I886,[2]categories!$A$1:$B$8,2,FALSE)</f>
        <v>Children Bicycles</v>
      </c>
    </row>
    <row r="887" customHeight="1" spans="1:10">
      <c r="A887" s="1">
        <v>314</v>
      </c>
      <c r="B887" s="1">
        <v>4</v>
      </c>
      <c r="C887" s="1">
        <v>7</v>
      </c>
      <c r="D887" s="1">
        <v>2</v>
      </c>
      <c r="E887" s="1">
        <v>3999.99</v>
      </c>
      <c r="F887" s="1">
        <v>0.07</v>
      </c>
      <c r="G887">
        <f t="shared" si="13"/>
        <v>7999.91</v>
      </c>
      <c r="H887" t="str">
        <f>VLOOKUP(C887,[1]products!$A:$B,2,FALSE)</f>
        <v>Trek Slash 8 27.5 - 2016</v>
      </c>
      <c r="I887">
        <f>VLOOKUP(C887,[1]products!$A:$D,4,FALSE)</f>
        <v>6</v>
      </c>
      <c r="J887" t="str">
        <f>VLOOKUP(I887,[2]categories!$A$1:$B$8,2,FALSE)</f>
        <v>Mountain Bikes</v>
      </c>
    </row>
    <row r="888" customHeight="1" spans="1:10">
      <c r="A888" s="1">
        <v>315</v>
      </c>
      <c r="B888" s="1">
        <v>1</v>
      </c>
      <c r="C888" s="1">
        <v>11</v>
      </c>
      <c r="D888" s="1">
        <v>1</v>
      </c>
      <c r="E888" s="1">
        <v>1680.99</v>
      </c>
      <c r="F888" s="1">
        <v>0.2</v>
      </c>
      <c r="G888">
        <f t="shared" si="13"/>
        <v>1680.79</v>
      </c>
      <c r="H888" t="str">
        <f>VLOOKUP(C888,[1]products!$A:$B,2,FALSE)</f>
        <v>Surly Straggler 650b - 2016</v>
      </c>
      <c r="I888">
        <f>VLOOKUP(C888,[1]products!$A:$D,4,FALSE)</f>
        <v>4</v>
      </c>
      <c r="J888" t="str">
        <f>VLOOKUP(I888,[2]categories!$A$1:$B$8,2,FALSE)</f>
        <v>Cyclocross Bicycles</v>
      </c>
    </row>
    <row r="889" customHeight="1" spans="1:10">
      <c r="A889" s="1">
        <v>315</v>
      </c>
      <c r="B889" s="1">
        <v>2</v>
      </c>
      <c r="C889" s="1">
        <v>9</v>
      </c>
      <c r="D889" s="1">
        <v>1</v>
      </c>
      <c r="E889" s="1">
        <v>2999.99</v>
      </c>
      <c r="F889" s="1">
        <v>0.1</v>
      </c>
      <c r="G889">
        <f t="shared" si="13"/>
        <v>2999.89</v>
      </c>
      <c r="H889" t="str">
        <f>VLOOKUP(C889,[1]products!$A:$B,2,FALSE)</f>
        <v>Trek Conduit+ - 2016</v>
      </c>
      <c r="I889">
        <f>VLOOKUP(C889,[1]products!$A:$D,4,FALSE)</f>
        <v>5</v>
      </c>
      <c r="J889" t="str">
        <f>VLOOKUP(I889,[2]categories!$A$1:$B$8,2,FALSE)</f>
        <v>Electric Bikes</v>
      </c>
    </row>
    <row r="890" customHeight="1" spans="1:10">
      <c r="A890" s="1">
        <v>316</v>
      </c>
      <c r="B890" s="1">
        <v>1</v>
      </c>
      <c r="C890" s="1">
        <v>2</v>
      </c>
      <c r="D890" s="1">
        <v>2</v>
      </c>
      <c r="E890" s="1">
        <v>749.99</v>
      </c>
      <c r="F890" s="1">
        <v>0.2</v>
      </c>
      <c r="G890">
        <f t="shared" si="13"/>
        <v>1499.78</v>
      </c>
      <c r="H890" t="str">
        <f>VLOOKUP(C890,[1]products!$A:$B,2,FALSE)</f>
        <v>Ritchey Timberwolf Frameset - 2016</v>
      </c>
      <c r="I890">
        <f>VLOOKUP(C890,[1]products!$A:$D,4,FALSE)</f>
        <v>6</v>
      </c>
      <c r="J890" t="str">
        <f>VLOOKUP(I890,[2]categories!$A$1:$B$8,2,FALSE)</f>
        <v>Mountain Bikes</v>
      </c>
    </row>
    <row r="891" customHeight="1" spans="1:10">
      <c r="A891" s="1">
        <v>316</v>
      </c>
      <c r="B891" s="1">
        <v>2</v>
      </c>
      <c r="C891" s="1">
        <v>16</v>
      </c>
      <c r="D891" s="1">
        <v>2</v>
      </c>
      <c r="E891" s="1">
        <v>599.99</v>
      </c>
      <c r="F891" s="1">
        <v>0.1</v>
      </c>
      <c r="G891">
        <f t="shared" si="13"/>
        <v>1199.88</v>
      </c>
      <c r="H891" t="str">
        <f>VLOOKUP(C891,[1]products!$A:$B,2,FALSE)</f>
        <v>Electra Townie Original 7D EQ - 2016</v>
      </c>
      <c r="I891">
        <f>VLOOKUP(C891,[1]products!$A:$D,4,FALSE)</f>
        <v>3</v>
      </c>
      <c r="J891" t="str">
        <f>VLOOKUP(I891,[2]categories!$A$1:$B$8,2,FALSE)</f>
        <v>Cruisers Bicycles</v>
      </c>
    </row>
    <row r="892" customHeight="1" spans="1:10">
      <c r="A892" s="1">
        <v>316</v>
      </c>
      <c r="B892" s="1">
        <v>3</v>
      </c>
      <c r="C892" s="1">
        <v>20</v>
      </c>
      <c r="D892" s="1">
        <v>1</v>
      </c>
      <c r="E892" s="1">
        <v>599.99</v>
      </c>
      <c r="F892" s="1">
        <v>0.1</v>
      </c>
      <c r="G892">
        <f t="shared" si="13"/>
        <v>599.89</v>
      </c>
      <c r="H892" t="str">
        <f>VLOOKUP(C892,[1]products!$A:$B,2,FALSE)</f>
        <v>Electra Townie Original 7D EQ - Women's - 2016</v>
      </c>
      <c r="I892">
        <f>VLOOKUP(C892,[1]products!$A:$D,4,FALSE)</f>
        <v>3</v>
      </c>
      <c r="J892" t="str">
        <f>VLOOKUP(I892,[2]categories!$A$1:$B$8,2,FALSE)</f>
        <v>Cruisers Bicycles</v>
      </c>
    </row>
    <row r="893" customHeight="1" spans="1:10">
      <c r="A893" s="1">
        <v>316</v>
      </c>
      <c r="B893" s="1">
        <v>4</v>
      </c>
      <c r="C893" s="1">
        <v>19</v>
      </c>
      <c r="D893" s="1">
        <v>1</v>
      </c>
      <c r="E893" s="1">
        <v>449</v>
      </c>
      <c r="F893" s="1">
        <v>0.2</v>
      </c>
      <c r="G893">
        <f t="shared" si="13"/>
        <v>448.8</v>
      </c>
      <c r="H893" t="str">
        <f>VLOOKUP(C893,[1]products!$A:$B,2,FALSE)</f>
        <v>Pure Cycles William 3-Speed - 2016</v>
      </c>
      <c r="I893">
        <f>VLOOKUP(C893,[1]products!$A:$D,4,FALSE)</f>
        <v>3</v>
      </c>
      <c r="J893" t="str">
        <f>VLOOKUP(I893,[2]categories!$A$1:$B$8,2,FALSE)</f>
        <v>Cruisers Bicycles</v>
      </c>
    </row>
    <row r="894" customHeight="1" spans="1:10">
      <c r="A894" s="1">
        <v>316</v>
      </c>
      <c r="B894" s="1">
        <v>5</v>
      </c>
      <c r="C894" s="1">
        <v>17</v>
      </c>
      <c r="D894" s="1">
        <v>1</v>
      </c>
      <c r="E894" s="1">
        <v>429</v>
      </c>
      <c r="F894" s="1">
        <v>0.05</v>
      </c>
      <c r="G894">
        <f t="shared" si="13"/>
        <v>428.95</v>
      </c>
      <c r="H894" t="str">
        <f>VLOOKUP(C894,[1]products!$A:$B,2,FALSE)</f>
        <v>Pure Cycles Vine 8-Speed - 2016</v>
      </c>
      <c r="I894">
        <f>VLOOKUP(C894,[1]products!$A:$D,4,FALSE)</f>
        <v>3</v>
      </c>
      <c r="J894" t="str">
        <f>VLOOKUP(I894,[2]categories!$A$1:$B$8,2,FALSE)</f>
        <v>Cruisers Bicycles</v>
      </c>
    </row>
    <row r="895" customHeight="1" spans="1:10">
      <c r="A895" s="1">
        <v>317</v>
      </c>
      <c r="B895" s="1">
        <v>1</v>
      </c>
      <c r="C895" s="1">
        <v>10</v>
      </c>
      <c r="D895" s="1">
        <v>1</v>
      </c>
      <c r="E895" s="1">
        <v>1549</v>
      </c>
      <c r="F895" s="1">
        <v>0.2</v>
      </c>
      <c r="G895">
        <f t="shared" si="13"/>
        <v>1548.8</v>
      </c>
      <c r="H895" t="str">
        <f>VLOOKUP(C895,[1]products!$A:$B,2,FALSE)</f>
        <v>Surly Straggler - 2016</v>
      </c>
      <c r="I895">
        <f>VLOOKUP(C895,[1]products!$A:$D,4,FALSE)</f>
        <v>4</v>
      </c>
      <c r="J895" t="str">
        <f>VLOOKUP(I895,[2]categories!$A$1:$B$8,2,FALSE)</f>
        <v>Cyclocross Bicycles</v>
      </c>
    </row>
    <row r="896" customHeight="1" spans="1:10">
      <c r="A896" s="1">
        <v>317</v>
      </c>
      <c r="B896" s="1">
        <v>2</v>
      </c>
      <c r="C896" s="1">
        <v>22</v>
      </c>
      <c r="D896" s="1">
        <v>1</v>
      </c>
      <c r="E896" s="1">
        <v>269.99</v>
      </c>
      <c r="F896" s="1">
        <v>0.05</v>
      </c>
      <c r="G896">
        <f t="shared" si="13"/>
        <v>269.94</v>
      </c>
      <c r="H896" t="str">
        <f>VLOOKUP(C896,[1]products!$A:$B,2,FALSE)</f>
        <v>Electra Girl's Hawaii 1 (16-inch) - 2015/2016</v>
      </c>
      <c r="I896">
        <f>VLOOKUP(C896,[1]products!$A:$D,4,FALSE)</f>
        <v>1</v>
      </c>
      <c r="J896" t="str">
        <f>VLOOKUP(I896,[2]categories!$A$1:$B$8,2,FALSE)</f>
        <v>Children Bicycles</v>
      </c>
    </row>
    <row r="897" customHeight="1" spans="1:10">
      <c r="A897" s="1">
        <v>317</v>
      </c>
      <c r="B897" s="1">
        <v>3</v>
      </c>
      <c r="C897" s="1">
        <v>15</v>
      </c>
      <c r="D897" s="1">
        <v>1</v>
      </c>
      <c r="E897" s="1">
        <v>529.99</v>
      </c>
      <c r="F897" s="1">
        <v>0.05</v>
      </c>
      <c r="G897">
        <f t="shared" si="13"/>
        <v>529.94</v>
      </c>
      <c r="H897" t="str">
        <f>VLOOKUP(C897,[1]products!$A:$B,2,FALSE)</f>
        <v>Electra Moto 1 - 2016</v>
      </c>
      <c r="I897">
        <f>VLOOKUP(C897,[1]products!$A:$D,4,FALSE)</f>
        <v>3</v>
      </c>
      <c r="J897" t="str">
        <f>VLOOKUP(I897,[2]categories!$A$1:$B$8,2,FALSE)</f>
        <v>Cruisers Bicycles</v>
      </c>
    </row>
    <row r="898" customHeight="1" spans="1:10">
      <c r="A898" s="1">
        <v>317</v>
      </c>
      <c r="B898" s="1">
        <v>4</v>
      </c>
      <c r="C898" s="1">
        <v>13</v>
      </c>
      <c r="D898" s="1">
        <v>2</v>
      </c>
      <c r="E898" s="1">
        <v>269.99</v>
      </c>
      <c r="F898" s="1">
        <v>0.2</v>
      </c>
      <c r="G898">
        <f t="shared" si="13"/>
        <v>539.78</v>
      </c>
      <c r="H898" t="str">
        <f>VLOOKUP(C898,[1]products!$A:$B,2,FALSE)</f>
        <v>Electra Cruiser 1 (24-Inch) - 2016</v>
      </c>
      <c r="I898">
        <f>VLOOKUP(C898,[1]products!$A:$D,4,FALSE)</f>
        <v>3</v>
      </c>
      <c r="J898" t="str">
        <f>VLOOKUP(I898,[2]categories!$A$1:$B$8,2,FALSE)</f>
        <v>Cruisers Bicycles</v>
      </c>
    </row>
    <row r="899" customHeight="1" spans="1:10">
      <c r="A899" s="1">
        <v>318</v>
      </c>
      <c r="B899" s="1">
        <v>1</v>
      </c>
      <c r="C899" s="1">
        <v>13</v>
      </c>
      <c r="D899" s="1">
        <v>2</v>
      </c>
      <c r="E899" s="1">
        <v>269.99</v>
      </c>
      <c r="F899" s="1">
        <v>0.1</v>
      </c>
      <c r="G899">
        <f t="shared" ref="G899:G962" si="14">(E899*D899)-F899</f>
        <v>539.88</v>
      </c>
      <c r="H899" t="str">
        <f>VLOOKUP(C899,[1]products!$A:$B,2,FALSE)</f>
        <v>Electra Cruiser 1 (24-Inch) - 2016</v>
      </c>
      <c r="I899">
        <f>VLOOKUP(C899,[1]products!$A:$D,4,FALSE)</f>
        <v>3</v>
      </c>
      <c r="J899" t="str">
        <f>VLOOKUP(I899,[2]categories!$A$1:$B$8,2,FALSE)</f>
        <v>Cruisers Bicycles</v>
      </c>
    </row>
    <row r="900" customHeight="1" spans="1:10">
      <c r="A900" s="1">
        <v>318</v>
      </c>
      <c r="B900" s="1">
        <v>2</v>
      </c>
      <c r="C900" s="1">
        <v>25</v>
      </c>
      <c r="D900" s="1">
        <v>2</v>
      </c>
      <c r="E900" s="1">
        <v>499.99</v>
      </c>
      <c r="F900" s="1">
        <v>0.2</v>
      </c>
      <c r="G900">
        <f t="shared" si="14"/>
        <v>999.78</v>
      </c>
      <c r="H900" t="str">
        <f>VLOOKUP(C900,[1]products!$A:$B,2,FALSE)</f>
        <v>Electra Townie Original 7D - 2015/2016</v>
      </c>
      <c r="I900">
        <f>VLOOKUP(C900,[1]products!$A:$D,4,FALSE)</f>
        <v>2</v>
      </c>
      <c r="J900" t="str">
        <f>VLOOKUP(I900,[2]categories!$A$1:$B$8,2,FALSE)</f>
        <v>Comfort Bicycles</v>
      </c>
    </row>
    <row r="901" customHeight="1" spans="1:10">
      <c r="A901" s="1">
        <v>318</v>
      </c>
      <c r="B901" s="1">
        <v>3</v>
      </c>
      <c r="C901" s="1">
        <v>9</v>
      </c>
      <c r="D901" s="1">
        <v>1</v>
      </c>
      <c r="E901" s="1">
        <v>2999.99</v>
      </c>
      <c r="F901" s="1">
        <v>0.05</v>
      </c>
      <c r="G901">
        <f t="shared" si="14"/>
        <v>2999.94</v>
      </c>
      <c r="H901" t="str">
        <f>VLOOKUP(C901,[1]products!$A:$B,2,FALSE)</f>
        <v>Trek Conduit+ - 2016</v>
      </c>
      <c r="I901">
        <f>VLOOKUP(C901,[1]products!$A:$D,4,FALSE)</f>
        <v>5</v>
      </c>
      <c r="J901" t="str">
        <f>VLOOKUP(I901,[2]categories!$A$1:$B$8,2,FALSE)</f>
        <v>Electric Bikes</v>
      </c>
    </row>
    <row r="902" customHeight="1" spans="1:10">
      <c r="A902" s="1">
        <v>319</v>
      </c>
      <c r="B902" s="1">
        <v>1</v>
      </c>
      <c r="C902" s="1">
        <v>11</v>
      </c>
      <c r="D902" s="1">
        <v>1</v>
      </c>
      <c r="E902" s="1">
        <v>1680.99</v>
      </c>
      <c r="F902" s="1">
        <v>0.07</v>
      </c>
      <c r="G902">
        <f t="shared" si="14"/>
        <v>1680.92</v>
      </c>
      <c r="H902" t="str">
        <f>VLOOKUP(C902,[1]products!$A:$B,2,FALSE)</f>
        <v>Surly Straggler 650b - 2016</v>
      </c>
      <c r="I902">
        <f>VLOOKUP(C902,[1]products!$A:$D,4,FALSE)</f>
        <v>4</v>
      </c>
      <c r="J902" t="str">
        <f>VLOOKUP(I902,[2]categories!$A$1:$B$8,2,FALSE)</f>
        <v>Cyclocross Bicycles</v>
      </c>
    </row>
    <row r="903" customHeight="1" spans="1:10">
      <c r="A903" s="1">
        <v>319</v>
      </c>
      <c r="B903" s="1">
        <v>2</v>
      </c>
      <c r="C903" s="1">
        <v>21</v>
      </c>
      <c r="D903" s="1">
        <v>1</v>
      </c>
      <c r="E903" s="1">
        <v>269.99</v>
      </c>
      <c r="F903" s="1">
        <v>0.2</v>
      </c>
      <c r="G903">
        <f t="shared" si="14"/>
        <v>269.79</v>
      </c>
      <c r="H903" t="str">
        <f>VLOOKUP(C903,[1]products!$A:$B,2,FALSE)</f>
        <v>Electra Cruiser 1 (24-Inch) - 2016</v>
      </c>
      <c r="I903">
        <f>VLOOKUP(C903,[1]products!$A:$D,4,FALSE)</f>
        <v>1</v>
      </c>
      <c r="J903" t="str">
        <f>VLOOKUP(I903,[2]categories!$A$1:$B$8,2,FALSE)</f>
        <v>Children Bicycles</v>
      </c>
    </row>
    <row r="904" customHeight="1" spans="1:10">
      <c r="A904" s="1">
        <v>319</v>
      </c>
      <c r="B904" s="1">
        <v>3</v>
      </c>
      <c r="C904" s="1">
        <v>15</v>
      </c>
      <c r="D904" s="1">
        <v>2</v>
      </c>
      <c r="E904" s="1">
        <v>529.99</v>
      </c>
      <c r="F904" s="1">
        <v>0.1</v>
      </c>
      <c r="G904">
        <f t="shared" si="14"/>
        <v>1059.88</v>
      </c>
      <c r="H904" t="str">
        <f>VLOOKUP(C904,[1]products!$A:$B,2,FALSE)</f>
        <v>Electra Moto 1 - 2016</v>
      </c>
      <c r="I904">
        <f>VLOOKUP(C904,[1]products!$A:$D,4,FALSE)</f>
        <v>3</v>
      </c>
      <c r="J904" t="str">
        <f>VLOOKUP(I904,[2]categories!$A$1:$B$8,2,FALSE)</f>
        <v>Cruisers Bicycles</v>
      </c>
    </row>
    <row r="905" customHeight="1" spans="1:10">
      <c r="A905" s="1">
        <v>319</v>
      </c>
      <c r="B905" s="1">
        <v>4</v>
      </c>
      <c r="C905" s="1">
        <v>23</v>
      </c>
      <c r="D905" s="1">
        <v>1</v>
      </c>
      <c r="E905" s="1">
        <v>299.99</v>
      </c>
      <c r="F905" s="1">
        <v>0.05</v>
      </c>
      <c r="G905">
        <f t="shared" si="14"/>
        <v>299.94</v>
      </c>
      <c r="H905" t="str">
        <f>VLOOKUP(C905,[1]products!$A:$B,2,FALSE)</f>
        <v>Electra Girl's Hawaii 1 (20-inch) - 2015/2016</v>
      </c>
      <c r="I905">
        <f>VLOOKUP(C905,[1]products!$A:$D,4,FALSE)</f>
        <v>1</v>
      </c>
      <c r="J905" t="str">
        <f>VLOOKUP(I905,[2]categories!$A$1:$B$8,2,FALSE)</f>
        <v>Children Bicycles</v>
      </c>
    </row>
    <row r="906" customHeight="1" spans="1:10">
      <c r="A906" s="1">
        <v>320</v>
      </c>
      <c r="B906" s="1">
        <v>1</v>
      </c>
      <c r="C906" s="1">
        <v>2</v>
      </c>
      <c r="D906" s="1">
        <v>1</v>
      </c>
      <c r="E906" s="1">
        <v>749.99</v>
      </c>
      <c r="F906" s="1">
        <v>0.1</v>
      </c>
      <c r="G906">
        <f t="shared" si="14"/>
        <v>749.89</v>
      </c>
      <c r="H906" t="str">
        <f>VLOOKUP(C906,[1]products!$A:$B,2,FALSE)</f>
        <v>Ritchey Timberwolf Frameset - 2016</v>
      </c>
      <c r="I906">
        <f>VLOOKUP(C906,[1]products!$A:$D,4,FALSE)</f>
        <v>6</v>
      </c>
      <c r="J906" t="str">
        <f>VLOOKUP(I906,[2]categories!$A$1:$B$8,2,FALSE)</f>
        <v>Mountain Bikes</v>
      </c>
    </row>
    <row r="907" customHeight="1" spans="1:10">
      <c r="A907" s="1">
        <v>321</v>
      </c>
      <c r="B907" s="1">
        <v>1</v>
      </c>
      <c r="C907" s="1">
        <v>4</v>
      </c>
      <c r="D907" s="1">
        <v>2</v>
      </c>
      <c r="E907" s="1">
        <v>2899.99</v>
      </c>
      <c r="F907" s="1">
        <v>0.2</v>
      </c>
      <c r="G907">
        <f t="shared" si="14"/>
        <v>5799.78</v>
      </c>
      <c r="H907" t="str">
        <f>VLOOKUP(C907,[1]products!$A:$B,2,FALSE)</f>
        <v>Trek Fuel EX 8 29 - 2016</v>
      </c>
      <c r="I907">
        <f>VLOOKUP(C907,[1]products!$A:$D,4,FALSE)</f>
        <v>6</v>
      </c>
      <c r="J907" t="str">
        <f>VLOOKUP(I907,[2]categories!$A$1:$B$8,2,FALSE)</f>
        <v>Mountain Bikes</v>
      </c>
    </row>
    <row r="908" customHeight="1" spans="1:10">
      <c r="A908" s="1">
        <v>321</v>
      </c>
      <c r="B908" s="1">
        <v>2</v>
      </c>
      <c r="C908" s="1">
        <v>12</v>
      </c>
      <c r="D908" s="1">
        <v>2</v>
      </c>
      <c r="E908" s="1">
        <v>549.99</v>
      </c>
      <c r="F908" s="1">
        <v>0.2</v>
      </c>
      <c r="G908">
        <f t="shared" si="14"/>
        <v>1099.78</v>
      </c>
      <c r="H908" t="str">
        <f>VLOOKUP(C908,[1]products!$A:$B,2,FALSE)</f>
        <v>Electra Townie Original 21D - 2016</v>
      </c>
      <c r="I908">
        <f>VLOOKUP(C908,[1]products!$A:$D,4,FALSE)</f>
        <v>3</v>
      </c>
      <c r="J908" t="str">
        <f>VLOOKUP(I908,[2]categories!$A$1:$B$8,2,FALSE)</f>
        <v>Cruisers Bicycles</v>
      </c>
    </row>
    <row r="909" customHeight="1" spans="1:10">
      <c r="A909" s="1">
        <v>321</v>
      </c>
      <c r="B909" s="1">
        <v>3</v>
      </c>
      <c r="C909" s="1">
        <v>26</v>
      </c>
      <c r="D909" s="1">
        <v>1</v>
      </c>
      <c r="E909" s="1">
        <v>599.99</v>
      </c>
      <c r="F909" s="1">
        <v>0.2</v>
      </c>
      <c r="G909">
        <f t="shared" si="14"/>
        <v>599.79</v>
      </c>
      <c r="H909" t="str">
        <f>VLOOKUP(C909,[1]products!$A:$B,2,FALSE)</f>
        <v>Electra Townie Original 7D EQ - 2016</v>
      </c>
      <c r="I909">
        <f>VLOOKUP(C909,[1]products!$A:$D,4,FALSE)</f>
        <v>2</v>
      </c>
      <c r="J909" t="str">
        <f>VLOOKUP(I909,[2]categories!$A$1:$B$8,2,FALSE)</f>
        <v>Comfort Bicycles</v>
      </c>
    </row>
    <row r="910" customHeight="1" spans="1:10">
      <c r="A910" s="1">
        <v>321</v>
      </c>
      <c r="B910" s="1">
        <v>4</v>
      </c>
      <c r="C910" s="1">
        <v>23</v>
      </c>
      <c r="D910" s="1">
        <v>2</v>
      </c>
      <c r="E910" s="1">
        <v>299.99</v>
      </c>
      <c r="F910" s="1">
        <v>0.2</v>
      </c>
      <c r="G910">
        <f t="shared" si="14"/>
        <v>599.78</v>
      </c>
      <c r="H910" t="str">
        <f>VLOOKUP(C910,[1]products!$A:$B,2,FALSE)</f>
        <v>Electra Girl's Hawaii 1 (20-inch) - 2015/2016</v>
      </c>
      <c r="I910">
        <f>VLOOKUP(C910,[1]products!$A:$D,4,FALSE)</f>
        <v>1</v>
      </c>
      <c r="J910" t="str">
        <f>VLOOKUP(I910,[2]categories!$A$1:$B$8,2,FALSE)</f>
        <v>Children Bicycles</v>
      </c>
    </row>
    <row r="911" customHeight="1" spans="1:10">
      <c r="A911" s="1">
        <v>322</v>
      </c>
      <c r="B911" s="1">
        <v>1</v>
      </c>
      <c r="C911" s="1">
        <v>13</v>
      </c>
      <c r="D911" s="1">
        <v>2</v>
      </c>
      <c r="E911" s="1">
        <v>269.99</v>
      </c>
      <c r="F911" s="1">
        <v>0.2</v>
      </c>
      <c r="G911">
        <f t="shared" si="14"/>
        <v>539.78</v>
      </c>
      <c r="H911" t="str">
        <f>VLOOKUP(C911,[1]products!$A:$B,2,FALSE)</f>
        <v>Electra Cruiser 1 (24-Inch) - 2016</v>
      </c>
      <c r="I911">
        <f>VLOOKUP(C911,[1]products!$A:$D,4,FALSE)</f>
        <v>3</v>
      </c>
      <c r="J911" t="str">
        <f>VLOOKUP(I911,[2]categories!$A$1:$B$8,2,FALSE)</f>
        <v>Cruisers Bicycles</v>
      </c>
    </row>
    <row r="912" customHeight="1" spans="1:10">
      <c r="A912" s="1">
        <v>322</v>
      </c>
      <c r="B912" s="1">
        <v>2</v>
      </c>
      <c r="C912" s="1">
        <v>21</v>
      </c>
      <c r="D912" s="1">
        <v>1</v>
      </c>
      <c r="E912" s="1">
        <v>269.99</v>
      </c>
      <c r="F912" s="1">
        <v>0.07</v>
      </c>
      <c r="G912">
        <f t="shared" si="14"/>
        <v>269.92</v>
      </c>
      <c r="H912" t="str">
        <f>VLOOKUP(C912,[1]products!$A:$B,2,FALSE)</f>
        <v>Electra Cruiser 1 (24-Inch) - 2016</v>
      </c>
      <c r="I912">
        <f>VLOOKUP(C912,[1]products!$A:$D,4,FALSE)</f>
        <v>1</v>
      </c>
      <c r="J912" t="str">
        <f>VLOOKUP(I912,[2]categories!$A$1:$B$8,2,FALSE)</f>
        <v>Children Bicycles</v>
      </c>
    </row>
    <row r="913" customHeight="1" spans="1:10">
      <c r="A913" s="1">
        <v>323</v>
      </c>
      <c r="B913" s="1">
        <v>1</v>
      </c>
      <c r="C913" s="1">
        <v>13</v>
      </c>
      <c r="D913" s="1">
        <v>2</v>
      </c>
      <c r="E913" s="1">
        <v>269.99</v>
      </c>
      <c r="F913" s="1">
        <v>0.07</v>
      </c>
      <c r="G913">
        <f t="shared" si="14"/>
        <v>539.91</v>
      </c>
      <c r="H913" t="str">
        <f>VLOOKUP(C913,[1]products!$A:$B,2,FALSE)</f>
        <v>Electra Cruiser 1 (24-Inch) - 2016</v>
      </c>
      <c r="I913">
        <f>VLOOKUP(C913,[1]products!$A:$D,4,FALSE)</f>
        <v>3</v>
      </c>
      <c r="J913" t="str">
        <f>VLOOKUP(I913,[2]categories!$A$1:$B$8,2,FALSE)</f>
        <v>Cruisers Bicycles</v>
      </c>
    </row>
    <row r="914" customHeight="1" spans="1:10">
      <c r="A914" s="1">
        <v>323</v>
      </c>
      <c r="B914" s="1">
        <v>2</v>
      </c>
      <c r="C914" s="1">
        <v>26</v>
      </c>
      <c r="D914" s="1">
        <v>2</v>
      </c>
      <c r="E914" s="1">
        <v>599.99</v>
      </c>
      <c r="F914" s="1">
        <v>0.1</v>
      </c>
      <c r="G914">
        <f t="shared" si="14"/>
        <v>1199.88</v>
      </c>
      <c r="H914" t="str">
        <f>VLOOKUP(C914,[1]products!$A:$B,2,FALSE)</f>
        <v>Electra Townie Original 7D EQ - 2016</v>
      </c>
      <c r="I914">
        <f>VLOOKUP(C914,[1]products!$A:$D,4,FALSE)</f>
        <v>2</v>
      </c>
      <c r="J914" t="str">
        <f>VLOOKUP(I914,[2]categories!$A$1:$B$8,2,FALSE)</f>
        <v>Comfort Bicycles</v>
      </c>
    </row>
    <row r="915" customHeight="1" spans="1:10">
      <c r="A915" s="1">
        <v>324</v>
      </c>
      <c r="B915" s="1">
        <v>1</v>
      </c>
      <c r="C915" s="1">
        <v>2</v>
      </c>
      <c r="D915" s="1">
        <v>2</v>
      </c>
      <c r="E915" s="1">
        <v>749.99</v>
      </c>
      <c r="F915" s="1">
        <v>0.1</v>
      </c>
      <c r="G915">
        <f t="shared" si="14"/>
        <v>1499.88</v>
      </c>
      <c r="H915" t="str">
        <f>VLOOKUP(C915,[1]products!$A:$B,2,FALSE)</f>
        <v>Ritchey Timberwolf Frameset - 2016</v>
      </c>
      <c r="I915">
        <f>VLOOKUP(C915,[1]products!$A:$D,4,FALSE)</f>
        <v>6</v>
      </c>
      <c r="J915" t="str">
        <f>VLOOKUP(I915,[2]categories!$A$1:$B$8,2,FALSE)</f>
        <v>Mountain Bikes</v>
      </c>
    </row>
    <row r="916" customHeight="1" spans="1:10">
      <c r="A916" s="1">
        <v>324</v>
      </c>
      <c r="B916" s="1">
        <v>2</v>
      </c>
      <c r="C916" s="1">
        <v>17</v>
      </c>
      <c r="D916" s="1">
        <v>1</v>
      </c>
      <c r="E916" s="1">
        <v>429</v>
      </c>
      <c r="F916" s="1">
        <v>0.2</v>
      </c>
      <c r="G916">
        <f t="shared" si="14"/>
        <v>428.8</v>
      </c>
      <c r="H916" t="str">
        <f>VLOOKUP(C916,[1]products!$A:$B,2,FALSE)</f>
        <v>Pure Cycles Vine 8-Speed - 2016</v>
      </c>
      <c r="I916">
        <f>VLOOKUP(C916,[1]products!$A:$D,4,FALSE)</f>
        <v>3</v>
      </c>
      <c r="J916" t="str">
        <f>VLOOKUP(I916,[2]categories!$A$1:$B$8,2,FALSE)</f>
        <v>Cruisers Bicycles</v>
      </c>
    </row>
    <row r="917" customHeight="1" spans="1:10">
      <c r="A917" s="1">
        <v>324</v>
      </c>
      <c r="B917" s="1">
        <v>3</v>
      </c>
      <c r="C917" s="1">
        <v>22</v>
      </c>
      <c r="D917" s="1">
        <v>2</v>
      </c>
      <c r="E917" s="1">
        <v>269.99</v>
      </c>
      <c r="F917" s="1">
        <v>0.2</v>
      </c>
      <c r="G917">
        <f t="shared" si="14"/>
        <v>539.78</v>
      </c>
      <c r="H917" t="str">
        <f>VLOOKUP(C917,[1]products!$A:$B,2,FALSE)</f>
        <v>Electra Girl's Hawaii 1 (16-inch) - 2015/2016</v>
      </c>
      <c r="I917">
        <f>VLOOKUP(C917,[1]products!$A:$D,4,FALSE)</f>
        <v>1</v>
      </c>
      <c r="J917" t="str">
        <f>VLOOKUP(I917,[2]categories!$A$1:$B$8,2,FALSE)</f>
        <v>Children Bicycles</v>
      </c>
    </row>
    <row r="918" customHeight="1" spans="1:10">
      <c r="A918" s="1">
        <v>324</v>
      </c>
      <c r="B918" s="1">
        <v>4</v>
      </c>
      <c r="C918" s="1">
        <v>19</v>
      </c>
      <c r="D918" s="1">
        <v>1</v>
      </c>
      <c r="E918" s="1">
        <v>449</v>
      </c>
      <c r="F918" s="1">
        <v>0.05</v>
      </c>
      <c r="G918">
        <f t="shared" si="14"/>
        <v>448.95</v>
      </c>
      <c r="H918" t="str">
        <f>VLOOKUP(C918,[1]products!$A:$B,2,FALSE)</f>
        <v>Pure Cycles William 3-Speed - 2016</v>
      </c>
      <c r="I918">
        <f>VLOOKUP(C918,[1]products!$A:$D,4,FALSE)</f>
        <v>3</v>
      </c>
      <c r="J918" t="str">
        <f>VLOOKUP(I918,[2]categories!$A$1:$B$8,2,FALSE)</f>
        <v>Cruisers Bicycles</v>
      </c>
    </row>
    <row r="919" customHeight="1" spans="1:10">
      <c r="A919" s="1">
        <v>324</v>
      </c>
      <c r="B919" s="1">
        <v>5</v>
      </c>
      <c r="C919" s="1">
        <v>12</v>
      </c>
      <c r="D919" s="1">
        <v>1</v>
      </c>
      <c r="E919" s="1">
        <v>549.99</v>
      </c>
      <c r="F919" s="1">
        <v>0.05</v>
      </c>
      <c r="G919">
        <f t="shared" si="14"/>
        <v>549.94</v>
      </c>
      <c r="H919" t="str">
        <f>VLOOKUP(C919,[1]products!$A:$B,2,FALSE)</f>
        <v>Electra Townie Original 21D - 2016</v>
      </c>
      <c r="I919">
        <f>VLOOKUP(C919,[1]products!$A:$D,4,FALSE)</f>
        <v>3</v>
      </c>
      <c r="J919" t="str">
        <f>VLOOKUP(I919,[2]categories!$A$1:$B$8,2,FALSE)</f>
        <v>Cruisers Bicycles</v>
      </c>
    </row>
    <row r="920" customHeight="1" spans="1:10">
      <c r="A920" s="1">
        <v>325</v>
      </c>
      <c r="B920" s="1">
        <v>1</v>
      </c>
      <c r="C920" s="1">
        <v>7</v>
      </c>
      <c r="D920" s="1">
        <v>1</v>
      </c>
      <c r="E920" s="1">
        <v>3999.99</v>
      </c>
      <c r="F920" s="1">
        <v>0.05</v>
      </c>
      <c r="G920">
        <f t="shared" si="14"/>
        <v>3999.94</v>
      </c>
      <c r="H920" t="str">
        <f>VLOOKUP(C920,[1]products!$A:$B,2,FALSE)</f>
        <v>Trek Slash 8 27.5 - 2016</v>
      </c>
      <c r="I920">
        <f>VLOOKUP(C920,[1]products!$A:$D,4,FALSE)</f>
        <v>6</v>
      </c>
      <c r="J920" t="str">
        <f>VLOOKUP(I920,[2]categories!$A$1:$B$8,2,FALSE)</f>
        <v>Mountain Bikes</v>
      </c>
    </row>
    <row r="921" customHeight="1" spans="1:10">
      <c r="A921" s="1">
        <v>325</v>
      </c>
      <c r="B921" s="1">
        <v>2</v>
      </c>
      <c r="C921" s="1">
        <v>12</v>
      </c>
      <c r="D921" s="1">
        <v>1</v>
      </c>
      <c r="E921" s="1">
        <v>549.99</v>
      </c>
      <c r="F921" s="1">
        <v>0.2</v>
      </c>
      <c r="G921">
        <f t="shared" si="14"/>
        <v>549.79</v>
      </c>
      <c r="H921" t="str">
        <f>VLOOKUP(C921,[1]products!$A:$B,2,FALSE)</f>
        <v>Electra Townie Original 21D - 2016</v>
      </c>
      <c r="I921">
        <f>VLOOKUP(C921,[1]products!$A:$D,4,FALSE)</f>
        <v>3</v>
      </c>
      <c r="J921" t="str">
        <f>VLOOKUP(I921,[2]categories!$A$1:$B$8,2,FALSE)</f>
        <v>Cruisers Bicycles</v>
      </c>
    </row>
    <row r="922" customHeight="1" spans="1:10">
      <c r="A922" s="1">
        <v>325</v>
      </c>
      <c r="B922" s="1">
        <v>3</v>
      </c>
      <c r="C922" s="1">
        <v>6</v>
      </c>
      <c r="D922" s="1">
        <v>2</v>
      </c>
      <c r="E922" s="1">
        <v>469.99</v>
      </c>
      <c r="F922" s="1">
        <v>0.2</v>
      </c>
      <c r="G922">
        <f t="shared" si="14"/>
        <v>939.78</v>
      </c>
      <c r="H922" t="str">
        <f>VLOOKUP(C922,[1]products!$A:$B,2,FALSE)</f>
        <v>Surly Ice Cream Truck Frameset - 2016</v>
      </c>
      <c r="I922">
        <f>VLOOKUP(C922,[1]products!$A:$D,4,FALSE)</f>
        <v>6</v>
      </c>
      <c r="J922" t="str">
        <f>VLOOKUP(I922,[2]categories!$A$1:$B$8,2,FALSE)</f>
        <v>Mountain Bikes</v>
      </c>
    </row>
    <row r="923" customHeight="1" spans="1:10">
      <c r="A923" s="1">
        <v>326</v>
      </c>
      <c r="B923" s="1">
        <v>1</v>
      </c>
      <c r="C923" s="1">
        <v>12</v>
      </c>
      <c r="D923" s="1">
        <v>1</v>
      </c>
      <c r="E923" s="1">
        <v>549.99</v>
      </c>
      <c r="F923" s="1">
        <v>0.1</v>
      </c>
      <c r="G923">
        <f t="shared" si="14"/>
        <v>549.89</v>
      </c>
      <c r="H923" t="str">
        <f>VLOOKUP(C923,[1]products!$A:$B,2,FALSE)</f>
        <v>Electra Townie Original 21D - 2016</v>
      </c>
      <c r="I923">
        <f>VLOOKUP(C923,[1]products!$A:$D,4,FALSE)</f>
        <v>3</v>
      </c>
      <c r="J923" t="str">
        <f>VLOOKUP(I923,[2]categories!$A$1:$B$8,2,FALSE)</f>
        <v>Cruisers Bicycles</v>
      </c>
    </row>
    <row r="924" customHeight="1" spans="1:10">
      <c r="A924" s="1">
        <v>326</v>
      </c>
      <c r="B924" s="1">
        <v>2</v>
      </c>
      <c r="C924" s="1">
        <v>23</v>
      </c>
      <c r="D924" s="1">
        <v>1</v>
      </c>
      <c r="E924" s="1">
        <v>299.99</v>
      </c>
      <c r="F924" s="1">
        <v>0.07</v>
      </c>
      <c r="G924">
        <f t="shared" si="14"/>
        <v>299.92</v>
      </c>
      <c r="H924" t="str">
        <f>VLOOKUP(C924,[1]products!$A:$B,2,FALSE)</f>
        <v>Electra Girl's Hawaii 1 (20-inch) - 2015/2016</v>
      </c>
      <c r="I924">
        <f>VLOOKUP(C924,[1]products!$A:$D,4,FALSE)</f>
        <v>1</v>
      </c>
      <c r="J924" t="str">
        <f>VLOOKUP(I924,[2]categories!$A$1:$B$8,2,FALSE)</f>
        <v>Children Bicycles</v>
      </c>
    </row>
    <row r="925" customHeight="1" spans="1:10">
      <c r="A925" s="1">
        <v>327</v>
      </c>
      <c r="B925" s="1">
        <v>1</v>
      </c>
      <c r="C925" s="1">
        <v>12</v>
      </c>
      <c r="D925" s="1">
        <v>2</v>
      </c>
      <c r="E925" s="1">
        <v>549.99</v>
      </c>
      <c r="F925" s="1">
        <v>0.07</v>
      </c>
      <c r="G925">
        <f t="shared" si="14"/>
        <v>1099.91</v>
      </c>
      <c r="H925" t="str">
        <f>VLOOKUP(C925,[1]products!$A:$B,2,FALSE)</f>
        <v>Electra Townie Original 21D - 2016</v>
      </c>
      <c r="I925">
        <f>VLOOKUP(C925,[1]products!$A:$D,4,FALSE)</f>
        <v>3</v>
      </c>
      <c r="J925" t="str">
        <f>VLOOKUP(I925,[2]categories!$A$1:$B$8,2,FALSE)</f>
        <v>Cruisers Bicycles</v>
      </c>
    </row>
    <row r="926" customHeight="1" spans="1:10">
      <c r="A926" s="1">
        <v>327</v>
      </c>
      <c r="B926" s="1">
        <v>2</v>
      </c>
      <c r="C926" s="1">
        <v>13</v>
      </c>
      <c r="D926" s="1">
        <v>1</v>
      </c>
      <c r="E926" s="1">
        <v>269.99</v>
      </c>
      <c r="F926" s="1">
        <v>0.07</v>
      </c>
      <c r="G926">
        <f t="shared" si="14"/>
        <v>269.92</v>
      </c>
      <c r="H926" t="str">
        <f>VLOOKUP(C926,[1]products!$A:$B,2,FALSE)</f>
        <v>Electra Cruiser 1 (24-Inch) - 2016</v>
      </c>
      <c r="I926">
        <f>VLOOKUP(C926,[1]products!$A:$D,4,FALSE)</f>
        <v>3</v>
      </c>
      <c r="J926" t="str">
        <f>VLOOKUP(I926,[2]categories!$A$1:$B$8,2,FALSE)</f>
        <v>Cruisers Bicycles</v>
      </c>
    </row>
    <row r="927" customHeight="1" spans="1:10">
      <c r="A927" s="1">
        <v>327</v>
      </c>
      <c r="B927" s="1">
        <v>3</v>
      </c>
      <c r="C927" s="1">
        <v>4</v>
      </c>
      <c r="D927" s="1">
        <v>1</v>
      </c>
      <c r="E927" s="1">
        <v>2899.99</v>
      </c>
      <c r="F927" s="1">
        <v>0.05</v>
      </c>
      <c r="G927">
        <f t="shared" si="14"/>
        <v>2899.94</v>
      </c>
      <c r="H927" t="str">
        <f>VLOOKUP(C927,[1]products!$A:$B,2,FALSE)</f>
        <v>Trek Fuel EX 8 29 - 2016</v>
      </c>
      <c r="I927">
        <f>VLOOKUP(C927,[1]products!$A:$D,4,FALSE)</f>
        <v>6</v>
      </c>
      <c r="J927" t="str">
        <f>VLOOKUP(I927,[2]categories!$A$1:$B$8,2,FALSE)</f>
        <v>Mountain Bikes</v>
      </c>
    </row>
    <row r="928" customHeight="1" spans="1:10">
      <c r="A928" s="1">
        <v>328</v>
      </c>
      <c r="B928" s="1">
        <v>1</v>
      </c>
      <c r="C928" s="1">
        <v>6</v>
      </c>
      <c r="D928" s="1">
        <v>2</v>
      </c>
      <c r="E928" s="1">
        <v>469.99</v>
      </c>
      <c r="F928" s="1">
        <v>0.1</v>
      </c>
      <c r="G928">
        <f t="shared" si="14"/>
        <v>939.88</v>
      </c>
      <c r="H928" t="str">
        <f>VLOOKUP(C928,[1]products!$A:$B,2,FALSE)</f>
        <v>Surly Ice Cream Truck Frameset - 2016</v>
      </c>
      <c r="I928">
        <f>VLOOKUP(C928,[1]products!$A:$D,4,FALSE)</f>
        <v>6</v>
      </c>
      <c r="J928" t="str">
        <f>VLOOKUP(I928,[2]categories!$A$1:$B$8,2,FALSE)</f>
        <v>Mountain Bikes</v>
      </c>
    </row>
    <row r="929" customHeight="1" spans="1:10">
      <c r="A929" s="1">
        <v>329</v>
      </c>
      <c r="B929" s="1">
        <v>1</v>
      </c>
      <c r="C929" s="1">
        <v>14</v>
      </c>
      <c r="D929" s="1">
        <v>2</v>
      </c>
      <c r="E929" s="1">
        <v>269.99</v>
      </c>
      <c r="F929" s="1">
        <v>0.07</v>
      </c>
      <c r="G929">
        <f t="shared" si="14"/>
        <v>539.91</v>
      </c>
      <c r="H929" t="str">
        <f>VLOOKUP(C929,[1]products!$A:$B,2,FALSE)</f>
        <v>Electra Girl's Hawaii 1 (16-inch) - 2015/2016</v>
      </c>
      <c r="I929">
        <f>VLOOKUP(C929,[1]products!$A:$D,4,FALSE)</f>
        <v>3</v>
      </c>
      <c r="J929" t="str">
        <f>VLOOKUP(I929,[2]categories!$A$1:$B$8,2,FALSE)</f>
        <v>Cruisers Bicycles</v>
      </c>
    </row>
    <row r="930" customHeight="1" spans="1:10">
      <c r="A930" s="1">
        <v>329</v>
      </c>
      <c r="B930" s="1">
        <v>2</v>
      </c>
      <c r="C930" s="1">
        <v>8</v>
      </c>
      <c r="D930" s="1">
        <v>2</v>
      </c>
      <c r="E930" s="1">
        <v>1799.99</v>
      </c>
      <c r="F930" s="1">
        <v>0.05</v>
      </c>
      <c r="G930">
        <f t="shared" si="14"/>
        <v>3599.93</v>
      </c>
      <c r="H930" t="str">
        <f>VLOOKUP(C930,[1]products!$A:$B,2,FALSE)</f>
        <v>Trek Remedy 29 Carbon Frameset - 2016</v>
      </c>
      <c r="I930">
        <f>VLOOKUP(C930,[1]products!$A:$D,4,FALSE)</f>
        <v>6</v>
      </c>
      <c r="J930" t="str">
        <f>VLOOKUP(I930,[2]categories!$A$1:$B$8,2,FALSE)</f>
        <v>Mountain Bikes</v>
      </c>
    </row>
    <row r="931" customHeight="1" spans="1:10">
      <c r="A931" s="1">
        <v>329</v>
      </c>
      <c r="B931" s="1">
        <v>3</v>
      </c>
      <c r="C931" s="1">
        <v>23</v>
      </c>
      <c r="D931" s="1">
        <v>1</v>
      </c>
      <c r="E931" s="1">
        <v>299.99</v>
      </c>
      <c r="F931" s="1">
        <v>0.2</v>
      </c>
      <c r="G931">
        <f t="shared" si="14"/>
        <v>299.79</v>
      </c>
      <c r="H931" t="str">
        <f>VLOOKUP(C931,[1]products!$A:$B,2,FALSE)</f>
        <v>Electra Girl's Hawaii 1 (20-inch) - 2015/2016</v>
      </c>
      <c r="I931">
        <f>VLOOKUP(C931,[1]products!$A:$D,4,FALSE)</f>
        <v>1</v>
      </c>
      <c r="J931" t="str">
        <f>VLOOKUP(I931,[2]categories!$A$1:$B$8,2,FALSE)</f>
        <v>Children Bicycles</v>
      </c>
    </row>
    <row r="932" customHeight="1" spans="1:10">
      <c r="A932" s="1">
        <v>329</v>
      </c>
      <c r="B932" s="1">
        <v>4</v>
      </c>
      <c r="C932" s="1">
        <v>17</v>
      </c>
      <c r="D932" s="1">
        <v>1</v>
      </c>
      <c r="E932" s="1">
        <v>429</v>
      </c>
      <c r="F932" s="1">
        <v>0.07</v>
      </c>
      <c r="G932">
        <f t="shared" si="14"/>
        <v>428.93</v>
      </c>
      <c r="H932" t="str">
        <f>VLOOKUP(C932,[1]products!$A:$B,2,FALSE)</f>
        <v>Pure Cycles Vine 8-Speed - 2016</v>
      </c>
      <c r="I932">
        <f>VLOOKUP(C932,[1]products!$A:$D,4,FALSE)</f>
        <v>3</v>
      </c>
      <c r="J932" t="str">
        <f>VLOOKUP(I932,[2]categories!$A$1:$B$8,2,FALSE)</f>
        <v>Cruisers Bicycles</v>
      </c>
    </row>
    <row r="933" customHeight="1" spans="1:10">
      <c r="A933" s="1">
        <v>329</v>
      </c>
      <c r="B933" s="1">
        <v>5</v>
      </c>
      <c r="C933" s="1">
        <v>26</v>
      </c>
      <c r="D933" s="1">
        <v>2</v>
      </c>
      <c r="E933" s="1">
        <v>599.99</v>
      </c>
      <c r="F933" s="1">
        <v>0.05</v>
      </c>
      <c r="G933">
        <f t="shared" si="14"/>
        <v>1199.93</v>
      </c>
      <c r="H933" t="str">
        <f>VLOOKUP(C933,[1]products!$A:$B,2,FALSE)</f>
        <v>Electra Townie Original 7D EQ - 2016</v>
      </c>
      <c r="I933">
        <f>VLOOKUP(C933,[1]products!$A:$D,4,FALSE)</f>
        <v>2</v>
      </c>
      <c r="J933" t="str">
        <f>VLOOKUP(I933,[2]categories!$A$1:$B$8,2,FALSE)</f>
        <v>Comfort Bicycles</v>
      </c>
    </row>
    <row r="934" customHeight="1" spans="1:10">
      <c r="A934" s="1">
        <v>330</v>
      </c>
      <c r="B934" s="1">
        <v>1</v>
      </c>
      <c r="C934" s="1">
        <v>21</v>
      </c>
      <c r="D934" s="1">
        <v>2</v>
      </c>
      <c r="E934" s="1">
        <v>269.99</v>
      </c>
      <c r="F934" s="1">
        <v>0.05</v>
      </c>
      <c r="G934">
        <f t="shared" si="14"/>
        <v>539.93</v>
      </c>
      <c r="H934" t="str">
        <f>VLOOKUP(C934,[1]products!$A:$B,2,FALSE)</f>
        <v>Electra Cruiser 1 (24-Inch) - 2016</v>
      </c>
      <c r="I934">
        <f>VLOOKUP(C934,[1]products!$A:$D,4,FALSE)</f>
        <v>1</v>
      </c>
      <c r="J934" t="str">
        <f>VLOOKUP(I934,[2]categories!$A$1:$B$8,2,FALSE)</f>
        <v>Children Bicycles</v>
      </c>
    </row>
    <row r="935" customHeight="1" spans="1:10">
      <c r="A935" s="1">
        <v>331</v>
      </c>
      <c r="B935" s="1">
        <v>1</v>
      </c>
      <c r="C935" s="1">
        <v>17</v>
      </c>
      <c r="D935" s="1">
        <v>2</v>
      </c>
      <c r="E935" s="1">
        <v>429</v>
      </c>
      <c r="F935" s="1">
        <v>0.1</v>
      </c>
      <c r="G935">
        <f t="shared" si="14"/>
        <v>857.9</v>
      </c>
      <c r="H935" t="str">
        <f>VLOOKUP(C935,[1]products!$A:$B,2,FALSE)</f>
        <v>Pure Cycles Vine 8-Speed - 2016</v>
      </c>
      <c r="I935">
        <f>VLOOKUP(C935,[1]products!$A:$D,4,FALSE)</f>
        <v>3</v>
      </c>
      <c r="J935" t="str">
        <f>VLOOKUP(I935,[2]categories!$A$1:$B$8,2,FALSE)</f>
        <v>Cruisers Bicycles</v>
      </c>
    </row>
    <row r="936" customHeight="1" spans="1:10">
      <c r="A936" s="1">
        <v>332</v>
      </c>
      <c r="B936" s="1">
        <v>1</v>
      </c>
      <c r="C936" s="1">
        <v>18</v>
      </c>
      <c r="D936" s="1">
        <v>2</v>
      </c>
      <c r="E936" s="1">
        <v>449</v>
      </c>
      <c r="F936" s="1">
        <v>0.05</v>
      </c>
      <c r="G936">
        <f t="shared" si="14"/>
        <v>897.95</v>
      </c>
      <c r="H936" t="str">
        <f>VLOOKUP(C936,[1]products!$A:$B,2,FALSE)</f>
        <v>Pure Cycles Western 3-Speed - Women's - 2015/2016</v>
      </c>
      <c r="I936">
        <f>VLOOKUP(C936,[1]products!$A:$D,4,FALSE)</f>
        <v>3</v>
      </c>
      <c r="J936" t="str">
        <f>VLOOKUP(I936,[2]categories!$A$1:$B$8,2,FALSE)</f>
        <v>Cruisers Bicycles</v>
      </c>
    </row>
    <row r="937" customHeight="1" spans="1:10">
      <c r="A937" s="1">
        <v>333</v>
      </c>
      <c r="B937" s="1">
        <v>1</v>
      </c>
      <c r="C937" s="1">
        <v>18</v>
      </c>
      <c r="D937" s="1">
        <v>2</v>
      </c>
      <c r="E937" s="1">
        <v>449</v>
      </c>
      <c r="F937" s="1">
        <v>0.07</v>
      </c>
      <c r="G937">
        <f t="shared" si="14"/>
        <v>897.93</v>
      </c>
      <c r="H937" t="str">
        <f>VLOOKUP(C937,[1]products!$A:$B,2,FALSE)</f>
        <v>Pure Cycles Western 3-Speed - Women's - 2015/2016</v>
      </c>
      <c r="I937">
        <f>VLOOKUP(C937,[1]products!$A:$D,4,FALSE)</f>
        <v>3</v>
      </c>
      <c r="J937" t="str">
        <f>VLOOKUP(I937,[2]categories!$A$1:$B$8,2,FALSE)</f>
        <v>Cruisers Bicycles</v>
      </c>
    </row>
    <row r="938" customHeight="1" spans="1:10">
      <c r="A938" s="1">
        <v>333</v>
      </c>
      <c r="B938" s="1">
        <v>2</v>
      </c>
      <c r="C938" s="1">
        <v>8</v>
      </c>
      <c r="D938" s="1">
        <v>2</v>
      </c>
      <c r="E938" s="1">
        <v>1799.99</v>
      </c>
      <c r="F938" s="1">
        <v>0.05</v>
      </c>
      <c r="G938">
        <f t="shared" si="14"/>
        <v>3599.93</v>
      </c>
      <c r="H938" t="str">
        <f>VLOOKUP(C938,[1]products!$A:$B,2,FALSE)</f>
        <v>Trek Remedy 29 Carbon Frameset - 2016</v>
      </c>
      <c r="I938">
        <f>VLOOKUP(C938,[1]products!$A:$D,4,FALSE)</f>
        <v>6</v>
      </c>
      <c r="J938" t="str">
        <f>VLOOKUP(I938,[2]categories!$A$1:$B$8,2,FALSE)</f>
        <v>Mountain Bikes</v>
      </c>
    </row>
    <row r="939" customHeight="1" spans="1:10">
      <c r="A939" s="1">
        <v>333</v>
      </c>
      <c r="B939" s="1">
        <v>3</v>
      </c>
      <c r="C939" s="1">
        <v>3</v>
      </c>
      <c r="D939" s="1">
        <v>1</v>
      </c>
      <c r="E939" s="1">
        <v>999.99</v>
      </c>
      <c r="F939" s="1">
        <v>0.2</v>
      </c>
      <c r="G939">
        <f t="shared" si="14"/>
        <v>999.79</v>
      </c>
      <c r="H939" t="str">
        <f>VLOOKUP(C939,[1]products!$A:$B,2,FALSE)</f>
        <v>Surly Wednesday Frameset - 2016</v>
      </c>
      <c r="I939">
        <f>VLOOKUP(C939,[1]products!$A:$D,4,FALSE)</f>
        <v>6</v>
      </c>
      <c r="J939" t="str">
        <f>VLOOKUP(I939,[2]categories!$A$1:$B$8,2,FALSE)</f>
        <v>Mountain Bikes</v>
      </c>
    </row>
    <row r="940" customHeight="1" spans="1:10">
      <c r="A940" s="1">
        <v>334</v>
      </c>
      <c r="B940" s="1">
        <v>1</v>
      </c>
      <c r="C940" s="1">
        <v>16</v>
      </c>
      <c r="D940" s="1">
        <v>2</v>
      </c>
      <c r="E940" s="1">
        <v>599.99</v>
      </c>
      <c r="F940" s="1">
        <v>0.2</v>
      </c>
      <c r="G940">
        <f t="shared" si="14"/>
        <v>1199.78</v>
      </c>
      <c r="H940" t="str">
        <f>VLOOKUP(C940,[1]products!$A:$B,2,FALSE)</f>
        <v>Electra Townie Original 7D EQ - 2016</v>
      </c>
      <c r="I940">
        <f>VLOOKUP(C940,[1]products!$A:$D,4,FALSE)</f>
        <v>3</v>
      </c>
      <c r="J940" t="str">
        <f>VLOOKUP(I940,[2]categories!$A$1:$B$8,2,FALSE)</f>
        <v>Cruisers Bicycles</v>
      </c>
    </row>
    <row r="941" customHeight="1" spans="1:10">
      <c r="A941" s="1">
        <v>334</v>
      </c>
      <c r="B941" s="1">
        <v>2</v>
      </c>
      <c r="C941" s="1">
        <v>9</v>
      </c>
      <c r="D941" s="1">
        <v>1</v>
      </c>
      <c r="E941" s="1">
        <v>2999.99</v>
      </c>
      <c r="F941" s="1">
        <v>0.05</v>
      </c>
      <c r="G941">
        <f t="shared" si="14"/>
        <v>2999.94</v>
      </c>
      <c r="H941" t="str">
        <f>VLOOKUP(C941,[1]products!$A:$B,2,FALSE)</f>
        <v>Trek Conduit+ - 2016</v>
      </c>
      <c r="I941">
        <f>VLOOKUP(C941,[1]products!$A:$D,4,FALSE)</f>
        <v>5</v>
      </c>
      <c r="J941" t="str">
        <f>VLOOKUP(I941,[2]categories!$A$1:$B$8,2,FALSE)</f>
        <v>Electric Bikes</v>
      </c>
    </row>
    <row r="942" customHeight="1" spans="1:10">
      <c r="A942" s="1">
        <v>334</v>
      </c>
      <c r="B942" s="1">
        <v>3</v>
      </c>
      <c r="C942" s="1">
        <v>3</v>
      </c>
      <c r="D942" s="1">
        <v>2</v>
      </c>
      <c r="E942" s="1">
        <v>999.99</v>
      </c>
      <c r="F942" s="1">
        <v>0.05</v>
      </c>
      <c r="G942">
        <f t="shared" si="14"/>
        <v>1999.93</v>
      </c>
      <c r="H942" t="str">
        <f>VLOOKUP(C942,[1]products!$A:$B,2,FALSE)</f>
        <v>Surly Wednesday Frameset - 2016</v>
      </c>
      <c r="I942">
        <f>VLOOKUP(C942,[1]products!$A:$D,4,FALSE)</f>
        <v>6</v>
      </c>
      <c r="J942" t="str">
        <f>VLOOKUP(I942,[2]categories!$A$1:$B$8,2,FALSE)</f>
        <v>Mountain Bikes</v>
      </c>
    </row>
    <row r="943" customHeight="1" spans="1:10">
      <c r="A943" s="1">
        <v>335</v>
      </c>
      <c r="B943" s="1">
        <v>1</v>
      </c>
      <c r="C943" s="1">
        <v>6</v>
      </c>
      <c r="D943" s="1">
        <v>1</v>
      </c>
      <c r="E943" s="1">
        <v>469.99</v>
      </c>
      <c r="F943" s="1">
        <v>0.1</v>
      </c>
      <c r="G943">
        <f t="shared" si="14"/>
        <v>469.89</v>
      </c>
      <c r="H943" t="str">
        <f>VLOOKUP(C943,[1]products!$A:$B,2,FALSE)</f>
        <v>Surly Ice Cream Truck Frameset - 2016</v>
      </c>
      <c r="I943">
        <f>VLOOKUP(C943,[1]products!$A:$D,4,FALSE)</f>
        <v>6</v>
      </c>
      <c r="J943" t="str">
        <f>VLOOKUP(I943,[2]categories!$A$1:$B$8,2,FALSE)</f>
        <v>Mountain Bikes</v>
      </c>
    </row>
    <row r="944" customHeight="1" spans="1:10">
      <c r="A944" s="1">
        <v>335</v>
      </c>
      <c r="B944" s="1">
        <v>2</v>
      </c>
      <c r="C944" s="1">
        <v>2</v>
      </c>
      <c r="D944" s="1">
        <v>2</v>
      </c>
      <c r="E944" s="1">
        <v>749.99</v>
      </c>
      <c r="F944" s="1">
        <v>0.1</v>
      </c>
      <c r="G944">
        <f t="shared" si="14"/>
        <v>1499.88</v>
      </c>
      <c r="H944" t="str">
        <f>VLOOKUP(C944,[1]products!$A:$B,2,FALSE)</f>
        <v>Ritchey Timberwolf Frameset - 2016</v>
      </c>
      <c r="I944">
        <f>VLOOKUP(C944,[1]products!$A:$D,4,FALSE)</f>
        <v>6</v>
      </c>
      <c r="J944" t="str">
        <f>VLOOKUP(I944,[2]categories!$A$1:$B$8,2,FALSE)</f>
        <v>Mountain Bikes</v>
      </c>
    </row>
    <row r="945" customHeight="1" spans="1:10">
      <c r="A945" s="1">
        <v>335</v>
      </c>
      <c r="B945" s="1">
        <v>3</v>
      </c>
      <c r="C945" s="1">
        <v>21</v>
      </c>
      <c r="D945" s="1">
        <v>1</v>
      </c>
      <c r="E945" s="1">
        <v>269.99</v>
      </c>
      <c r="F945" s="1">
        <v>0.07</v>
      </c>
      <c r="G945">
        <f t="shared" si="14"/>
        <v>269.92</v>
      </c>
      <c r="H945" t="str">
        <f>VLOOKUP(C945,[1]products!$A:$B,2,FALSE)</f>
        <v>Electra Cruiser 1 (24-Inch) - 2016</v>
      </c>
      <c r="I945">
        <f>VLOOKUP(C945,[1]products!$A:$D,4,FALSE)</f>
        <v>1</v>
      </c>
      <c r="J945" t="str">
        <f>VLOOKUP(I945,[2]categories!$A$1:$B$8,2,FALSE)</f>
        <v>Children Bicycles</v>
      </c>
    </row>
    <row r="946" customHeight="1" spans="1:10">
      <c r="A946" s="1">
        <v>336</v>
      </c>
      <c r="B946" s="1">
        <v>1</v>
      </c>
      <c r="C946" s="1">
        <v>4</v>
      </c>
      <c r="D946" s="1">
        <v>1</v>
      </c>
      <c r="E946" s="1">
        <v>2899.99</v>
      </c>
      <c r="F946" s="1">
        <v>0.1</v>
      </c>
      <c r="G946">
        <f t="shared" si="14"/>
        <v>2899.89</v>
      </c>
      <c r="H946" t="str">
        <f>VLOOKUP(C946,[1]products!$A:$B,2,FALSE)</f>
        <v>Trek Fuel EX 8 29 - 2016</v>
      </c>
      <c r="I946">
        <f>VLOOKUP(C946,[1]products!$A:$D,4,FALSE)</f>
        <v>6</v>
      </c>
      <c r="J946" t="str">
        <f>VLOOKUP(I946,[2]categories!$A$1:$B$8,2,FALSE)</f>
        <v>Mountain Bikes</v>
      </c>
    </row>
    <row r="947" customHeight="1" spans="1:10">
      <c r="A947" s="1">
        <v>336</v>
      </c>
      <c r="B947" s="1">
        <v>2</v>
      </c>
      <c r="C947" s="1">
        <v>12</v>
      </c>
      <c r="D947" s="1">
        <v>1</v>
      </c>
      <c r="E947" s="1">
        <v>549.99</v>
      </c>
      <c r="F947" s="1">
        <v>0.2</v>
      </c>
      <c r="G947">
        <f t="shared" si="14"/>
        <v>549.79</v>
      </c>
      <c r="H947" t="str">
        <f>VLOOKUP(C947,[1]products!$A:$B,2,FALSE)</f>
        <v>Electra Townie Original 21D - 2016</v>
      </c>
      <c r="I947">
        <f>VLOOKUP(C947,[1]products!$A:$D,4,FALSE)</f>
        <v>3</v>
      </c>
      <c r="J947" t="str">
        <f>VLOOKUP(I947,[2]categories!$A$1:$B$8,2,FALSE)</f>
        <v>Cruisers Bicycles</v>
      </c>
    </row>
    <row r="948" customHeight="1" spans="1:10">
      <c r="A948" s="1">
        <v>337</v>
      </c>
      <c r="B948" s="1">
        <v>1</v>
      </c>
      <c r="C948" s="1">
        <v>18</v>
      </c>
      <c r="D948" s="1">
        <v>1</v>
      </c>
      <c r="E948" s="1">
        <v>449</v>
      </c>
      <c r="F948" s="1">
        <v>0.05</v>
      </c>
      <c r="G948">
        <f t="shared" si="14"/>
        <v>448.95</v>
      </c>
      <c r="H948" t="str">
        <f>VLOOKUP(C948,[1]products!$A:$B,2,FALSE)</f>
        <v>Pure Cycles Western 3-Speed - Women's - 2015/2016</v>
      </c>
      <c r="I948">
        <f>VLOOKUP(C948,[1]products!$A:$D,4,FALSE)</f>
        <v>3</v>
      </c>
      <c r="J948" t="str">
        <f>VLOOKUP(I948,[2]categories!$A$1:$B$8,2,FALSE)</f>
        <v>Cruisers Bicycles</v>
      </c>
    </row>
    <row r="949" customHeight="1" spans="1:10">
      <c r="A949" s="1">
        <v>337</v>
      </c>
      <c r="B949" s="1">
        <v>2</v>
      </c>
      <c r="C949" s="1">
        <v>4</v>
      </c>
      <c r="D949" s="1">
        <v>1</v>
      </c>
      <c r="E949" s="1">
        <v>2899.99</v>
      </c>
      <c r="F949" s="1">
        <v>0.05</v>
      </c>
      <c r="G949">
        <f t="shared" si="14"/>
        <v>2899.94</v>
      </c>
      <c r="H949" t="str">
        <f>VLOOKUP(C949,[1]products!$A:$B,2,FALSE)</f>
        <v>Trek Fuel EX 8 29 - 2016</v>
      </c>
      <c r="I949">
        <f>VLOOKUP(C949,[1]products!$A:$D,4,FALSE)</f>
        <v>6</v>
      </c>
      <c r="J949" t="str">
        <f>VLOOKUP(I949,[2]categories!$A$1:$B$8,2,FALSE)</f>
        <v>Mountain Bikes</v>
      </c>
    </row>
    <row r="950" customHeight="1" spans="1:10">
      <c r="A950" s="1">
        <v>338</v>
      </c>
      <c r="B950" s="1">
        <v>1</v>
      </c>
      <c r="C950" s="1">
        <v>6</v>
      </c>
      <c r="D950" s="1">
        <v>2</v>
      </c>
      <c r="E950" s="1">
        <v>469.99</v>
      </c>
      <c r="F950" s="1">
        <v>0.07</v>
      </c>
      <c r="G950">
        <f t="shared" si="14"/>
        <v>939.91</v>
      </c>
      <c r="H950" t="str">
        <f>VLOOKUP(C950,[1]products!$A:$B,2,FALSE)</f>
        <v>Surly Ice Cream Truck Frameset - 2016</v>
      </c>
      <c r="I950">
        <f>VLOOKUP(C950,[1]products!$A:$D,4,FALSE)</f>
        <v>6</v>
      </c>
      <c r="J950" t="str">
        <f>VLOOKUP(I950,[2]categories!$A$1:$B$8,2,FALSE)</f>
        <v>Mountain Bikes</v>
      </c>
    </row>
    <row r="951" customHeight="1" spans="1:10">
      <c r="A951" s="1">
        <v>338</v>
      </c>
      <c r="B951" s="1">
        <v>2</v>
      </c>
      <c r="C951" s="1">
        <v>10</v>
      </c>
      <c r="D951" s="1">
        <v>1</v>
      </c>
      <c r="E951" s="1">
        <v>1549</v>
      </c>
      <c r="F951" s="1">
        <v>0.07</v>
      </c>
      <c r="G951">
        <f t="shared" si="14"/>
        <v>1548.93</v>
      </c>
      <c r="H951" t="str">
        <f>VLOOKUP(C951,[1]products!$A:$B,2,FALSE)</f>
        <v>Surly Straggler - 2016</v>
      </c>
      <c r="I951">
        <f>VLOOKUP(C951,[1]products!$A:$D,4,FALSE)</f>
        <v>4</v>
      </c>
      <c r="J951" t="str">
        <f>VLOOKUP(I951,[2]categories!$A$1:$B$8,2,FALSE)</f>
        <v>Cyclocross Bicycles</v>
      </c>
    </row>
    <row r="952" customHeight="1" spans="1:10">
      <c r="A952" s="1">
        <v>338</v>
      </c>
      <c r="B952" s="1">
        <v>3</v>
      </c>
      <c r="C952" s="1">
        <v>22</v>
      </c>
      <c r="D952" s="1">
        <v>1</v>
      </c>
      <c r="E952" s="1">
        <v>269.99</v>
      </c>
      <c r="F952" s="1">
        <v>0.1</v>
      </c>
      <c r="G952">
        <f t="shared" si="14"/>
        <v>269.89</v>
      </c>
      <c r="H952" t="str">
        <f>VLOOKUP(C952,[1]products!$A:$B,2,FALSE)</f>
        <v>Electra Girl's Hawaii 1 (16-inch) - 2015/2016</v>
      </c>
      <c r="I952">
        <f>VLOOKUP(C952,[1]products!$A:$D,4,FALSE)</f>
        <v>1</v>
      </c>
      <c r="J952" t="str">
        <f>VLOOKUP(I952,[2]categories!$A$1:$B$8,2,FALSE)</f>
        <v>Children Bicycles</v>
      </c>
    </row>
    <row r="953" customHeight="1" spans="1:10">
      <c r="A953" s="1">
        <v>338</v>
      </c>
      <c r="B953" s="1">
        <v>4</v>
      </c>
      <c r="C953" s="1">
        <v>11</v>
      </c>
      <c r="D953" s="1">
        <v>2</v>
      </c>
      <c r="E953" s="1">
        <v>1680.99</v>
      </c>
      <c r="F953" s="1">
        <v>0.07</v>
      </c>
      <c r="G953">
        <f t="shared" si="14"/>
        <v>3361.91</v>
      </c>
      <c r="H953" t="str">
        <f>VLOOKUP(C953,[1]products!$A:$B,2,FALSE)</f>
        <v>Surly Straggler 650b - 2016</v>
      </c>
      <c r="I953">
        <f>VLOOKUP(C953,[1]products!$A:$D,4,FALSE)</f>
        <v>4</v>
      </c>
      <c r="J953" t="str">
        <f>VLOOKUP(I953,[2]categories!$A$1:$B$8,2,FALSE)</f>
        <v>Cyclocross Bicycles</v>
      </c>
    </row>
    <row r="954" customHeight="1" spans="1:10">
      <c r="A954" s="1">
        <v>338</v>
      </c>
      <c r="B954" s="1">
        <v>5</v>
      </c>
      <c r="C954" s="1">
        <v>9</v>
      </c>
      <c r="D954" s="1">
        <v>1</v>
      </c>
      <c r="E954" s="1">
        <v>2999.99</v>
      </c>
      <c r="F954" s="1">
        <v>0.05</v>
      </c>
      <c r="G954">
        <f t="shared" si="14"/>
        <v>2999.94</v>
      </c>
      <c r="H954" t="str">
        <f>VLOOKUP(C954,[1]products!$A:$B,2,FALSE)</f>
        <v>Trek Conduit+ - 2016</v>
      </c>
      <c r="I954">
        <f>VLOOKUP(C954,[1]products!$A:$D,4,FALSE)</f>
        <v>5</v>
      </c>
      <c r="J954" t="str">
        <f>VLOOKUP(I954,[2]categories!$A$1:$B$8,2,FALSE)</f>
        <v>Electric Bikes</v>
      </c>
    </row>
    <row r="955" customHeight="1" spans="1:10">
      <c r="A955" s="1">
        <v>339</v>
      </c>
      <c r="B955" s="1">
        <v>1</v>
      </c>
      <c r="C955" s="1">
        <v>13</v>
      </c>
      <c r="D955" s="1">
        <v>1</v>
      </c>
      <c r="E955" s="1">
        <v>269.99</v>
      </c>
      <c r="F955" s="1">
        <v>0.1</v>
      </c>
      <c r="G955">
        <f t="shared" si="14"/>
        <v>269.89</v>
      </c>
      <c r="H955" t="str">
        <f>VLOOKUP(C955,[1]products!$A:$B,2,FALSE)</f>
        <v>Electra Cruiser 1 (24-Inch) - 2016</v>
      </c>
      <c r="I955">
        <f>VLOOKUP(C955,[1]products!$A:$D,4,FALSE)</f>
        <v>3</v>
      </c>
      <c r="J955" t="str">
        <f>VLOOKUP(I955,[2]categories!$A$1:$B$8,2,FALSE)</f>
        <v>Cruisers Bicycles</v>
      </c>
    </row>
    <row r="956" customHeight="1" spans="1:10">
      <c r="A956" s="1">
        <v>339</v>
      </c>
      <c r="B956" s="1">
        <v>2</v>
      </c>
      <c r="C956" s="1">
        <v>15</v>
      </c>
      <c r="D956" s="1">
        <v>2</v>
      </c>
      <c r="E956" s="1">
        <v>529.99</v>
      </c>
      <c r="F956" s="1">
        <v>0.05</v>
      </c>
      <c r="G956">
        <f t="shared" si="14"/>
        <v>1059.93</v>
      </c>
      <c r="H956" t="str">
        <f>VLOOKUP(C956,[1]products!$A:$B,2,FALSE)</f>
        <v>Electra Moto 1 - 2016</v>
      </c>
      <c r="I956">
        <f>VLOOKUP(C956,[1]products!$A:$D,4,FALSE)</f>
        <v>3</v>
      </c>
      <c r="J956" t="str">
        <f>VLOOKUP(I956,[2]categories!$A$1:$B$8,2,FALSE)</f>
        <v>Cruisers Bicycles</v>
      </c>
    </row>
    <row r="957" customHeight="1" spans="1:10">
      <c r="A957" s="1">
        <v>340</v>
      </c>
      <c r="B957" s="1">
        <v>1</v>
      </c>
      <c r="C957" s="1">
        <v>11</v>
      </c>
      <c r="D957" s="1">
        <v>1</v>
      </c>
      <c r="E957" s="1">
        <v>1680.99</v>
      </c>
      <c r="F957" s="1">
        <v>0.05</v>
      </c>
      <c r="G957">
        <f t="shared" si="14"/>
        <v>1680.94</v>
      </c>
      <c r="H957" t="str">
        <f>VLOOKUP(C957,[1]products!$A:$B,2,FALSE)</f>
        <v>Surly Straggler 650b - 2016</v>
      </c>
      <c r="I957">
        <f>VLOOKUP(C957,[1]products!$A:$D,4,FALSE)</f>
        <v>4</v>
      </c>
      <c r="J957" t="str">
        <f>VLOOKUP(I957,[2]categories!$A$1:$B$8,2,FALSE)</f>
        <v>Cyclocross Bicycles</v>
      </c>
    </row>
    <row r="958" customHeight="1" spans="1:10">
      <c r="A958" s="1">
        <v>340</v>
      </c>
      <c r="B958" s="1">
        <v>2</v>
      </c>
      <c r="C958" s="1">
        <v>24</v>
      </c>
      <c r="D958" s="1">
        <v>1</v>
      </c>
      <c r="E958" s="1">
        <v>549.99</v>
      </c>
      <c r="F958" s="1">
        <v>0.05</v>
      </c>
      <c r="G958">
        <f t="shared" si="14"/>
        <v>549.94</v>
      </c>
      <c r="H958" t="str">
        <f>VLOOKUP(C958,[1]products!$A:$B,2,FALSE)</f>
        <v>Electra Townie Original 21D - 2016</v>
      </c>
      <c r="I958">
        <f>VLOOKUP(C958,[1]products!$A:$D,4,FALSE)</f>
        <v>2</v>
      </c>
      <c r="J958" t="str">
        <f>VLOOKUP(I958,[2]categories!$A$1:$B$8,2,FALSE)</f>
        <v>Comfort Bicycles</v>
      </c>
    </row>
    <row r="959" customHeight="1" spans="1:10">
      <c r="A959" s="1">
        <v>340</v>
      </c>
      <c r="B959" s="1">
        <v>3</v>
      </c>
      <c r="C959" s="1">
        <v>13</v>
      </c>
      <c r="D959" s="1">
        <v>2</v>
      </c>
      <c r="E959" s="1">
        <v>269.99</v>
      </c>
      <c r="F959" s="1">
        <v>0.1</v>
      </c>
      <c r="G959">
        <f t="shared" si="14"/>
        <v>539.88</v>
      </c>
      <c r="H959" t="str">
        <f>VLOOKUP(C959,[1]products!$A:$B,2,FALSE)</f>
        <v>Electra Cruiser 1 (24-Inch) - 2016</v>
      </c>
      <c r="I959">
        <f>VLOOKUP(C959,[1]products!$A:$D,4,FALSE)</f>
        <v>3</v>
      </c>
      <c r="J959" t="str">
        <f>VLOOKUP(I959,[2]categories!$A$1:$B$8,2,FALSE)</f>
        <v>Cruisers Bicycles</v>
      </c>
    </row>
    <row r="960" customHeight="1" spans="1:10">
      <c r="A960" s="1">
        <v>340</v>
      </c>
      <c r="B960" s="1">
        <v>4</v>
      </c>
      <c r="C960" s="1">
        <v>12</v>
      </c>
      <c r="D960" s="1">
        <v>2</v>
      </c>
      <c r="E960" s="1">
        <v>549.99</v>
      </c>
      <c r="F960" s="1">
        <v>0.07</v>
      </c>
      <c r="G960">
        <f t="shared" si="14"/>
        <v>1099.91</v>
      </c>
      <c r="H960" t="str">
        <f>VLOOKUP(C960,[1]products!$A:$B,2,FALSE)</f>
        <v>Electra Townie Original 21D - 2016</v>
      </c>
      <c r="I960">
        <f>VLOOKUP(C960,[1]products!$A:$D,4,FALSE)</f>
        <v>3</v>
      </c>
      <c r="J960" t="str">
        <f>VLOOKUP(I960,[2]categories!$A$1:$B$8,2,FALSE)</f>
        <v>Cruisers Bicycles</v>
      </c>
    </row>
    <row r="961" customHeight="1" spans="1:10">
      <c r="A961" s="1">
        <v>340</v>
      </c>
      <c r="B961" s="1">
        <v>5</v>
      </c>
      <c r="C961" s="1">
        <v>10</v>
      </c>
      <c r="D961" s="1">
        <v>2</v>
      </c>
      <c r="E961" s="1">
        <v>1549</v>
      </c>
      <c r="F961" s="1">
        <v>0.1</v>
      </c>
      <c r="G961">
        <f t="shared" si="14"/>
        <v>3097.9</v>
      </c>
      <c r="H961" t="str">
        <f>VLOOKUP(C961,[1]products!$A:$B,2,FALSE)</f>
        <v>Surly Straggler - 2016</v>
      </c>
      <c r="I961">
        <f>VLOOKUP(C961,[1]products!$A:$D,4,FALSE)</f>
        <v>4</v>
      </c>
      <c r="J961" t="str">
        <f>VLOOKUP(I961,[2]categories!$A$1:$B$8,2,FALSE)</f>
        <v>Cyclocross Bicycles</v>
      </c>
    </row>
    <row r="962" customHeight="1" spans="1:10">
      <c r="A962" s="1">
        <v>341</v>
      </c>
      <c r="B962" s="1">
        <v>1</v>
      </c>
      <c r="C962" s="1">
        <v>23</v>
      </c>
      <c r="D962" s="1">
        <v>2</v>
      </c>
      <c r="E962" s="1">
        <v>299.99</v>
      </c>
      <c r="F962" s="1">
        <v>0.05</v>
      </c>
      <c r="G962">
        <f t="shared" si="14"/>
        <v>599.93</v>
      </c>
      <c r="H962" t="str">
        <f>VLOOKUP(C962,[1]products!$A:$B,2,FALSE)</f>
        <v>Electra Girl's Hawaii 1 (20-inch) - 2015/2016</v>
      </c>
      <c r="I962">
        <f>VLOOKUP(C962,[1]products!$A:$D,4,FALSE)</f>
        <v>1</v>
      </c>
      <c r="J962" t="str">
        <f>VLOOKUP(I962,[2]categories!$A$1:$B$8,2,FALSE)</f>
        <v>Children Bicycles</v>
      </c>
    </row>
    <row r="963" customHeight="1" spans="1:10">
      <c r="A963" s="1">
        <v>342</v>
      </c>
      <c r="B963" s="1">
        <v>1</v>
      </c>
      <c r="C963" s="1">
        <v>26</v>
      </c>
      <c r="D963" s="1">
        <v>1</v>
      </c>
      <c r="E963" s="1">
        <v>599.99</v>
      </c>
      <c r="F963" s="1">
        <v>0.07</v>
      </c>
      <c r="G963">
        <f t="shared" ref="G963:G1026" si="15">(E963*D963)-F963</f>
        <v>599.92</v>
      </c>
      <c r="H963" t="str">
        <f>VLOOKUP(C963,[1]products!$A:$B,2,FALSE)</f>
        <v>Electra Townie Original 7D EQ - 2016</v>
      </c>
      <c r="I963">
        <f>VLOOKUP(C963,[1]products!$A:$D,4,FALSE)</f>
        <v>2</v>
      </c>
      <c r="J963" t="str">
        <f>VLOOKUP(I963,[2]categories!$A$1:$B$8,2,FALSE)</f>
        <v>Comfort Bicycles</v>
      </c>
    </row>
    <row r="964" customHeight="1" spans="1:10">
      <c r="A964" s="1">
        <v>342</v>
      </c>
      <c r="B964" s="1">
        <v>2</v>
      </c>
      <c r="C964" s="1">
        <v>9</v>
      </c>
      <c r="D964" s="1">
        <v>1</v>
      </c>
      <c r="E964" s="1">
        <v>2999.99</v>
      </c>
      <c r="F964" s="1">
        <v>0.2</v>
      </c>
      <c r="G964">
        <f t="shared" si="15"/>
        <v>2999.79</v>
      </c>
      <c r="H964" t="str">
        <f>VLOOKUP(C964,[1]products!$A:$B,2,FALSE)</f>
        <v>Trek Conduit+ - 2016</v>
      </c>
      <c r="I964">
        <f>VLOOKUP(C964,[1]products!$A:$D,4,FALSE)</f>
        <v>5</v>
      </c>
      <c r="J964" t="str">
        <f>VLOOKUP(I964,[2]categories!$A$1:$B$8,2,FALSE)</f>
        <v>Electric Bikes</v>
      </c>
    </row>
    <row r="965" customHeight="1" spans="1:10">
      <c r="A965" s="1">
        <v>342</v>
      </c>
      <c r="B965" s="1">
        <v>3</v>
      </c>
      <c r="C965" s="1">
        <v>16</v>
      </c>
      <c r="D965" s="1">
        <v>2</v>
      </c>
      <c r="E965" s="1">
        <v>599.99</v>
      </c>
      <c r="F965" s="1">
        <v>0.1</v>
      </c>
      <c r="G965">
        <f t="shared" si="15"/>
        <v>1199.88</v>
      </c>
      <c r="H965" t="str">
        <f>VLOOKUP(C965,[1]products!$A:$B,2,FALSE)</f>
        <v>Electra Townie Original 7D EQ - 2016</v>
      </c>
      <c r="I965">
        <f>VLOOKUP(C965,[1]products!$A:$D,4,FALSE)</f>
        <v>3</v>
      </c>
      <c r="J965" t="str">
        <f>VLOOKUP(I965,[2]categories!$A$1:$B$8,2,FALSE)</f>
        <v>Cruisers Bicycles</v>
      </c>
    </row>
    <row r="966" customHeight="1" spans="1:10">
      <c r="A966" s="1">
        <v>343</v>
      </c>
      <c r="B966" s="1">
        <v>1</v>
      </c>
      <c r="C966" s="1">
        <v>20</v>
      </c>
      <c r="D966" s="1">
        <v>2</v>
      </c>
      <c r="E966" s="1">
        <v>599.99</v>
      </c>
      <c r="F966" s="1">
        <v>0.2</v>
      </c>
      <c r="G966">
        <f t="shared" si="15"/>
        <v>1199.78</v>
      </c>
      <c r="H966" t="str">
        <f>VLOOKUP(C966,[1]products!$A:$B,2,FALSE)</f>
        <v>Electra Townie Original 7D EQ - Women's - 2016</v>
      </c>
      <c r="I966">
        <f>VLOOKUP(C966,[1]products!$A:$D,4,FALSE)</f>
        <v>3</v>
      </c>
      <c r="J966" t="str">
        <f>VLOOKUP(I966,[2]categories!$A$1:$B$8,2,FALSE)</f>
        <v>Cruisers Bicycles</v>
      </c>
    </row>
    <row r="967" customHeight="1" spans="1:10">
      <c r="A967" s="1">
        <v>343</v>
      </c>
      <c r="B967" s="1">
        <v>2</v>
      </c>
      <c r="C967" s="1">
        <v>25</v>
      </c>
      <c r="D967" s="1">
        <v>1</v>
      </c>
      <c r="E967" s="1">
        <v>499.99</v>
      </c>
      <c r="F967" s="1">
        <v>0.05</v>
      </c>
      <c r="G967">
        <f t="shared" si="15"/>
        <v>499.94</v>
      </c>
      <c r="H967" t="str">
        <f>VLOOKUP(C967,[1]products!$A:$B,2,FALSE)</f>
        <v>Electra Townie Original 7D - 2015/2016</v>
      </c>
      <c r="I967">
        <f>VLOOKUP(C967,[1]products!$A:$D,4,FALSE)</f>
        <v>2</v>
      </c>
      <c r="J967" t="str">
        <f>VLOOKUP(I967,[2]categories!$A$1:$B$8,2,FALSE)</f>
        <v>Comfort Bicycles</v>
      </c>
    </row>
    <row r="968" customHeight="1" spans="1:10">
      <c r="A968" s="1">
        <v>343</v>
      </c>
      <c r="B968" s="1">
        <v>3</v>
      </c>
      <c r="C968" s="1">
        <v>5</v>
      </c>
      <c r="D968" s="1">
        <v>2</v>
      </c>
      <c r="E968" s="1">
        <v>1320.99</v>
      </c>
      <c r="F968" s="1">
        <v>0.05</v>
      </c>
      <c r="G968">
        <f t="shared" si="15"/>
        <v>2641.93</v>
      </c>
      <c r="H968" t="str">
        <f>VLOOKUP(C968,[1]products!$A:$B,2,FALSE)</f>
        <v>Heller Shagamaw Frame - 2016</v>
      </c>
      <c r="I968">
        <f>VLOOKUP(C968,[1]products!$A:$D,4,FALSE)</f>
        <v>6</v>
      </c>
      <c r="J968" t="str">
        <f>VLOOKUP(I968,[2]categories!$A$1:$B$8,2,FALSE)</f>
        <v>Mountain Bikes</v>
      </c>
    </row>
    <row r="969" customHeight="1" spans="1:10">
      <c r="A969" s="1">
        <v>343</v>
      </c>
      <c r="B969" s="1">
        <v>4</v>
      </c>
      <c r="C969" s="1">
        <v>10</v>
      </c>
      <c r="D969" s="1">
        <v>1</v>
      </c>
      <c r="E969" s="1">
        <v>1549</v>
      </c>
      <c r="F969" s="1">
        <v>0.1</v>
      </c>
      <c r="G969">
        <f t="shared" si="15"/>
        <v>1548.9</v>
      </c>
      <c r="H969" t="str">
        <f>VLOOKUP(C969,[1]products!$A:$B,2,FALSE)</f>
        <v>Surly Straggler - 2016</v>
      </c>
      <c r="I969">
        <f>VLOOKUP(C969,[1]products!$A:$D,4,FALSE)</f>
        <v>4</v>
      </c>
      <c r="J969" t="str">
        <f>VLOOKUP(I969,[2]categories!$A$1:$B$8,2,FALSE)</f>
        <v>Cyclocross Bicycles</v>
      </c>
    </row>
    <row r="970" customHeight="1" spans="1:10">
      <c r="A970" s="1">
        <v>344</v>
      </c>
      <c r="B970" s="1">
        <v>1</v>
      </c>
      <c r="C970" s="1">
        <v>22</v>
      </c>
      <c r="D970" s="1">
        <v>1</v>
      </c>
      <c r="E970" s="1">
        <v>269.99</v>
      </c>
      <c r="F970" s="1">
        <v>0.05</v>
      </c>
      <c r="G970">
        <f t="shared" si="15"/>
        <v>269.94</v>
      </c>
      <c r="H970" t="str">
        <f>VLOOKUP(C970,[1]products!$A:$B,2,FALSE)</f>
        <v>Electra Girl's Hawaii 1 (16-inch) - 2015/2016</v>
      </c>
      <c r="I970">
        <f>VLOOKUP(C970,[1]products!$A:$D,4,FALSE)</f>
        <v>1</v>
      </c>
      <c r="J970" t="str">
        <f>VLOOKUP(I970,[2]categories!$A$1:$B$8,2,FALSE)</f>
        <v>Children Bicycles</v>
      </c>
    </row>
    <row r="971" customHeight="1" spans="1:10">
      <c r="A971" s="1">
        <v>344</v>
      </c>
      <c r="B971" s="1">
        <v>2</v>
      </c>
      <c r="C971" s="1">
        <v>18</v>
      </c>
      <c r="D971" s="1">
        <v>2</v>
      </c>
      <c r="E971" s="1">
        <v>449</v>
      </c>
      <c r="F971" s="1">
        <v>0.07</v>
      </c>
      <c r="G971">
        <f t="shared" si="15"/>
        <v>897.93</v>
      </c>
      <c r="H971" t="str">
        <f>VLOOKUP(C971,[1]products!$A:$B,2,FALSE)</f>
        <v>Pure Cycles Western 3-Speed - Women's - 2015/2016</v>
      </c>
      <c r="I971">
        <f>VLOOKUP(C971,[1]products!$A:$D,4,FALSE)</f>
        <v>3</v>
      </c>
      <c r="J971" t="str">
        <f>VLOOKUP(I971,[2]categories!$A$1:$B$8,2,FALSE)</f>
        <v>Cruisers Bicycles</v>
      </c>
    </row>
    <row r="972" customHeight="1" spans="1:10">
      <c r="A972" s="1">
        <v>344</v>
      </c>
      <c r="B972" s="1">
        <v>3</v>
      </c>
      <c r="C972" s="1">
        <v>14</v>
      </c>
      <c r="D972" s="1">
        <v>1</v>
      </c>
      <c r="E972" s="1">
        <v>269.99</v>
      </c>
      <c r="F972" s="1">
        <v>0.2</v>
      </c>
      <c r="G972">
        <f t="shared" si="15"/>
        <v>269.79</v>
      </c>
      <c r="H972" t="str">
        <f>VLOOKUP(C972,[1]products!$A:$B,2,FALSE)</f>
        <v>Electra Girl's Hawaii 1 (16-inch) - 2015/2016</v>
      </c>
      <c r="I972">
        <f>VLOOKUP(C972,[1]products!$A:$D,4,FALSE)</f>
        <v>3</v>
      </c>
      <c r="J972" t="str">
        <f>VLOOKUP(I972,[2]categories!$A$1:$B$8,2,FALSE)</f>
        <v>Cruisers Bicycles</v>
      </c>
    </row>
    <row r="973" customHeight="1" spans="1:10">
      <c r="A973" s="1">
        <v>345</v>
      </c>
      <c r="B973" s="1">
        <v>1</v>
      </c>
      <c r="C973" s="1">
        <v>18</v>
      </c>
      <c r="D973" s="1">
        <v>2</v>
      </c>
      <c r="E973" s="1">
        <v>449</v>
      </c>
      <c r="F973" s="1">
        <v>0.1</v>
      </c>
      <c r="G973">
        <f t="shared" si="15"/>
        <v>897.9</v>
      </c>
      <c r="H973" t="str">
        <f>VLOOKUP(C973,[1]products!$A:$B,2,FALSE)</f>
        <v>Pure Cycles Western 3-Speed - Women's - 2015/2016</v>
      </c>
      <c r="I973">
        <f>VLOOKUP(C973,[1]products!$A:$D,4,FALSE)</f>
        <v>3</v>
      </c>
      <c r="J973" t="str">
        <f>VLOOKUP(I973,[2]categories!$A$1:$B$8,2,FALSE)</f>
        <v>Cruisers Bicycles</v>
      </c>
    </row>
    <row r="974" customHeight="1" spans="1:10">
      <c r="A974" s="1">
        <v>345</v>
      </c>
      <c r="B974" s="1">
        <v>2</v>
      </c>
      <c r="C974" s="1">
        <v>24</v>
      </c>
      <c r="D974" s="1">
        <v>2</v>
      </c>
      <c r="E974" s="1">
        <v>549.99</v>
      </c>
      <c r="F974" s="1">
        <v>0.07</v>
      </c>
      <c r="G974">
        <f t="shared" si="15"/>
        <v>1099.91</v>
      </c>
      <c r="H974" t="str">
        <f>VLOOKUP(C974,[1]products!$A:$B,2,FALSE)</f>
        <v>Electra Townie Original 21D - 2016</v>
      </c>
      <c r="I974">
        <f>VLOOKUP(C974,[1]products!$A:$D,4,FALSE)</f>
        <v>2</v>
      </c>
      <c r="J974" t="str">
        <f>VLOOKUP(I974,[2]categories!$A$1:$B$8,2,FALSE)</f>
        <v>Comfort Bicycles</v>
      </c>
    </row>
    <row r="975" customHeight="1" spans="1:10">
      <c r="A975" s="1">
        <v>346</v>
      </c>
      <c r="B975" s="1">
        <v>1</v>
      </c>
      <c r="C975" s="1">
        <v>13</v>
      </c>
      <c r="D975" s="1">
        <v>1</v>
      </c>
      <c r="E975" s="1">
        <v>269.99</v>
      </c>
      <c r="F975" s="1">
        <v>0.07</v>
      </c>
      <c r="G975">
        <f t="shared" si="15"/>
        <v>269.92</v>
      </c>
      <c r="H975" t="str">
        <f>VLOOKUP(C975,[1]products!$A:$B,2,FALSE)</f>
        <v>Electra Cruiser 1 (24-Inch) - 2016</v>
      </c>
      <c r="I975">
        <f>VLOOKUP(C975,[1]products!$A:$D,4,FALSE)</f>
        <v>3</v>
      </c>
      <c r="J975" t="str">
        <f>VLOOKUP(I975,[2]categories!$A$1:$B$8,2,FALSE)</f>
        <v>Cruisers Bicycles</v>
      </c>
    </row>
    <row r="976" customHeight="1" spans="1:10">
      <c r="A976" s="1">
        <v>346</v>
      </c>
      <c r="B976" s="1">
        <v>2</v>
      </c>
      <c r="C976" s="1">
        <v>23</v>
      </c>
      <c r="D976" s="1">
        <v>1</v>
      </c>
      <c r="E976" s="1">
        <v>299.99</v>
      </c>
      <c r="F976" s="1">
        <v>0.2</v>
      </c>
      <c r="G976">
        <f t="shared" si="15"/>
        <v>299.79</v>
      </c>
      <c r="H976" t="str">
        <f>VLOOKUP(C976,[1]products!$A:$B,2,FALSE)</f>
        <v>Electra Girl's Hawaii 1 (20-inch) - 2015/2016</v>
      </c>
      <c r="I976">
        <f>VLOOKUP(C976,[1]products!$A:$D,4,FALSE)</f>
        <v>1</v>
      </c>
      <c r="J976" t="str">
        <f>VLOOKUP(I976,[2]categories!$A$1:$B$8,2,FALSE)</f>
        <v>Children Bicycles</v>
      </c>
    </row>
    <row r="977" customHeight="1" spans="1:10">
      <c r="A977" s="1">
        <v>346</v>
      </c>
      <c r="B977" s="1">
        <v>3</v>
      </c>
      <c r="C977" s="1">
        <v>21</v>
      </c>
      <c r="D977" s="1">
        <v>1</v>
      </c>
      <c r="E977" s="1">
        <v>269.99</v>
      </c>
      <c r="F977" s="1">
        <v>0.1</v>
      </c>
      <c r="G977">
        <f t="shared" si="15"/>
        <v>269.89</v>
      </c>
      <c r="H977" t="str">
        <f>VLOOKUP(C977,[1]products!$A:$B,2,FALSE)</f>
        <v>Electra Cruiser 1 (24-Inch) - 2016</v>
      </c>
      <c r="I977">
        <f>VLOOKUP(C977,[1]products!$A:$D,4,FALSE)</f>
        <v>1</v>
      </c>
      <c r="J977" t="str">
        <f>VLOOKUP(I977,[2]categories!$A$1:$B$8,2,FALSE)</f>
        <v>Children Bicycles</v>
      </c>
    </row>
    <row r="978" customHeight="1" spans="1:10">
      <c r="A978" s="1">
        <v>346</v>
      </c>
      <c r="B978" s="1">
        <v>4</v>
      </c>
      <c r="C978" s="1">
        <v>15</v>
      </c>
      <c r="D978" s="1">
        <v>1</v>
      </c>
      <c r="E978" s="1">
        <v>529.99</v>
      </c>
      <c r="F978" s="1">
        <v>0.05</v>
      </c>
      <c r="G978">
        <f t="shared" si="15"/>
        <v>529.94</v>
      </c>
      <c r="H978" t="str">
        <f>VLOOKUP(C978,[1]products!$A:$B,2,FALSE)</f>
        <v>Electra Moto 1 - 2016</v>
      </c>
      <c r="I978">
        <f>VLOOKUP(C978,[1]products!$A:$D,4,FALSE)</f>
        <v>3</v>
      </c>
      <c r="J978" t="str">
        <f>VLOOKUP(I978,[2]categories!$A$1:$B$8,2,FALSE)</f>
        <v>Cruisers Bicycles</v>
      </c>
    </row>
    <row r="979" customHeight="1" spans="1:10">
      <c r="A979" s="1">
        <v>346</v>
      </c>
      <c r="B979" s="1">
        <v>5</v>
      </c>
      <c r="C979" s="1">
        <v>18</v>
      </c>
      <c r="D979" s="1">
        <v>2</v>
      </c>
      <c r="E979" s="1">
        <v>449</v>
      </c>
      <c r="F979" s="1">
        <v>0.05</v>
      </c>
      <c r="G979">
        <f t="shared" si="15"/>
        <v>897.95</v>
      </c>
      <c r="H979" t="str">
        <f>VLOOKUP(C979,[1]products!$A:$B,2,FALSE)</f>
        <v>Pure Cycles Western 3-Speed - Women's - 2015/2016</v>
      </c>
      <c r="I979">
        <f>VLOOKUP(C979,[1]products!$A:$D,4,FALSE)</f>
        <v>3</v>
      </c>
      <c r="J979" t="str">
        <f>VLOOKUP(I979,[2]categories!$A$1:$B$8,2,FALSE)</f>
        <v>Cruisers Bicycles</v>
      </c>
    </row>
    <row r="980" customHeight="1" spans="1:10">
      <c r="A980" s="1">
        <v>347</v>
      </c>
      <c r="B980" s="1">
        <v>1</v>
      </c>
      <c r="C980" s="1">
        <v>23</v>
      </c>
      <c r="D980" s="1">
        <v>1</v>
      </c>
      <c r="E980" s="1">
        <v>299.99</v>
      </c>
      <c r="F980" s="1">
        <v>0.07</v>
      </c>
      <c r="G980">
        <f t="shared" si="15"/>
        <v>299.92</v>
      </c>
      <c r="H980" t="str">
        <f>VLOOKUP(C980,[1]products!$A:$B,2,FALSE)</f>
        <v>Electra Girl's Hawaii 1 (20-inch) - 2015/2016</v>
      </c>
      <c r="I980">
        <f>VLOOKUP(C980,[1]products!$A:$D,4,FALSE)</f>
        <v>1</v>
      </c>
      <c r="J980" t="str">
        <f>VLOOKUP(I980,[2]categories!$A$1:$B$8,2,FALSE)</f>
        <v>Children Bicycles</v>
      </c>
    </row>
    <row r="981" customHeight="1" spans="1:10">
      <c r="A981" s="1">
        <v>348</v>
      </c>
      <c r="B981" s="1">
        <v>1</v>
      </c>
      <c r="C981" s="1">
        <v>5</v>
      </c>
      <c r="D981" s="1">
        <v>2</v>
      </c>
      <c r="E981" s="1">
        <v>1320.99</v>
      </c>
      <c r="F981" s="1">
        <v>0.05</v>
      </c>
      <c r="G981">
        <f t="shared" si="15"/>
        <v>2641.93</v>
      </c>
      <c r="H981" t="str">
        <f>VLOOKUP(C981,[1]products!$A:$B,2,FALSE)</f>
        <v>Heller Shagamaw Frame - 2016</v>
      </c>
      <c r="I981">
        <f>VLOOKUP(C981,[1]products!$A:$D,4,FALSE)</f>
        <v>6</v>
      </c>
      <c r="J981" t="str">
        <f>VLOOKUP(I981,[2]categories!$A$1:$B$8,2,FALSE)</f>
        <v>Mountain Bikes</v>
      </c>
    </row>
    <row r="982" customHeight="1" spans="1:10">
      <c r="A982" s="1">
        <v>348</v>
      </c>
      <c r="B982" s="1">
        <v>2</v>
      </c>
      <c r="C982" s="1">
        <v>15</v>
      </c>
      <c r="D982" s="1">
        <v>2</v>
      </c>
      <c r="E982" s="1">
        <v>529.99</v>
      </c>
      <c r="F982" s="1">
        <v>0.07</v>
      </c>
      <c r="G982">
        <f t="shared" si="15"/>
        <v>1059.91</v>
      </c>
      <c r="H982" t="str">
        <f>VLOOKUP(C982,[1]products!$A:$B,2,FALSE)</f>
        <v>Electra Moto 1 - 2016</v>
      </c>
      <c r="I982">
        <f>VLOOKUP(C982,[1]products!$A:$D,4,FALSE)</f>
        <v>3</v>
      </c>
      <c r="J982" t="str">
        <f>VLOOKUP(I982,[2]categories!$A$1:$B$8,2,FALSE)</f>
        <v>Cruisers Bicycles</v>
      </c>
    </row>
    <row r="983" customHeight="1" spans="1:10">
      <c r="A983" s="1">
        <v>349</v>
      </c>
      <c r="B983" s="1">
        <v>1</v>
      </c>
      <c r="C983" s="1">
        <v>20</v>
      </c>
      <c r="D983" s="1">
        <v>2</v>
      </c>
      <c r="E983" s="1">
        <v>599.99</v>
      </c>
      <c r="F983" s="1">
        <v>0.2</v>
      </c>
      <c r="G983">
        <f t="shared" si="15"/>
        <v>1199.78</v>
      </c>
      <c r="H983" t="str">
        <f>VLOOKUP(C983,[1]products!$A:$B,2,FALSE)</f>
        <v>Electra Townie Original 7D EQ - Women's - 2016</v>
      </c>
      <c r="I983">
        <f>VLOOKUP(C983,[1]products!$A:$D,4,FALSE)</f>
        <v>3</v>
      </c>
      <c r="J983" t="str">
        <f>VLOOKUP(I983,[2]categories!$A$1:$B$8,2,FALSE)</f>
        <v>Cruisers Bicycles</v>
      </c>
    </row>
    <row r="984" customHeight="1" spans="1:10">
      <c r="A984" s="1">
        <v>350</v>
      </c>
      <c r="B984" s="1">
        <v>1</v>
      </c>
      <c r="C984" s="1">
        <v>6</v>
      </c>
      <c r="D984" s="1">
        <v>2</v>
      </c>
      <c r="E984" s="1">
        <v>469.99</v>
      </c>
      <c r="F984" s="1">
        <v>0.05</v>
      </c>
      <c r="G984">
        <f t="shared" si="15"/>
        <v>939.93</v>
      </c>
      <c r="H984" t="str">
        <f>VLOOKUP(C984,[1]products!$A:$B,2,FALSE)</f>
        <v>Surly Ice Cream Truck Frameset - 2016</v>
      </c>
      <c r="I984">
        <f>VLOOKUP(C984,[1]products!$A:$D,4,FALSE)</f>
        <v>6</v>
      </c>
      <c r="J984" t="str">
        <f>VLOOKUP(I984,[2]categories!$A$1:$B$8,2,FALSE)</f>
        <v>Mountain Bikes</v>
      </c>
    </row>
    <row r="985" customHeight="1" spans="1:10">
      <c r="A985" s="1">
        <v>350</v>
      </c>
      <c r="B985" s="1">
        <v>2</v>
      </c>
      <c r="C985" s="1">
        <v>20</v>
      </c>
      <c r="D985" s="1">
        <v>1</v>
      </c>
      <c r="E985" s="1">
        <v>599.99</v>
      </c>
      <c r="F985" s="1">
        <v>0.07</v>
      </c>
      <c r="G985">
        <f t="shared" si="15"/>
        <v>599.92</v>
      </c>
      <c r="H985" t="str">
        <f>VLOOKUP(C985,[1]products!$A:$B,2,FALSE)</f>
        <v>Electra Townie Original 7D EQ - Women's - 2016</v>
      </c>
      <c r="I985">
        <f>VLOOKUP(C985,[1]products!$A:$D,4,FALSE)</f>
        <v>3</v>
      </c>
      <c r="J985" t="str">
        <f>VLOOKUP(I985,[2]categories!$A$1:$B$8,2,FALSE)</f>
        <v>Cruisers Bicycles</v>
      </c>
    </row>
    <row r="986" customHeight="1" spans="1:10">
      <c r="A986" s="1">
        <v>350</v>
      </c>
      <c r="B986" s="1">
        <v>3</v>
      </c>
      <c r="C986" s="1">
        <v>3</v>
      </c>
      <c r="D986" s="1">
        <v>1</v>
      </c>
      <c r="E986" s="1">
        <v>999.99</v>
      </c>
      <c r="F986" s="1">
        <v>0.07</v>
      </c>
      <c r="G986">
        <f t="shared" si="15"/>
        <v>999.92</v>
      </c>
      <c r="H986" t="str">
        <f>VLOOKUP(C986,[1]products!$A:$B,2,FALSE)</f>
        <v>Surly Wednesday Frameset - 2016</v>
      </c>
      <c r="I986">
        <f>VLOOKUP(C986,[1]products!$A:$D,4,FALSE)</f>
        <v>6</v>
      </c>
      <c r="J986" t="str">
        <f>VLOOKUP(I986,[2]categories!$A$1:$B$8,2,FALSE)</f>
        <v>Mountain Bikes</v>
      </c>
    </row>
    <row r="987" customHeight="1" spans="1:10">
      <c r="A987" s="1">
        <v>351</v>
      </c>
      <c r="B987" s="1">
        <v>1</v>
      </c>
      <c r="C987" s="1">
        <v>4</v>
      </c>
      <c r="D987" s="1">
        <v>2</v>
      </c>
      <c r="E987" s="1">
        <v>2899.99</v>
      </c>
      <c r="F987" s="1">
        <v>0.05</v>
      </c>
      <c r="G987">
        <f t="shared" si="15"/>
        <v>5799.93</v>
      </c>
      <c r="H987" t="str">
        <f>VLOOKUP(C987,[1]products!$A:$B,2,FALSE)</f>
        <v>Trek Fuel EX 8 29 - 2016</v>
      </c>
      <c r="I987">
        <f>VLOOKUP(C987,[1]products!$A:$D,4,FALSE)</f>
        <v>6</v>
      </c>
      <c r="J987" t="str">
        <f>VLOOKUP(I987,[2]categories!$A$1:$B$8,2,FALSE)</f>
        <v>Mountain Bikes</v>
      </c>
    </row>
    <row r="988" customHeight="1" spans="1:10">
      <c r="A988" s="1">
        <v>351</v>
      </c>
      <c r="B988" s="1">
        <v>2</v>
      </c>
      <c r="C988" s="1">
        <v>24</v>
      </c>
      <c r="D988" s="1">
        <v>2</v>
      </c>
      <c r="E988" s="1">
        <v>549.99</v>
      </c>
      <c r="F988" s="1">
        <v>0.1</v>
      </c>
      <c r="G988">
        <f t="shared" si="15"/>
        <v>1099.88</v>
      </c>
      <c r="H988" t="str">
        <f>VLOOKUP(C988,[1]products!$A:$B,2,FALSE)</f>
        <v>Electra Townie Original 21D - 2016</v>
      </c>
      <c r="I988">
        <f>VLOOKUP(C988,[1]products!$A:$D,4,FALSE)</f>
        <v>2</v>
      </c>
      <c r="J988" t="str">
        <f>VLOOKUP(I988,[2]categories!$A$1:$B$8,2,FALSE)</f>
        <v>Comfort Bicycles</v>
      </c>
    </row>
    <row r="989" customHeight="1" spans="1:10">
      <c r="A989" s="1">
        <v>351</v>
      </c>
      <c r="B989" s="1">
        <v>3</v>
      </c>
      <c r="C989" s="1">
        <v>20</v>
      </c>
      <c r="D989" s="1">
        <v>1</v>
      </c>
      <c r="E989" s="1">
        <v>599.99</v>
      </c>
      <c r="F989" s="1">
        <v>0.2</v>
      </c>
      <c r="G989">
        <f t="shared" si="15"/>
        <v>599.79</v>
      </c>
      <c r="H989" t="str">
        <f>VLOOKUP(C989,[1]products!$A:$B,2,FALSE)</f>
        <v>Electra Townie Original 7D EQ - Women's - 2016</v>
      </c>
      <c r="I989">
        <f>VLOOKUP(C989,[1]products!$A:$D,4,FALSE)</f>
        <v>3</v>
      </c>
      <c r="J989" t="str">
        <f>VLOOKUP(I989,[2]categories!$A$1:$B$8,2,FALSE)</f>
        <v>Cruisers Bicycles</v>
      </c>
    </row>
    <row r="990" customHeight="1" spans="1:10">
      <c r="A990" s="1">
        <v>351</v>
      </c>
      <c r="B990" s="1">
        <v>4</v>
      </c>
      <c r="C990" s="1">
        <v>22</v>
      </c>
      <c r="D990" s="1">
        <v>2</v>
      </c>
      <c r="E990" s="1">
        <v>269.99</v>
      </c>
      <c r="F990" s="1">
        <v>0.07</v>
      </c>
      <c r="G990">
        <f t="shared" si="15"/>
        <v>539.91</v>
      </c>
      <c r="H990" t="str">
        <f>VLOOKUP(C990,[1]products!$A:$B,2,FALSE)</f>
        <v>Electra Girl's Hawaii 1 (16-inch) - 2015/2016</v>
      </c>
      <c r="I990">
        <f>VLOOKUP(C990,[1]products!$A:$D,4,FALSE)</f>
        <v>1</v>
      </c>
      <c r="J990" t="str">
        <f>VLOOKUP(I990,[2]categories!$A$1:$B$8,2,FALSE)</f>
        <v>Children Bicycles</v>
      </c>
    </row>
    <row r="991" customHeight="1" spans="1:10">
      <c r="A991" s="1">
        <v>352</v>
      </c>
      <c r="B991" s="1">
        <v>1</v>
      </c>
      <c r="C991" s="1">
        <v>11</v>
      </c>
      <c r="D991" s="1">
        <v>1</v>
      </c>
      <c r="E991" s="1">
        <v>1680.99</v>
      </c>
      <c r="F991" s="1">
        <v>0.2</v>
      </c>
      <c r="G991">
        <f t="shared" si="15"/>
        <v>1680.79</v>
      </c>
      <c r="H991" t="str">
        <f>VLOOKUP(C991,[1]products!$A:$B,2,FALSE)</f>
        <v>Surly Straggler 650b - 2016</v>
      </c>
      <c r="I991">
        <f>VLOOKUP(C991,[1]products!$A:$D,4,FALSE)</f>
        <v>4</v>
      </c>
      <c r="J991" t="str">
        <f>VLOOKUP(I991,[2]categories!$A$1:$B$8,2,FALSE)</f>
        <v>Cyclocross Bicycles</v>
      </c>
    </row>
    <row r="992" customHeight="1" spans="1:10">
      <c r="A992" s="1">
        <v>352</v>
      </c>
      <c r="B992" s="1">
        <v>2</v>
      </c>
      <c r="C992" s="1">
        <v>14</v>
      </c>
      <c r="D992" s="1">
        <v>1</v>
      </c>
      <c r="E992" s="1">
        <v>269.99</v>
      </c>
      <c r="F992" s="1">
        <v>0.2</v>
      </c>
      <c r="G992">
        <f t="shared" si="15"/>
        <v>269.79</v>
      </c>
      <c r="H992" t="str">
        <f>VLOOKUP(C992,[1]products!$A:$B,2,FALSE)</f>
        <v>Electra Girl's Hawaii 1 (16-inch) - 2015/2016</v>
      </c>
      <c r="I992">
        <f>VLOOKUP(C992,[1]products!$A:$D,4,FALSE)</f>
        <v>3</v>
      </c>
      <c r="J992" t="str">
        <f>VLOOKUP(I992,[2]categories!$A$1:$B$8,2,FALSE)</f>
        <v>Cruisers Bicycles</v>
      </c>
    </row>
    <row r="993" customHeight="1" spans="1:10">
      <c r="A993" s="1">
        <v>353</v>
      </c>
      <c r="B993" s="1">
        <v>1</v>
      </c>
      <c r="C993" s="1">
        <v>2</v>
      </c>
      <c r="D993" s="1">
        <v>2</v>
      </c>
      <c r="E993" s="1">
        <v>749.99</v>
      </c>
      <c r="F993" s="1">
        <v>0.2</v>
      </c>
      <c r="G993">
        <f t="shared" si="15"/>
        <v>1499.78</v>
      </c>
      <c r="H993" t="str">
        <f>VLOOKUP(C993,[1]products!$A:$B,2,FALSE)</f>
        <v>Ritchey Timberwolf Frameset - 2016</v>
      </c>
      <c r="I993">
        <f>VLOOKUP(C993,[1]products!$A:$D,4,FALSE)</f>
        <v>6</v>
      </c>
      <c r="J993" t="str">
        <f>VLOOKUP(I993,[2]categories!$A$1:$B$8,2,FALSE)</f>
        <v>Mountain Bikes</v>
      </c>
    </row>
    <row r="994" customHeight="1" spans="1:10">
      <c r="A994" s="1">
        <v>354</v>
      </c>
      <c r="B994" s="1">
        <v>1</v>
      </c>
      <c r="C994" s="1">
        <v>21</v>
      </c>
      <c r="D994" s="1">
        <v>1</v>
      </c>
      <c r="E994" s="1">
        <v>269.99</v>
      </c>
      <c r="F994" s="1">
        <v>0.2</v>
      </c>
      <c r="G994">
        <f t="shared" si="15"/>
        <v>269.79</v>
      </c>
      <c r="H994" t="str">
        <f>VLOOKUP(C994,[1]products!$A:$B,2,FALSE)</f>
        <v>Electra Cruiser 1 (24-Inch) - 2016</v>
      </c>
      <c r="I994">
        <f>VLOOKUP(C994,[1]products!$A:$D,4,FALSE)</f>
        <v>1</v>
      </c>
      <c r="J994" t="str">
        <f>VLOOKUP(I994,[2]categories!$A$1:$B$8,2,FALSE)</f>
        <v>Children Bicycles</v>
      </c>
    </row>
    <row r="995" customHeight="1" spans="1:10">
      <c r="A995" s="1">
        <v>354</v>
      </c>
      <c r="B995" s="1">
        <v>2</v>
      </c>
      <c r="C995" s="1">
        <v>19</v>
      </c>
      <c r="D995" s="1">
        <v>1</v>
      </c>
      <c r="E995" s="1">
        <v>449</v>
      </c>
      <c r="F995" s="1">
        <v>0.05</v>
      </c>
      <c r="G995">
        <f t="shared" si="15"/>
        <v>448.95</v>
      </c>
      <c r="H995" t="str">
        <f>VLOOKUP(C995,[1]products!$A:$B,2,FALSE)</f>
        <v>Pure Cycles William 3-Speed - 2016</v>
      </c>
      <c r="I995">
        <f>VLOOKUP(C995,[1]products!$A:$D,4,FALSE)</f>
        <v>3</v>
      </c>
      <c r="J995" t="str">
        <f>VLOOKUP(I995,[2]categories!$A$1:$B$8,2,FALSE)</f>
        <v>Cruisers Bicycles</v>
      </c>
    </row>
    <row r="996" customHeight="1" spans="1:10">
      <c r="A996" s="1">
        <v>355</v>
      </c>
      <c r="B996" s="1">
        <v>1</v>
      </c>
      <c r="C996" s="1">
        <v>16</v>
      </c>
      <c r="D996" s="1">
        <v>1</v>
      </c>
      <c r="E996" s="1">
        <v>599.99</v>
      </c>
      <c r="F996" s="1">
        <v>0.1</v>
      </c>
      <c r="G996">
        <f t="shared" si="15"/>
        <v>599.89</v>
      </c>
      <c r="H996" t="str">
        <f>VLOOKUP(C996,[1]products!$A:$B,2,FALSE)</f>
        <v>Electra Townie Original 7D EQ - 2016</v>
      </c>
      <c r="I996">
        <f>VLOOKUP(C996,[1]products!$A:$D,4,FALSE)</f>
        <v>3</v>
      </c>
      <c r="J996" t="str">
        <f>VLOOKUP(I996,[2]categories!$A$1:$B$8,2,FALSE)</f>
        <v>Cruisers Bicycles</v>
      </c>
    </row>
    <row r="997" customHeight="1" spans="1:10">
      <c r="A997" s="1">
        <v>355</v>
      </c>
      <c r="B997" s="1">
        <v>2</v>
      </c>
      <c r="C997" s="1">
        <v>14</v>
      </c>
      <c r="D997" s="1">
        <v>2</v>
      </c>
      <c r="E997" s="1">
        <v>269.99</v>
      </c>
      <c r="F997" s="1">
        <v>0.07</v>
      </c>
      <c r="G997">
        <f t="shared" si="15"/>
        <v>539.91</v>
      </c>
      <c r="H997" t="str">
        <f>VLOOKUP(C997,[1]products!$A:$B,2,FALSE)</f>
        <v>Electra Girl's Hawaii 1 (16-inch) - 2015/2016</v>
      </c>
      <c r="I997">
        <f>VLOOKUP(C997,[1]products!$A:$D,4,FALSE)</f>
        <v>3</v>
      </c>
      <c r="J997" t="str">
        <f>VLOOKUP(I997,[2]categories!$A$1:$B$8,2,FALSE)</f>
        <v>Cruisers Bicycles</v>
      </c>
    </row>
    <row r="998" customHeight="1" spans="1:10">
      <c r="A998" s="1">
        <v>356</v>
      </c>
      <c r="B998" s="1">
        <v>1</v>
      </c>
      <c r="C998" s="1">
        <v>23</v>
      </c>
      <c r="D998" s="1">
        <v>2</v>
      </c>
      <c r="E998" s="1">
        <v>299.99</v>
      </c>
      <c r="F998" s="1">
        <v>0.05</v>
      </c>
      <c r="G998">
        <f t="shared" si="15"/>
        <v>599.93</v>
      </c>
      <c r="H998" t="str">
        <f>VLOOKUP(C998,[1]products!$A:$B,2,FALSE)</f>
        <v>Electra Girl's Hawaii 1 (20-inch) - 2015/2016</v>
      </c>
      <c r="I998">
        <f>VLOOKUP(C998,[1]products!$A:$D,4,FALSE)</f>
        <v>1</v>
      </c>
      <c r="J998" t="str">
        <f>VLOOKUP(I998,[2]categories!$A$1:$B$8,2,FALSE)</f>
        <v>Children Bicycles</v>
      </c>
    </row>
    <row r="999" customHeight="1" spans="1:10">
      <c r="A999" s="1">
        <v>356</v>
      </c>
      <c r="B999" s="1">
        <v>2</v>
      </c>
      <c r="C999" s="1">
        <v>4</v>
      </c>
      <c r="D999" s="1">
        <v>1</v>
      </c>
      <c r="E999" s="1">
        <v>2899.99</v>
      </c>
      <c r="F999" s="1">
        <v>0.05</v>
      </c>
      <c r="G999">
        <f t="shared" si="15"/>
        <v>2899.94</v>
      </c>
      <c r="H999" t="str">
        <f>VLOOKUP(C999,[1]products!$A:$B,2,FALSE)</f>
        <v>Trek Fuel EX 8 29 - 2016</v>
      </c>
      <c r="I999">
        <f>VLOOKUP(C999,[1]products!$A:$D,4,FALSE)</f>
        <v>6</v>
      </c>
      <c r="J999" t="str">
        <f>VLOOKUP(I999,[2]categories!$A$1:$B$8,2,FALSE)</f>
        <v>Mountain Bikes</v>
      </c>
    </row>
    <row r="1000" customHeight="1" spans="1:10">
      <c r="A1000" s="1">
        <v>356</v>
      </c>
      <c r="B1000" s="1">
        <v>3</v>
      </c>
      <c r="C1000" s="1">
        <v>13</v>
      </c>
      <c r="D1000" s="1">
        <v>1</v>
      </c>
      <c r="E1000" s="1">
        <v>269.99</v>
      </c>
      <c r="F1000" s="1">
        <v>0.05</v>
      </c>
      <c r="G1000">
        <f t="shared" si="15"/>
        <v>269.94</v>
      </c>
      <c r="H1000" t="str">
        <f>VLOOKUP(C1000,[1]products!$A:$B,2,FALSE)</f>
        <v>Electra Cruiser 1 (24-Inch) - 2016</v>
      </c>
      <c r="I1000">
        <f>VLOOKUP(C1000,[1]products!$A:$D,4,FALSE)</f>
        <v>3</v>
      </c>
      <c r="J1000" t="str">
        <f>VLOOKUP(I1000,[2]categories!$A$1:$B$8,2,FALSE)</f>
        <v>Cruisers Bicycles</v>
      </c>
    </row>
    <row r="1001" customHeight="1" spans="1:10">
      <c r="A1001" s="1">
        <v>357</v>
      </c>
      <c r="B1001" s="1">
        <v>1</v>
      </c>
      <c r="C1001" s="1">
        <v>17</v>
      </c>
      <c r="D1001" s="1">
        <v>2</v>
      </c>
      <c r="E1001" s="1">
        <v>429</v>
      </c>
      <c r="F1001" s="1">
        <v>0.05</v>
      </c>
      <c r="G1001">
        <f t="shared" si="15"/>
        <v>857.95</v>
      </c>
      <c r="H1001" t="str">
        <f>VLOOKUP(C1001,[1]products!$A:$B,2,FALSE)</f>
        <v>Pure Cycles Vine 8-Speed - 2016</v>
      </c>
      <c r="I1001">
        <f>VLOOKUP(C1001,[1]products!$A:$D,4,FALSE)</f>
        <v>3</v>
      </c>
      <c r="J1001" t="str">
        <f>VLOOKUP(I1001,[2]categories!$A$1:$B$8,2,FALSE)</f>
        <v>Cruisers Bicycles</v>
      </c>
    </row>
    <row r="1002" customHeight="1" spans="1:10">
      <c r="A1002" s="1">
        <v>357</v>
      </c>
      <c r="B1002" s="1">
        <v>2</v>
      </c>
      <c r="C1002" s="1">
        <v>21</v>
      </c>
      <c r="D1002" s="1">
        <v>2</v>
      </c>
      <c r="E1002" s="1">
        <v>269.99</v>
      </c>
      <c r="F1002" s="1">
        <v>0.07</v>
      </c>
      <c r="G1002">
        <f t="shared" si="15"/>
        <v>539.91</v>
      </c>
      <c r="H1002" t="str">
        <f>VLOOKUP(C1002,[1]products!$A:$B,2,FALSE)</f>
        <v>Electra Cruiser 1 (24-Inch) - 2016</v>
      </c>
      <c r="I1002">
        <f>VLOOKUP(C1002,[1]products!$A:$D,4,FALSE)</f>
        <v>1</v>
      </c>
      <c r="J1002" t="str">
        <f>VLOOKUP(I1002,[2]categories!$A$1:$B$8,2,FALSE)</f>
        <v>Children Bicycles</v>
      </c>
    </row>
    <row r="1003" customHeight="1" spans="1:10">
      <c r="A1003" s="1">
        <v>357</v>
      </c>
      <c r="B1003" s="1">
        <v>3</v>
      </c>
      <c r="C1003" s="1">
        <v>24</v>
      </c>
      <c r="D1003" s="1">
        <v>1</v>
      </c>
      <c r="E1003" s="1">
        <v>549.99</v>
      </c>
      <c r="F1003" s="1">
        <v>0.07</v>
      </c>
      <c r="G1003">
        <f t="shared" si="15"/>
        <v>549.92</v>
      </c>
      <c r="H1003" t="str">
        <f>VLOOKUP(C1003,[1]products!$A:$B,2,FALSE)</f>
        <v>Electra Townie Original 21D - 2016</v>
      </c>
      <c r="I1003">
        <f>VLOOKUP(C1003,[1]products!$A:$D,4,FALSE)</f>
        <v>2</v>
      </c>
      <c r="J1003" t="str">
        <f>VLOOKUP(I1003,[2]categories!$A$1:$B$8,2,FALSE)</f>
        <v>Comfort Bicycles</v>
      </c>
    </row>
    <row r="1004" customHeight="1" spans="1:10">
      <c r="A1004" s="1">
        <v>357</v>
      </c>
      <c r="B1004" s="1">
        <v>4</v>
      </c>
      <c r="C1004" s="1">
        <v>9</v>
      </c>
      <c r="D1004" s="1">
        <v>1</v>
      </c>
      <c r="E1004" s="1">
        <v>2999.99</v>
      </c>
      <c r="F1004" s="1">
        <v>0.05</v>
      </c>
      <c r="G1004">
        <f t="shared" si="15"/>
        <v>2999.94</v>
      </c>
      <c r="H1004" t="str">
        <f>VLOOKUP(C1004,[1]products!$A:$B,2,FALSE)</f>
        <v>Trek Conduit+ - 2016</v>
      </c>
      <c r="I1004">
        <f>VLOOKUP(C1004,[1]products!$A:$D,4,FALSE)</f>
        <v>5</v>
      </c>
      <c r="J1004" t="str">
        <f>VLOOKUP(I1004,[2]categories!$A$1:$B$8,2,FALSE)</f>
        <v>Electric Bikes</v>
      </c>
    </row>
    <row r="1005" customHeight="1" spans="1:10">
      <c r="A1005" s="1">
        <v>358</v>
      </c>
      <c r="B1005" s="1">
        <v>1</v>
      </c>
      <c r="C1005" s="1">
        <v>21</v>
      </c>
      <c r="D1005" s="1">
        <v>2</v>
      </c>
      <c r="E1005" s="1">
        <v>269.99</v>
      </c>
      <c r="F1005" s="1">
        <v>0.1</v>
      </c>
      <c r="G1005">
        <f t="shared" si="15"/>
        <v>539.88</v>
      </c>
      <c r="H1005" t="str">
        <f>VLOOKUP(C1005,[1]products!$A:$B,2,FALSE)</f>
        <v>Electra Cruiser 1 (24-Inch) - 2016</v>
      </c>
      <c r="I1005">
        <f>VLOOKUP(C1005,[1]products!$A:$D,4,FALSE)</f>
        <v>1</v>
      </c>
      <c r="J1005" t="str">
        <f>VLOOKUP(I1005,[2]categories!$A$1:$B$8,2,FALSE)</f>
        <v>Children Bicycles</v>
      </c>
    </row>
    <row r="1006" customHeight="1" spans="1:10">
      <c r="A1006" s="1">
        <v>358</v>
      </c>
      <c r="B1006" s="1">
        <v>2</v>
      </c>
      <c r="C1006" s="1">
        <v>6</v>
      </c>
      <c r="D1006" s="1">
        <v>2</v>
      </c>
      <c r="E1006" s="1">
        <v>469.99</v>
      </c>
      <c r="F1006" s="1">
        <v>0.07</v>
      </c>
      <c r="G1006">
        <f t="shared" si="15"/>
        <v>939.91</v>
      </c>
      <c r="H1006" t="str">
        <f>VLOOKUP(C1006,[1]products!$A:$B,2,FALSE)</f>
        <v>Surly Ice Cream Truck Frameset - 2016</v>
      </c>
      <c r="I1006">
        <f>VLOOKUP(C1006,[1]products!$A:$D,4,FALSE)</f>
        <v>6</v>
      </c>
      <c r="J1006" t="str">
        <f>VLOOKUP(I1006,[2]categories!$A$1:$B$8,2,FALSE)</f>
        <v>Mountain Bikes</v>
      </c>
    </row>
    <row r="1007" customHeight="1" spans="1:10">
      <c r="A1007" s="1">
        <v>358</v>
      </c>
      <c r="B1007" s="1">
        <v>3</v>
      </c>
      <c r="C1007" s="1">
        <v>8</v>
      </c>
      <c r="D1007" s="1">
        <v>2</v>
      </c>
      <c r="E1007" s="1">
        <v>1799.99</v>
      </c>
      <c r="F1007" s="1">
        <v>0.05</v>
      </c>
      <c r="G1007">
        <f t="shared" si="15"/>
        <v>3599.93</v>
      </c>
      <c r="H1007" t="str">
        <f>VLOOKUP(C1007,[1]products!$A:$B,2,FALSE)</f>
        <v>Trek Remedy 29 Carbon Frameset - 2016</v>
      </c>
      <c r="I1007">
        <f>VLOOKUP(C1007,[1]products!$A:$D,4,FALSE)</f>
        <v>6</v>
      </c>
      <c r="J1007" t="str">
        <f>VLOOKUP(I1007,[2]categories!$A$1:$B$8,2,FALSE)</f>
        <v>Mountain Bikes</v>
      </c>
    </row>
    <row r="1008" customHeight="1" spans="1:10">
      <c r="A1008" s="1">
        <v>358</v>
      </c>
      <c r="B1008" s="1">
        <v>4</v>
      </c>
      <c r="C1008" s="1">
        <v>18</v>
      </c>
      <c r="D1008" s="1">
        <v>2</v>
      </c>
      <c r="E1008" s="1">
        <v>449</v>
      </c>
      <c r="F1008" s="1">
        <v>0.1</v>
      </c>
      <c r="G1008">
        <f t="shared" si="15"/>
        <v>897.9</v>
      </c>
      <c r="H1008" t="str">
        <f>VLOOKUP(C1008,[1]products!$A:$B,2,FALSE)</f>
        <v>Pure Cycles Western 3-Speed - Women's - 2015/2016</v>
      </c>
      <c r="I1008">
        <f>VLOOKUP(C1008,[1]products!$A:$D,4,FALSE)</f>
        <v>3</v>
      </c>
      <c r="J1008" t="str">
        <f>VLOOKUP(I1008,[2]categories!$A$1:$B$8,2,FALSE)</f>
        <v>Cruisers Bicycles</v>
      </c>
    </row>
    <row r="1009" customHeight="1" spans="1:10">
      <c r="A1009" s="1">
        <v>359</v>
      </c>
      <c r="B1009" s="1">
        <v>1</v>
      </c>
      <c r="C1009" s="1">
        <v>15</v>
      </c>
      <c r="D1009" s="1">
        <v>2</v>
      </c>
      <c r="E1009" s="1">
        <v>529.99</v>
      </c>
      <c r="F1009" s="1">
        <v>0.07</v>
      </c>
      <c r="G1009">
        <f t="shared" si="15"/>
        <v>1059.91</v>
      </c>
      <c r="H1009" t="str">
        <f>VLOOKUP(C1009,[1]products!$A:$B,2,FALSE)</f>
        <v>Electra Moto 1 - 2016</v>
      </c>
      <c r="I1009">
        <f>VLOOKUP(C1009,[1]products!$A:$D,4,FALSE)</f>
        <v>3</v>
      </c>
      <c r="J1009" t="str">
        <f>VLOOKUP(I1009,[2]categories!$A$1:$B$8,2,FALSE)</f>
        <v>Cruisers Bicycles</v>
      </c>
    </row>
    <row r="1010" customHeight="1" spans="1:10">
      <c r="A1010" s="1">
        <v>359</v>
      </c>
      <c r="B1010" s="1">
        <v>2</v>
      </c>
      <c r="C1010" s="1">
        <v>9</v>
      </c>
      <c r="D1010" s="1">
        <v>2</v>
      </c>
      <c r="E1010" s="1">
        <v>2999.99</v>
      </c>
      <c r="F1010" s="1">
        <v>0.07</v>
      </c>
      <c r="G1010">
        <f t="shared" si="15"/>
        <v>5999.91</v>
      </c>
      <c r="H1010" t="str">
        <f>VLOOKUP(C1010,[1]products!$A:$B,2,FALSE)</f>
        <v>Trek Conduit+ - 2016</v>
      </c>
      <c r="I1010">
        <f>VLOOKUP(C1010,[1]products!$A:$D,4,FALSE)</f>
        <v>5</v>
      </c>
      <c r="J1010" t="str">
        <f>VLOOKUP(I1010,[2]categories!$A$1:$B$8,2,FALSE)</f>
        <v>Electric Bikes</v>
      </c>
    </row>
    <row r="1011" customHeight="1" spans="1:10">
      <c r="A1011" s="1">
        <v>359</v>
      </c>
      <c r="B1011" s="1">
        <v>3</v>
      </c>
      <c r="C1011" s="1">
        <v>7</v>
      </c>
      <c r="D1011" s="1">
        <v>2</v>
      </c>
      <c r="E1011" s="1">
        <v>3999.99</v>
      </c>
      <c r="F1011" s="1">
        <v>0.2</v>
      </c>
      <c r="G1011">
        <f t="shared" si="15"/>
        <v>7999.78</v>
      </c>
      <c r="H1011" t="str">
        <f>VLOOKUP(C1011,[1]products!$A:$B,2,FALSE)</f>
        <v>Trek Slash 8 27.5 - 2016</v>
      </c>
      <c r="I1011">
        <f>VLOOKUP(C1011,[1]products!$A:$D,4,FALSE)</f>
        <v>6</v>
      </c>
      <c r="J1011" t="str">
        <f>VLOOKUP(I1011,[2]categories!$A$1:$B$8,2,FALSE)</f>
        <v>Mountain Bikes</v>
      </c>
    </row>
    <row r="1012" customHeight="1" spans="1:10">
      <c r="A1012" s="1">
        <v>360</v>
      </c>
      <c r="B1012" s="1">
        <v>1</v>
      </c>
      <c r="C1012" s="1">
        <v>26</v>
      </c>
      <c r="D1012" s="1">
        <v>1</v>
      </c>
      <c r="E1012" s="1">
        <v>599.99</v>
      </c>
      <c r="F1012" s="1">
        <v>0.05</v>
      </c>
      <c r="G1012">
        <f t="shared" si="15"/>
        <v>599.94</v>
      </c>
      <c r="H1012" t="str">
        <f>VLOOKUP(C1012,[1]products!$A:$B,2,FALSE)</f>
        <v>Electra Townie Original 7D EQ - 2016</v>
      </c>
      <c r="I1012">
        <f>VLOOKUP(C1012,[1]products!$A:$D,4,FALSE)</f>
        <v>2</v>
      </c>
      <c r="J1012" t="str">
        <f>VLOOKUP(I1012,[2]categories!$A$1:$B$8,2,FALSE)</f>
        <v>Comfort Bicycles</v>
      </c>
    </row>
    <row r="1013" customHeight="1" spans="1:10">
      <c r="A1013" s="1">
        <v>360</v>
      </c>
      <c r="B1013" s="1">
        <v>2</v>
      </c>
      <c r="C1013" s="1">
        <v>7</v>
      </c>
      <c r="D1013" s="1">
        <v>2</v>
      </c>
      <c r="E1013" s="1">
        <v>3999.99</v>
      </c>
      <c r="F1013" s="1">
        <v>0.2</v>
      </c>
      <c r="G1013">
        <f t="shared" si="15"/>
        <v>7999.78</v>
      </c>
      <c r="H1013" t="str">
        <f>VLOOKUP(C1013,[1]products!$A:$B,2,FALSE)</f>
        <v>Trek Slash 8 27.5 - 2016</v>
      </c>
      <c r="I1013">
        <f>VLOOKUP(C1013,[1]products!$A:$D,4,FALSE)</f>
        <v>6</v>
      </c>
      <c r="J1013" t="str">
        <f>VLOOKUP(I1013,[2]categories!$A$1:$B$8,2,FALSE)</f>
        <v>Mountain Bikes</v>
      </c>
    </row>
    <row r="1014" customHeight="1" spans="1:10">
      <c r="A1014" s="1">
        <v>360</v>
      </c>
      <c r="B1014" s="1">
        <v>3</v>
      </c>
      <c r="C1014" s="1">
        <v>13</v>
      </c>
      <c r="D1014" s="1">
        <v>2</v>
      </c>
      <c r="E1014" s="1">
        <v>269.99</v>
      </c>
      <c r="F1014" s="1">
        <v>0.05</v>
      </c>
      <c r="G1014">
        <f t="shared" si="15"/>
        <v>539.93</v>
      </c>
      <c r="H1014" t="str">
        <f>VLOOKUP(C1014,[1]products!$A:$B,2,FALSE)</f>
        <v>Electra Cruiser 1 (24-Inch) - 2016</v>
      </c>
      <c r="I1014">
        <f>VLOOKUP(C1014,[1]products!$A:$D,4,FALSE)</f>
        <v>3</v>
      </c>
      <c r="J1014" t="str">
        <f>VLOOKUP(I1014,[2]categories!$A$1:$B$8,2,FALSE)</f>
        <v>Cruisers Bicycles</v>
      </c>
    </row>
    <row r="1015" customHeight="1" spans="1:10">
      <c r="A1015" s="1">
        <v>360</v>
      </c>
      <c r="B1015" s="1">
        <v>4</v>
      </c>
      <c r="C1015" s="1">
        <v>25</v>
      </c>
      <c r="D1015" s="1">
        <v>1</v>
      </c>
      <c r="E1015" s="1">
        <v>499.99</v>
      </c>
      <c r="F1015" s="1">
        <v>0.1</v>
      </c>
      <c r="G1015">
        <f t="shared" si="15"/>
        <v>499.89</v>
      </c>
      <c r="H1015" t="str">
        <f>VLOOKUP(C1015,[1]products!$A:$B,2,FALSE)</f>
        <v>Electra Townie Original 7D - 2015/2016</v>
      </c>
      <c r="I1015">
        <f>VLOOKUP(C1015,[1]products!$A:$D,4,FALSE)</f>
        <v>2</v>
      </c>
      <c r="J1015" t="str">
        <f>VLOOKUP(I1015,[2]categories!$A$1:$B$8,2,FALSE)</f>
        <v>Comfort Bicycles</v>
      </c>
    </row>
    <row r="1016" customHeight="1" spans="1:10">
      <c r="A1016" s="1">
        <v>361</v>
      </c>
      <c r="B1016" s="1">
        <v>1</v>
      </c>
      <c r="C1016" s="1">
        <v>24</v>
      </c>
      <c r="D1016" s="1">
        <v>2</v>
      </c>
      <c r="E1016" s="1">
        <v>549.99</v>
      </c>
      <c r="F1016" s="1">
        <v>0.05</v>
      </c>
      <c r="G1016">
        <f t="shared" si="15"/>
        <v>1099.93</v>
      </c>
      <c r="H1016" t="str">
        <f>VLOOKUP(C1016,[1]products!$A:$B,2,FALSE)</f>
        <v>Electra Townie Original 21D - 2016</v>
      </c>
      <c r="I1016">
        <f>VLOOKUP(C1016,[1]products!$A:$D,4,FALSE)</f>
        <v>2</v>
      </c>
      <c r="J1016" t="str">
        <f>VLOOKUP(I1016,[2]categories!$A$1:$B$8,2,FALSE)</f>
        <v>Comfort Bicycles</v>
      </c>
    </row>
    <row r="1017" customHeight="1" spans="1:10">
      <c r="A1017" s="1">
        <v>361</v>
      </c>
      <c r="B1017" s="1">
        <v>2</v>
      </c>
      <c r="C1017" s="1">
        <v>6</v>
      </c>
      <c r="D1017" s="1">
        <v>2</v>
      </c>
      <c r="E1017" s="1">
        <v>469.99</v>
      </c>
      <c r="F1017" s="1">
        <v>0.1</v>
      </c>
      <c r="G1017">
        <f t="shared" si="15"/>
        <v>939.88</v>
      </c>
      <c r="H1017" t="str">
        <f>VLOOKUP(C1017,[1]products!$A:$B,2,FALSE)</f>
        <v>Surly Ice Cream Truck Frameset - 2016</v>
      </c>
      <c r="I1017">
        <f>VLOOKUP(C1017,[1]products!$A:$D,4,FALSE)</f>
        <v>6</v>
      </c>
      <c r="J1017" t="str">
        <f>VLOOKUP(I1017,[2]categories!$A$1:$B$8,2,FALSE)</f>
        <v>Mountain Bikes</v>
      </c>
    </row>
    <row r="1018" customHeight="1" spans="1:10">
      <c r="A1018" s="1">
        <v>361</v>
      </c>
      <c r="B1018" s="1">
        <v>3</v>
      </c>
      <c r="C1018" s="1">
        <v>11</v>
      </c>
      <c r="D1018" s="1">
        <v>1</v>
      </c>
      <c r="E1018" s="1">
        <v>1680.99</v>
      </c>
      <c r="F1018" s="1">
        <v>0.1</v>
      </c>
      <c r="G1018">
        <f t="shared" si="15"/>
        <v>1680.89</v>
      </c>
      <c r="H1018" t="str">
        <f>VLOOKUP(C1018,[1]products!$A:$B,2,FALSE)</f>
        <v>Surly Straggler 650b - 2016</v>
      </c>
      <c r="I1018">
        <f>VLOOKUP(C1018,[1]products!$A:$D,4,FALSE)</f>
        <v>4</v>
      </c>
      <c r="J1018" t="str">
        <f>VLOOKUP(I1018,[2]categories!$A$1:$B$8,2,FALSE)</f>
        <v>Cyclocross Bicycles</v>
      </c>
    </row>
    <row r="1019" customHeight="1" spans="1:10">
      <c r="A1019" s="1">
        <v>362</v>
      </c>
      <c r="B1019" s="1">
        <v>1</v>
      </c>
      <c r="C1019" s="1">
        <v>2</v>
      </c>
      <c r="D1019" s="1">
        <v>1</v>
      </c>
      <c r="E1019" s="1">
        <v>749.99</v>
      </c>
      <c r="F1019" s="1">
        <v>0.07</v>
      </c>
      <c r="G1019">
        <f t="shared" si="15"/>
        <v>749.92</v>
      </c>
      <c r="H1019" t="str">
        <f>VLOOKUP(C1019,[1]products!$A:$B,2,FALSE)</f>
        <v>Ritchey Timberwolf Frameset - 2016</v>
      </c>
      <c r="I1019">
        <f>VLOOKUP(C1019,[1]products!$A:$D,4,FALSE)</f>
        <v>6</v>
      </c>
      <c r="J1019" t="str">
        <f>VLOOKUP(I1019,[2]categories!$A$1:$B$8,2,FALSE)</f>
        <v>Mountain Bikes</v>
      </c>
    </row>
    <row r="1020" customHeight="1" spans="1:10">
      <c r="A1020" s="1">
        <v>363</v>
      </c>
      <c r="B1020" s="1">
        <v>1</v>
      </c>
      <c r="C1020" s="1">
        <v>21</v>
      </c>
      <c r="D1020" s="1">
        <v>2</v>
      </c>
      <c r="E1020" s="1">
        <v>269.99</v>
      </c>
      <c r="F1020" s="1">
        <v>0.1</v>
      </c>
      <c r="G1020">
        <f t="shared" si="15"/>
        <v>539.88</v>
      </c>
      <c r="H1020" t="str">
        <f>VLOOKUP(C1020,[1]products!$A:$B,2,FALSE)</f>
        <v>Electra Cruiser 1 (24-Inch) - 2016</v>
      </c>
      <c r="I1020">
        <f>VLOOKUP(C1020,[1]products!$A:$D,4,FALSE)</f>
        <v>1</v>
      </c>
      <c r="J1020" t="str">
        <f>VLOOKUP(I1020,[2]categories!$A$1:$B$8,2,FALSE)</f>
        <v>Children Bicycles</v>
      </c>
    </row>
    <row r="1021" customHeight="1" spans="1:10">
      <c r="A1021" s="1">
        <v>363</v>
      </c>
      <c r="B1021" s="1">
        <v>2</v>
      </c>
      <c r="C1021" s="1">
        <v>14</v>
      </c>
      <c r="D1021" s="1">
        <v>1</v>
      </c>
      <c r="E1021" s="1">
        <v>269.99</v>
      </c>
      <c r="F1021" s="1">
        <v>0.07</v>
      </c>
      <c r="G1021">
        <f t="shared" si="15"/>
        <v>269.92</v>
      </c>
      <c r="H1021" t="str">
        <f>VLOOKUP(C1021,[1]products!$A:$B,2,FALSE)</f>
        <v>Electra Girl's Hawaii 1 (16-inch) - 2015/2016</v>
      </c>
      <c r="I1021">
        <f>VLOOKUP(C1021,[1]products!$A:$D,4,FALSE)</f>
        <v>3</v>
      </c>
      <c r="J1021" t="str">
        <f>VLOOKUP(I1021,[2]categories!$A$1:$B$8,2,FALSE)</f>
        <v>Cruisers Bicycles</v>
      </c>
    </row>
    <row r="1022" customHeight="1" spans="1:10">
      <c r="A1022" s="1">
        <v>363</v>
      </c>
      <c r="B1022" s="1">
        <v>3</v>
      </c>
      <c r="C1022" s="1">
        <v>15</v>
      </c>
      <c r="D1022" s="1">
        <v>1</v>
      </c>
      <c r="E1022" s="1">
        <v>529.99</v>
      </c>
      <c r="F1022" s="1">
        <v>0.1</v>
      </c>
      <c r="G1022">
        <f t="shared" si="15"/>
        <v>529.89</v>
      </c>
      <c r="H1022" t="str">
        <f>VLOOKUP(C1022,[1]products!$A:$B,2,FALSE)</f>
        <v>Electra Moto 1 - 2016</v>
      </c>
      <c r="I1022">
        <f>VLOOKUP(C1022,[1]products!$A:$D,4,FALSE)</f>
        <v>3</v>
      </c>
      <c r="J1022" t="str">
        <f>VLOOKUP(I1022,[2]categories!$A$1:$B$8,2,FALSE)</f>
        <v>Cruisers Bicycles</v>
      </c>
    </row>
    <row r="1023" customHeight="1" spans="1:10">
      <c r="A1023" s="1">
        <v>363</v>
      </c>
      <c r="B1023" s="1">
        <v>4</v>
      </c>
      <c r="C1023" s="1">
        <v>20</v>
      </c>
      <c r="D1023" s="1">
        <v>1</v>
      </c>
      <c r="E1023" s="1">
        <v>599.99</v>
      </c>
      <c r="F1023" s="1">
        <v>0.2</v>
      </c>
      <c r="G1023">
        <f t="shared" si="15"/>
        <v>599.79</v>
      </c>
      <c r="H1023" t="str">
        <f>VLOOKUP(C1023,[1]products!$A:$B,2,FALSE)</f>
        <v>Electra Townie Original 7D EQ - Women's - 2016</v>
      </c>
      <c r="I1023">
        <f>VLOOKUP(C1023,[1]products!$A:$D,4,FALSE)</f>
        <v>3</v>
      </c>
      <c r="J1023" t="str">
        <f>VLOOKUP(I1023,[2]categories!$A$1:$B$8,2,FALSE)</f>
        <v>Cruisers Bicycles</v>
      </c>
    </row>
    <row r="1024" customHeight="1" spans="1:10">
      <c r="A1024" s="1">
        <v>364</v>
      </c>
      <c r="B1024" s="1">
        <v>1</v>
      </c>
      <c r="C1024" s="1">
        <v>25</v>
      </c>
      <c r="D1024" s="1">
        <v>2</v>
      </c>
      <c r="E1024" s="1">
        <v>499.99</v>
      </c>
      <c r="F1024" s="1">
        <v>0.05</v>
      </c>
      <c r="G1024">
        <f t="shared" si="15"/>
        <v>999.93</v>
      </c>
      <c r="H1024" t="str">
        <f>VLOOKUP(C1024,[1]products!$A:$B,2,FALSE)</f>
        <v>Electra Townie Original 7D - 2015/2016</v>
      </c>
      <c r="I1024">
        <f>VLOOKUP(C1024,[1]products!$A:$D,4,FALSE)</f>
        <v>2</v>
      </c>
      <c r="J1024" t="str">
        <f>VLOOKUP(I1024,[2]categories!$A$1:$B$8,2,FALSE)</f>
        <v>Comfort Bicycles</v>
      </c>
    </row>
    <row r="1025" customHeight="1" spans="1:10">
      <c r="A1025" s="1">
        <v>365</v>
      </c>
      <c r="B1025" s="1">
        <v>1</v>
      </c>
      <c r="C1025" s="1">
        <v>24</v>
      </c>
      <c r="D1025" s="1">
        <v>2</v>
      </c>
      <c r="E1025" s="1">
        <v>549.99</v>
      </c>
      <c r="F1025" s="1">
        <v>0.07</v>
      </c>
      <c r="G1025">
        <f t="shared" si="15"/>
        <v>1099.91</v>
      </c>
      <c r="H1025" t="str">
        <f>VLOOKUP(C1025,[1]products!$A:$B,2,FALSE)</f>
        <v>Electra Townie Original 21D - 2016</v>
      </c>
      <c r="I1025">
        <f>VLOOKUP(C1025,[1]products!$A:$D,4,FALSE)</f>
        <v>2</v>
      </c>
      <c r="J1025" t="str">
        <f>VLOOKUP(I1025,[2]categories!$A$1:$B$8,2,FALSE)</f>
        <v>Comfort Bicycles</v>
      </c>
    </row>
    <row r="1026" customHeight="1" spans="1:10">
      <c r="A1026" s="1">
        <v>366</v>
      </c>
      <c r="B1026" s="1">
        <v>1</v>
      </c>
      <c r="C1026" s="1">
        <v>21</v>
      </c>
      <c r="D1026" s="1">
        <v>1</v>
      </c>
      <c r="E1026" s="1">
        <v>269.99</v>
      </c>
      <c r="F1026" s="1">
        <v>0.1</v>
      </c>
      <c r="G1026">
        <f t="shared" si="15"/>
        <v>269.89</v>
      </c>
      <c r="H1026" t="str">
        <f>VLOOKUP(C1026,[1]products!$A:$B,2,FALSE)</f>
        <v>Electra Cruiser 1 (24-Inch) - 2016</v>
      </c>
      <c r="I1026">
        <f>VLOOKUP(C1026,[1]products!$A:$D,4,FALSE)</f>
        <v>1</v>
      </c>
      <c r="J1026" t="str">
        <f>VLOOKUP(I1026,[2]categories!$A$1:$B$8,2,FALSE)</f>
        <v>Children Bicycles</v>
      </c>
    </row>
    <row r="1027" customHeight="1" spans="1:10">
      <c r="A1027" s="1">
        <v>366</v>
      </c>
      <c r="B1027" s="1">
        <v>2</v>
      </c>
      <c r="C1027" s="1">
        <v>4</v>
      </c>
      <c r="D1027" s="1">
        <v>1</v>
      </c>
      <c r="E1027" s="1">
        <v>2899.99</v>
      </c>
      <c r="F1027" s="1">
        <v>0.07</v>
      </c>
      <c r="G1027">
        <f t="shared" ref="G1027:G1090" si="16">(E1027*D1027)-F1027</f>
        <v>2899.92</v>
      </c>
      <c r="H1027" t="str">
        <f>VLOOKUP(C1027,[1]products!$A:$B,2,FALSE)</f>
        <v>Trek Fuel EX 8 29 - 2016</v>
      </c>
      <c r="I1027">
        <f>VLOOKUP(C1027,[1]products!$A:$D,4,FALSE)</f>
        <v>6</v>
      </c>
      <c r="J1027" t="str">
        <f>VLOOKUP(I1027,[2]categories!$A$1:$B$8,2,FALSE)</f>
        <v>Mountain Bikes</v>
      </c>
    </row>
    <row r="1028" customHeight="1" spans="1:10">
      <c r="A1028" s="1">
        <v>366</v>
      </c>
      <c r="B1028" s="1">
        <v>3</v>
      </c>
      <c r="C1028" s="1">
        <v>16</v>
      </c>
      <c r="D1028" s="1">
        <v>2</v>
      </c>
      <c r="E1028" s="1">
        <v>599.99</v>
      </c>
      <c r="F1028" s="1">
        <v>0.2</v>
      </c>
      <c r="G1028">
        <f t="shared" si="16"/>
        <v>1199.78</v>
      </c>
      <c r="H1028" t="str">
        <f>VLOOKUP(C1028,[1]products!$A:$B,2,FALSE)</f>
        <v>Electra Townie Original 7D EQ - 2016</v>
      </c>
      <c r="I1028">
        <f>VLOOKUP(C1028,[1]products!$A:$D,4,FALSE)</f>
        <v>3</v>
      </c>
      <c r="J1028" t="str">
        <f>VLOOKUP(I1028,[2]categories!$A$1:$B$8,2,FALSE)</f>
        <v>Cruisers Bicycles</v>
      </c>
    </row>
    <row r="1029" customHeight="1" spans="1:10">
      <c r="A1029" s="1">
        <v>367</v>
      </c>
      <c r="B1029" s="1">
        <v>1</v>
      </c>
      <c r="C1029" s="1">
        <v>26</v>
      </c>
      <c r="D1029" s="1">
        <v>2</v>
      </c>
      <c r="E1029" s="1">
        <v>599.99</v>
      </c>
      <c r="F1029" s="1">
        <v>0.1</v>
      </c>
      <c r="G1029">
        <f t="shared" si="16"/>
        <v>1199.88</v>
      </c>
      <c r="H1029" t="str">
        <f>VLOOKUP(C1029,[1]products!$A:$B,2,FALSE)</f>
        <v>Electra Townie Original 7D EQ - 2016</v>
      </c>
      <c r="I1029">
        <f>VLOOKUP(C1029,[1]products!$A:$D,4,FALSE)</f>
        <v>2</v>
      </c>
      <c r="J1029" t="str">
        <f>VLOOKUP(I1029,[2]categories!$A$1:$B$8,2,FALSE)</f>
        <v>Comfort Bicycles</v>
      </c>
    </row>
    <row r="1030" customHeight="1" spans="1:10">
      <c r="A1030" s="1">
        <v>367</v>
      </c>
      <c r="B1030" s="1">
        <v>2</v>
      </c>
      <c r="C1030" s="1">
        <v>14</v>
      </c>
      <c r="D1030" s="1">
        <v>1</v>
      </c>
      <c r="E1030" s="1">
        <v>269.99</v>
      </c>
      <c r="F1030" s="1">
        <v>0.05</v>
      </c>
      <c r="G1030">
        <f t="shared" si="16"/>
        <v>269.94</v>
      </c>
      <c r="H1030" t="str">
        <f>VLOOKUP(C1030,[1]products!$A:$B,2,FALSE)</f>
        <v>Electra Girl's Hawaii 1 (16-inch) - 2015/2016</v>
      </c>
      <c r="I1030">
        <f>VLOOKUP(C1030,[1]products!$A:$D,4,FALSE)</f>
        <v>3</v>
      </c>
      <c r="J1030" t="str">
        <f>VLOOKUP(I1030,[2]categories!$A$1:$B$8,2,FALSE)</f>
        <v>Cruisers Bicycles</v>
      </c>
    </row>
    <row r="1031" customHeight="1" spans="1:10">
      <c r="A1031" s="1">
        <v>367</v>
      </c>
      <c r="B1031" s="1">
        <v>3</v>
      </c>
      <c r="C1031" s="1">
        <v>10</v>
      </c>
      <c r="D1031" s="1">
        <v>2</v>
      </c>
      <c r="E1031" s="1">
        <v>1549</v>
      </c>
      <c r="F1031" s="1">
        <v>0.05</v>
      </c>
      <c r="G1031">
        <f t="shared" si="16"/>
        <v>3097.95</v>
      </c>
      <c r="H1031" t="str">
        <f>VLOOKUP(C1031,[1]products!$A:$B,2,FALSE)</f>
        <v>Surly Straggler - 2016</v>
      </c>
      <c r="I1031">
        <f>VLOOKUP(C1031,[1]products!$A:$D,4,FALSE)</f>
        <v>4</v>
      </c>
      <c r="J1031" t="str">
        <f>VLOOKUP(I1031,[2]categories!$A$1:$B$8,2,FALSE)</f>
        <v>Cyclocross Bicycles</v>
      </c>
    </row>
    <row r="1032" customHeight="1" spans="1:10">
      <c r="A1032" s="1">
        <v>368</v>
      </c>
      <c r="B1032" s="1">
        <v>1</v>
      </c>
      <c r="C1032" s="1">
        <v>5</v>
      </c>
      <c r="D1032" s="1">
        <v>1</v>
      </c>
      <c r="E1032" s="1">
        <v>1320.99</v>
      </c>
      <c r="F1032" s="1">
        <v>0.2</v>
      </c>
      <c r="G1032">
        <f t="shared" si="16"/>
        <v>1320.79</v>
      </c>
      <c r="H1032" t="str">
        <f>VLOOKUP(C1032,[1]products!$A:$B,2,FALSE)</f>
        <v>Heller Shagamaw Frame - 2016</v>
      </c>
      <c r="I1032">
        <f>VLOOKUP(C1032,[1]products!$A:$D,4,FALSE)</f>
        <v>6</v>
      </c>
      <c r="J1032" t="str">
        <f>VLOOKUP(I1032,[2]categories!$A$1:$B$8,2,FALSE)</f>
        <v>Mountain Bikes</v>
      </c>
    </row>
    <row r="1033" customHeight="1" spans="1:10">
      <c r="A1033" s="1">
        <v>368</v>
      </c>
      <c r="B1033" s="1">
        <v>2</v>
      </c>
      <c r="C1033" s="1">
        <v>10</v>
      </c>
      <c r="D1033" s="1">
        <v>2</v>
      </c>
      <c r="E1033" s="1">
        <v>1549</v>
      </c>
      <c r="F1033" s="1">
        <v>0.2</v>
      </c>
      <c r="G1033">
        <f t="shared" si="16"/>
        <v>3097.8</v>
      </c>
      <c r="H1033" t="str">
        <f>VLOOKUP(C1033,[1]products!$A:$B,2,FALSE)</f>
        <v>Surly Straggler - 2016</v>
      </c>
      <c r="I1033">
        <f>VLOOKUP(C1033,[1]products!$A:$D,4,FALSE)</f>
        <v>4</v>
      </c>
      <c r="J1033" t="str">
        <f>VLOOKUP(I1033,[2]categories!$A$1:$B$8,2,FALSE)</f>
        <v>Cyclocross Bicycles</v>
      </c>
    </row>
    <row r="1034" customHeight="1" spans="1:10">
      <c r="A1034" s="1">
        <v>368</v>
      </c>
      <c r="B1034" s="1">
        <v>3</v>
      </c>
      <c r="C1034" s="1">
        <v>21</v>
      </c>
      <c r="D1034" s="1">
        <v>2</v>
      </c>
      <c r="E1034" s="1">
        <v>269.99</v>
      </c>
      <c r="F1034" s="1">
        <v>0.1</v>
      </c>
      <c r="G1034">
        <f t="shared" si="16"/>
        <v>539.88</v>
      </c>
      <c r="H1034" t="str">
        <f>VLOOKUP(C1034,[1]products!$A:$B,2,FALSE)</f>
        <v>Electra Cruiser 1 (24-Inch) - 2016</v>
      </c>
      <c r="I1034">
        <f>VLOOKUP(C1034,[1]products!$A:$D,4,FALSE)</f>
        <v>1</v>
      </c>
      <c r="J1034" t="str">
        <f>VLOOKUP(I1034,[2]categories!$A$1:$B$8,2,FALSE)</f>
        <v>Children Bicycles</v>
      </c>
    </row>
    <row r="1035" customHeight="1" spans="1:10">
      <c r="A1035" s="1">
        <v>368</v>
      </c>
      <c r="B1035" s="1">
        <v>4</v>
      </c>
      <c r="C1035" s="1">
        <v>19</v>
      </c>
      <c r="D1035" s="1">
        <v>1</v>
      </c>
      <c r="E1035" s="1">
        <v>449</v>
      </c>
      <c r="F1035" s="1">
        <v>0.05</v>
      </c>
      <c r="G1035">
        <f t="shared" si="16"/>
        <v>448.95</v>
      </c>
      <c r="H1035" t="str">
        <f>VLOOKUP(C1035,[1]products!$A:$B,2,FALSE)</f>
        <v>Pure Cycles William 3-Speed - 2016</v>
      </c>
      <c r="I1035">
        <f>VLOOKUP(C1035,[1]products!$A:$D,4,FALSE)</f>
        <v>3</v>
      </c>
      <c r="J1035" t="str">
        <f>VLOOKUP(I1035,[2]categories!$A$1:$B$8,2,FALSE)</f>
        <v>Cruisers Bicycles</v>
      </c>
    </row>
    <row r="1036" customHeight="1" spans="1:10">
      <c r="A1036" s="1">
        <v>369</v>
      </c>
      <c r="B1036" s="1">
        <v>1</v>
      </c>
      <c r="C1036" s="1">
        <v>10</v>
      </c>
      <c r="D1036" s="1">
        <v>2</v>
      </c>
      <c r="E1036" s="1">
        <v>1549</v>
      </c>
      <c r="F1036" s="1">
        <v>0.07</v>
      </c>
      <c r="G1036">
        <f t="shared" si="16"/>
        <v>3097.93</v>
      </c>
      <c r="H1036" t="str">
        <f>VLOOKUP(C1036,[1]products!$A:$B,2,FALSE)</f>
        <v>Surly Straggler - 2016</v>
      </c>
      <c r="I1036">
        <f>VLOOKUP(C1036,[1]products!$A:$D,4,FALSE)</f>
        <v>4</v>
      </c>
      <c r="J1036" t="str">
        <f>VLOOKUP(I1036,[2]categories!$A$1:$B$8,2,FALSE)</f>
        <v>Cyclocross Bicycles</v>
      </c>
    </row>
    <row r="1037" customHeight="1" spans="1:10">
      <c r="A1037" s="1">
        <v>370</v>
      </c>
      <c r="B1037" s="1">
        <v>1</v>
      </c>
      <c r="C1037" s="1">
        <v>25</v>
      </c>
      <c r="D1037" s="1">
        <v>2</v>
      </c>
      <c r="E1037" s="1">
        <v>499.99</v>
      </c>
      <c r="F1037" s="1">
        <v>0.05</v>
      </c>
      <c r="G1037">
        <f t="shared" si="16"/>
        <v>999.93</v>
      </c>
      <c r="H1037" t="str">
        <f>VLOOKUP(C1037,[1]products!$A:$B,2,FALSE)</f>
        <v>Electra Townie Original 7D - 2015/2016</v>
      </c>
      <c r="I1037">
        <f>VLOOKUP(C1037,[1]products!$A:$D,4,FALSE)</f>
        <v>2</v>
      </c>
      <c r="J1037" t="str">
        <f>VLOOKUP(I1037,[2]categories!$A$1:$B$8,2,FALSE)</f>
        <v>Comfort Bicycles</v>
      </c>
    </row>
    <row r="1038" customHeight="1" spans="1:10">
      <c r="A1038" s="1">
        <v>370</v>
      </c>
      <c r="B1038" s="1">
        <v>2</v>
      </c>
      <c r="C1038" s="1">
        <v>4</v>
      </c>
      <c r="D1038" s="1">
        <v>2</v>
      </c>
      <c r="E1038" s="1">
        <v>2899.99</v>
      </c>
      <c r="F1038" s="1">
        <v>0.1</v>
      </c>
      <c r="G1038">
        <f t="shared" si="16"/>
        <v>5799.88</v>
      </c>
      <c r="H1038" t="str">
        <f>VLOOKUP(C1038,[1]products!$A:$B,2,FALSE)</f>
        <v>Trek Fuel EX 8 29 - 2016</v>
      </c>
      <c r="I1038">
        <f>VLOOKUP(C1038,[1]products!$A:$D,4,FALSE)</f>
        <v>6</v>
      </c>
      <c r="J1038" t="str">
        <f>VLOOKUP(I1038,[2]categories!$A$1:$B$8,2,FALSE)</f>
        <v>Mountain Bikes</v>
      </c>
    </row>
    <row r="1039" customHeight="1" spans="1:10">
      <c r="A1039" s="1">
        <v>371</v>
      </c>
      <c r="B1039" s="1">
        <v>1</v>
      </c>
      <c r="C1039" s="1">
        <v>14</v>
      </c>
      <c r="D1039" s="1">
        <v>1</v>
      </c>
      <c r="E1039" s="1">
        <v>269.99</v>
      </c>
      <c r="F1039" s="1">
        <v>0.2</v>
      </c>
      <c r="G1039">
        <f t="shared" si="16"/>
        <v>269.79</v>
      </c>
      <c r="H1039" t="str">
        <f>VLOOKUP(C1039,[1]products!$A:$B,2,FALSE)</f>
        <v>Electra Girl's Hawaii 1 (16-inch) - 2015/2016</v>
      </c>
      <c r="I1039">
        <f>VLOOKUP(C1039,[1]products!$A:$D,4,FALSE)</f>
        <v>3</v>
      </c>
      <c r="J1039" t="str">
        <f>VLOOKUP(I1039,[2]categories!$A$1:$B$8,2,FALSE)</f>
        <v>Cruisers Bicycles</v>
      </c>
    </row>
    <row r="1040" customHeight="1" spans="1:10">
      <c r="A1040" s="1">
        <v>371</v>
      </c>
      <c r="B1040" s="1">
        <v>2</v>
      </c>
      <c r="C1040" s="1">
        <v>12</v>
      </c>
      <c r="D1040" s="1">
        <v>1</v>
      </c>
      <c r="E1040" s="1">
        <v>549.99</v>
      </c>
      <c r="F1040" s="1">
        <v>0.2</v>
      </c>
      <c r="G1040">
        <f t="shared" si="16"/>
        <v>549.79</v>
      </c>
      <c r="H1040" t="str">
        <f>VLOOKUP(C1040,[1]products!$A:$B,2,FALSE)</f>
        <v>Electra Townie Original 21D - 2016</v>
      </c>
      <c r="I1040">
        <f>VLOOKUP(C1040,[1]products!$A:$D,4,FALSE)</f>
        <v>3</v>
      </c>
      <c r="J1040" t="str">
        <f>VLOOKUP(I1040,[2]categories!$A$1:$B$8,2,FALSE)</f>
        <v>Cruisers Bicycles</v>
      </c>
    </row>
    <row r="1041" customHeight="1" spans="1:10">
      <c r="A1041" s="1">
        <v>372</v>
      </c>
      <c r="B1041" s="1">
        <v>1</v>
      </c>
      <c r="C1041" s="1">
        <v>11</v>
      </c>
      <c r="D1041" s="1">
        <v>1</v>
      </c>
      <c r="E1041" s="1">
        <v>1680.99</v>
      </c>
      <c r="F1041" s="1">
        <v>0.05</v>
      </c>
      <c r="G1041">
        <f t="shared" si="16"/>
        <v>1680.94</v>
      </c>
      <c r="H1041" t="str">
        <f>VLOOKUP(C1041,[1]products!$A:$B,2,FALSE)</f>
        <v>Surly Straggler 650b - 2016</v>
      </c>
      <c r="I1041">
        <f>VLOOKUP(C1041,[1]products!$A:$D,4,FALSE)</f>
        <v>4</v>
      </c>
      <c r="J1041" t="str">
        <f>VLOOKUP(I1041,[2]categories!$A$1:$B$8,2,FALSE)</f>
        <v>Cyclocross Bicycles</v>
      </c>
    </row>
    <row r="1042" customHeight="1" spans="1:10">
      <c r="A1042" s="1">
        <v>372</v>
      </c>
      <c r="B1042" s="1">
        <v>2</v>
      </c>
      <c r="C1042" s="1">
        <v>14</v>
      </c>
      <c r="D1042" s="1">
        <v>2</v>
      </c>
      <c r="E1042" s="1">
        <v>269.99</v>
      </c>
      <c r="F1042" s="1">
        <v>0.1</v>
      </c>
      <c r="G1042">
        <f t="shared" si="16"/>
        <v>539.88</v>
      </c>
      <c r="H1042" t="str">
        <f>VLOOKUP(C1042,[1]products!$A:$B,2,FALSE)</f>
        <v>Electra Girl's Hawaii 1 (16-inch) - 2015/2016</v>
      </c>
      <c r="I1042">
        <f>VLOOKUP(C1042,[1]products!$A:$D,4,FALSE)</f>
        <v>3</v>
      </c>
      <c r="J1042" t="str">
        <f>VLOOKUP(I1042,[2]categories!$A$1:$B$8,2,FALSE)</f>
        <v>Cruisers Bicycles</v>
      </c>
    </row>
    <row r="1043" customHeight="1" spans="1:10">
      <c r="A1043" s="1">
        <v>372</v>
      </c>
      <c r="B1043" s="1">
        <v>3</v>
      </c>
      <c r="C1043" s="1">
        <v>5</v>
      </c>
      <c r="D1043" s="1">
        <v>1</v>
      </c>
      <c r="E1043" s="1">
        <v>1320.99</v>
      </c>
      <c r="F1043" s="1">
        <v>0.1</v>
      </c>
      <c r="G1043">
        <f t="shared" si="16"/>
        <v>1320.89</v>
      </c>
      <c r="H1043" t="str">
        <f>VLOOKUP(C1043,[1]products!$A:$B,2,FALSE)</f>
        <v>Heller Shagamaw Frame - 2016</v>
      </c>
      <c r="I1043">
        <f>VLOOKUP(C1043,[1]products!$A:$D,4,FALSE)</f>
        <v>6</v>
      </c>
      <c r="J1043" t="str">
        <f>VLOOKUP(I1043,[2]categories!$A$1:$B$8,2,FALSE)</f>
        <v>Mountain Bikes</v>
      </c>
    </row>
    <row r="1044" customHeight="1" spans="1:10">
      <c r="A1044" s="1">
        <v>373</v>
      </c>
      <c r="B1044" s="1">
        <v>1</v>
      </c>
      <c r="C1044" s="1">
        <v>8</v>
      </c>
      <c r="D1044" s="1">
        <v>2</v>
      </c>
      <c r="E1044" s="1">
        <v>1799.99</v>
      </c>
      <c r="F1044" s="1">
        <v>0.05</v>
      </c>
      <c r="G1044">
        <f t="shared" si="16"/>
        <v>3599.93</v>
      </c>
      <c r="H1044" t="str">
        <f>VLOOKUP(C1044,[1]products!$A:$B,2,FALSE)</f>
        <v>Trek Remedy 29 Carbon Frameset - 2016</v>
      </c>
      <c r="I1044">
        <f>VLOOKUP(C1044,[1]products!$A:$D,4,FALSE)</f>
        <v>6</v>
      </c>
      <c r="J1044" t="str">
        <f>VLOOKUP(I1044,[2]categories!$A$1:$B$8,2,FALSE)</f>
        <v>Mountain Bikes</v>
      </c>
    </row>
    <row r="1045" customHeight="1" spans="1:10">
      <c r="A1045" s="1">
        <v>373</v>
      </c>
      <c r="B1045" s="1">
        <v>2</v>
      </c>
      <c r="C1045" s="1">
        <v>22</v>
      </c>
      <c r="D1045" s="1">
        <v>1</v>
      </c>
      <c r="E1045" s="1">
        <v>269.99</v>
      </c>
      <c r="F1045" s="1">
        <v>0.1</v>
      </c>
      <c r="G1045">
        <f t="shared" si="16"/>
        <v>269.89</v>
      </c>
      <c r="H1045" t="str">
        <f>VLOOKUP(C1045,[1]products!$A:$B,2,FALSE)</f>
        <v>Electra Girl's Hawaii 1 (16-inch) - 2015/2016</v>
      </c>
      <c r="I1045">
        <f>VLOOKUP(C1045,[1]products!$A:$D,4,FALSE)</f>
        <v>1</v>
      </c>
      <c r="J1045" t="str">
        <f>VLOOKUP(I1045,[2]categories!$A$1:$B$8,2,FALSE)</f>
        <v>Children Bicycles</v>
      </c>
    </row>
    <row r="1046" customHeight="1" spans="1:10">
      <c r="A1046" s="1">
        <v>373</v>
      </c>
      <c r="B1046" s="1">
        <v>3</v>
      </c>
      <c r="C1046" s="1">
        <v>19</v>
      </c>
      <c r="D1046" s="1">
        <v>2</v>
      </c>
      <c r="E1046" s="1">
        <v>449</v>
      </c>
      <c r="F1046" s="1">
        <v>0.2</v>
      </c>
      <c r="G1046">
        <f t="shared" si="16"/>
        <v>897.8</v>
      </c>
      <c r="H1046" t="str">
        <f>VLOOKUP(C1046,[1]products!$A:$B,2,FALSE)</f>
        <v>Pure Cycles William 3-Speed - 2016</v>
      </c>
      <c r="I1046">
        <f>VLOOKUP(C1046,[1]products!$A:$D,4,FALSE)</f>
        <v>3</v>
      </c>
      <c r="J1046" t="str">
        <f>VLOOKUP(I1046,[2]categories!$A$1:$B$8,2,FALSE)</f>
        <v>Cruisers Bicycles</v>
      </c>
    </row>
    <row r="1047" customHeight="1" spans="1:10">
      <c r="A1047" s="1">
        <v>373</v>
      </c>
      <c r="B1047" s="1">
        <v>4</v>
      </c>
      <c r="C1047" s="1">
        <v>12</v>
      </c>
      <c r="D1047" s="1">
        <v>1</v>
      </c>
      <c r="E1047" s="1">
        <v>549.99</v>
      </c>
      <c r="F1047" s="1">
        <v>0.1</v>
      </c>
      <c r="G1047">
        <f t="shared" si="16"/>
        <v>549.89</v>
      </c>
      <c r="H1047" t="str">
        <f>VLOOKUP(C1047,[1]products!$A:$B,2,FALSE)</f>
        <v>Electra Townie Original 21D - 2016</v>
      </c>
      <c r="I1047">
        <f>VLOOKUP(C1047,[1]products!$A:$D,4,FALSE)</f>
        <v>3</v>
      </c>
      <c r="J1047" t="str">
        <f>VLOOKUP(I1047,[2]categories!$A$1:$B$8,2,FALSE)</f>
        <v>Cruisers Bicycles</v>
      </c>
    </row>
    <row r="1048" customHeight="1" spans="1:10">
      <c r="A1048" s="1">
        <v>373</v>
      </c>
      <c r="B1048" s="1">
        <v>5</v>
      </c>
      <c r="C1048" s="1">
        <v>13</v>
      </c>
      <c r="D1048" s="1">
        <v>1</v>
      </c>
      <c r="E1048" s="1">
        <v>269.99</v>
      </c>
      <c r="F1048" s="1">
        <v>0.1</v>
      </c>
      <c r="G1048">
        <f t="shared" si="16"/>
        <v>269.89</v>
      </c>
      <c r="H1048" t="str">
        <f>VLOOKUP(C1048,[1]products!$A:$B,2,FALSE)</f>
        <v>Electra Cruiser 1 (24-Inch) - 2016</v>
      </c>
      <c r="I1048">
        <f>VLOOKUP(C1048,[1]products!$A:$D,4,FALSE)</f>
        <v>3</v>
      </c>
      <c r="J1048" t="str">
        <f>VLOOKUP(I1048,[2]categories!$A$1:$B$8,2,FALSE)</f>
        <v>Cruisers Bicycles</v>
      </c>
    </row>
    <row r="1049" customHeight="1" spans="1:10">
      <c r="A1049" s="1">
        <v>374</v>
      </c>
      <c r="B1049" s="1">
        <v>1</v>
      </c>
      <c r="C1049" s="1">
        <v>10</v>
      </c>
      <c r="D1049" s="1">
        <v>1</v>
      </c>
      <c r="E1049" s="1">
        <v>1549</v>
      </c>
      <c r="F1049" s="1">
        <v>0.1</v>
      </c>
      <c r="G1049">
        <f t="shared" si="16"/>
        <v>1548.9</v>
      </c>
      <c r="H1049" t="str">
        <f>VLOOKUP(C1049,[1]products!$A:$B,2,FALSE)</f>
        <v>Surly Straggler - 2016</v>
      </c>
      <c r="I1049">
        <f>VLOOKUP(C1049,[1]products!$A:$D,4,FALSE)</f>
        <v>4</v>
      </c>
      <c r="J1049" t="str">
        <f>VLOOKUP(I1049,[2]categories!$A$1:$B$8,2,FALSE)</f>
        <v>Cyclocross Bicycles</v>
      </c>
    </row>
    <row r="1050" customHeight="1" spans="1:10">
      <c r="A1050" s="1">
        <v>374</v>
      </c>
      <c r="B1050" s="1">
        <v>2</v>
      </c>
      <c r="C1050" s="1">
        <v>7</v>
      </c>
      <c r="D1050" s="1">
        <v>1</v>
      </c>
      <c r="E1050" s="1">
        <v>3999.99</v>
      </c>
      <c r="F1050" s="1">
        <v>0.07</v>
      </c>
      <c r="G1050">
        <f t="shared" si="16"/>
        <v>3999.92</v>
      </c>
      <c r="H1050" t="str">
        <f>VLOOKUP(C1050,[1]products!$A:$B,2,FALSE)</f>
        <v>Trek Slash 8 27.5 - 2016</v>
      </c>
      <c r="I1050">
        <f>VLOOKUP(C1050,[1]products!$A:$D,4,FALSE)</f>
        <v>6</v>
      </c>
      <c r="J1050" t="str">
        <f>VLOOKUP(I1050,[2]categories!$A$1:$B$8,2,FALSE)</f>
        <v>Mountain Bikes</v>
      </c>
    </row>
    <row r="1051" customHeight="1" spans="1:10">
      <c r="A1051" s="1">
        <v>375</v>
      </c>
      <c r="B1051" s="1">
        <v>1</v>
      </c>
      <c r="C1051" s="1">
        <v>21</v>
      </c>
      <c r="D1051" s="1">
        <v>2</v>
      </c>
      <c r="E1051" s="1">
        <v>269.99</v>
      </c>
      <c r="F1051" s="1">
        <v>0.05</v>
      </c>
      <c r="G1051">
        <f t="shared" si="16"/>
        <v>539.93</v>
      </c>
      <c r="H1051" t="str">
        <f>VLOOKUP(C1051,[1]products!$A:$B,2,FALSE)</f>
        <v>Electra Cruiser 1 (24-Inch) - 2016</v>
      </c>
      <c r="I1051">
        <f>VLOOKUP(C1051,[1]products!$A:$D,4,FALSE)</f>
        <v>1</v>
      </c>
      <c r="J1051" t="str">
        <f>VLOOKUP(I1051,[2]categories!$A$1:$B$8,2,FALSE)</f>
        <v>Children Bicycles</v>
      </c>
    </row>
    <row r="1052" customHeight="1" spans="1:10">
      <c r="A1052" s="1">
        <v>375</v>
      </c>
      <c r="B1052" s="1">
        <v>2</v>
      </c>
      <c r="C1052" s="1">
        <v>2</v>
      </c>
      <c r="D1052" s="1">
        <v>2</v>
      </c>
      <c r="E1052" s="1">
        <v>749.99</v>
      </c>
      <c r="F1052" s="1">
        <v>0.05</v>
      </c>
      <c r="G1052">
        <f t="shared" si="16"/>
        <v>1499.93</v>
      </c>
      <c r="H1052" t="str">
        <f>VLOOKUP(C1052,[1]products!$A:$B,2,FALSE)</f>
        <v>Ritchey Timberwolf Frameset - 2016</v>
      </c>
      <c r="I1052">
        <f>VLOOKUP(C1052,[1]products!$A:$D,4,FALSE)</f>
        <v>6</v>
      </c>
      <c r="J1052" t="str">
        <f>VLOOKUP(I1052,[2]categories!$A$1:$B$8,2,FALSE)</f>
        <v>Mountain Bikes</v>
      </c>
    </row>
    <row r="1053" customHeight="1" spans="1:10">
      <c r="A1053" s="1">
        <v>375</v>
      </c>
      <c r="B1053" s="1">
        <v>3</v>
      </c>
      <c r="C1053" s="1">
        <v>4</v>
      </c>
      <c r="D1053" s="1">
        <v>2</v>
      </c>
      <c r="E1053" s="1">
        <v>2899.99</v>
      </c>
      <c r="F1053" s="1">
        <v>0.07</v>
      </c>
      <c r="G1053">
        <f t="shared" si="16"/>
        <v>5799.91</v>
      </c>
      <c r="H1053" t="str">
        <f>VLOOKUP(C1053,[1]products!$A:$B,2,FALSE)</f>
        <v>Trek Fuel EX 8 29 - 2016</v>
      </c>
      <c r="I1053">
        <f>VLOOKUP(C1053,[1]products!$A:$D,4,FALSE)</f>
        <v>6</v>
      </c>
      <c r="J1053" t="str">
        <f>VLOOKUP(I1053,[2]categories!$A$1:$B$8,2,FALSE)</f>
        <v>Mountain Bikes</v>
      </c>
    </row>
    <row r="1054" customHeight="1" spans="1:10">
      <c r="A1054" s="1">
        <v>375</v>
      </c>
      <c r="B1054" s="1">
        <v>4</v>
      </c>
      <c r="C1054" s="1">
        <v>12</v>
      </c>
      <c r="D1054" s="1">
        <v>2</v>
      </c>
      <c r="E1054" s="1">
        <v>549.99</v>
      </c>
      <c r="F1054" s="1">
        <v>0.05</v>
      </c>
      <c r="G1054">
        <f t="shared" si="16"/>
        <v>1099.93</v>
      </c>
      <c r="H1054" t="str">
        <f>VLOOKUP(C1054,[1]products!$A:$B,2,FALSE)</f>
        <v>Electra Townie Original 21D - 2016</v>
      </c>
      <c r="I1054">
        <f>VLOOKUP(C1054,[1]products!$A:$D,4,FALSE)</f>
        <v>3</v>
      </c>
      <c r="J1054" t="str">
        <f>VLOOKUP(I1054,[2]categories!$A$1:$B$8,2,FALSE)</f>
        <v>Cruisers Bicycles</v>
      </c>
    </row>
    <row r="1055" customHeight="1" spans="1:10">
      <c r="A1055" s="1">
        <v>376</v>
      </c>
      <c r="B1055" s="1">
        <v>1</v>
      </c>
      <c r="C1055" s="1">
        <v>2</v>
      </c>
      <c r="D1055" s="1">
        <v>2</v>
      </c>
      <c r="E1055" s="1">
        <v>749.99</v>
      </c>
      <c r="F1055" s="1">
        <v>0.07</v>
      </c>
      <c r="G1055">
        <f t="shared" si="16"/>
        <v>1499.91</v>
      </c>
      <c r="H1055" t="str">
        <f>VLOOKUP(C1055,[1]products!$A:$B,2,FALSE)</f>
        <v>Ritchey Timberwolf Frameset - 2016</v>
      </c>
      <c r="I1055">
        <f>VLOOKUP(C1055,[1]products!$A:$D,4,FALSE)</f>
        <v>6</v>
      </c>
      <c r="J1055" t="str">
        <f>VLOOKUP(I1055,[2]categories!$A$1:$B$8,2,FALSE)</f>
        <v>Mountain Bikes</v>
      </c>
    </row>
    <row r="1056" customHeight="1" spans="1:10">
      <c r="A1056" s="1">
        <v>376</v>
      </c>
      <c r="B1056" s="1">
        <v>2</v>
      </c>
      <c r="C1056" s="1">
        <v>23</v>
      </c>
      <c r="D1056" s="1">
        <v>2</v>
      </c>
      <c r="E1056" s="1">
        <v>299.99</v>
      </c>
      <c r="F1056" s="1">
        <v>0.1</v>
      </c>
      <c r="G1056">
        <f t="shared" si="16"/>
        <v>599.88</v>
      </c>
      <c r="H1056" t="str">
        <f>VLOOKUP(C1056,[1]products!$A:$B,2,FALSE)</f>
        <v>Electra Girl's Hawaii 1 (20-inch) - 2015/2016</v>
      </c>
      <c r="I1056">
        <f>VLOOKUP(C1056,[1]products!$A:$D,4,FALSE)</f>
        <v>1</v>
      </c>
      <c r="J1056" t="str">
        <f>VLOOKUP(I1056,[2]categories!$A$1:$B$8,2,FALSE)</f>
        <v>Children Bicycles</v>
      </c>
    </row>
    <row r="1057" customHeight="1" spans="1:10">
      <c r="A1057" s="1">
        <v>377</v>
      </c>
      <c r="B1057" s="1">
        <v>1</v>
      </c>
      <c r="C1057" s="1">
        <v>8</v>
      </c>
      <c r="D1057" s="1">
        <v>1</v>
      </c>
      <c r="E1057" s="1">
        <v>1799.99</v>
      </c>
      <c r="F1057" s="1">
        <v>0.05</v>
      </c>
      <c r="G1057">
        <f t="shared" si="16"/>
        <v>1799.94</v>
      </c>
      <c r="H1057" t="str">
        <f>VLOOKUP(C1057,[1]products!$A:$B,2,FALSE)</f>
        <v>Trek Remedy 29 Carbon Frameset - 2016</v>
      </c>
      <c r="I1057">
        <f>VLOOKUP(C1057,[1]products!$A:$D,4,FALSE)</f>
        <v>6</v>
      </c>
      <c r="J1057" t="str">
        <f>VLOOKUP(I1057,[2]categories!$A$1:$B$8,2,FALSE)</f>
        <v>Mountain Bikes</v>
      </c>
    </row>
    <row r="1058" customHeight="1" spans="1:10">
      <c r="A1058" s="1">
        <v>377</v>
      </c>
      <c r="B1058" s="1">
        <v>2</v>
      </c>
      <c r="C1058" s="1">
        <v>14</v>
      </c>
      <c r="D1058" s="1">
        <v>1</v>
      </c>
      <c r="E1058" s="1">
        <v>269.99</v>
      </c>
      <c r="F1058" s="1">
        <v>0.07</v>
      </c>
      <c r="G1058">
        <f t="shared" si="16"/>
        <v>269.92</v>
      </c>
      <c r="H1058" t="str">
        <f>VLOOKUP(C1058,[1]products!$A:$B,2,FALSE)</f>
        <v>Electra Girl's Hawaii 1 (16-inch) - 2015/2016</v>
      </c>
      <c r="I1058">
        <f>VLOOKUP(C1058,[1]products!$A:$D,4,FALSE)</f>
        <v>3</v>
      </c>
      <c r="J1058" t="str">
        <f>VLOOKUP(I1058,[2]categories!$A$1:$B$8,2,FALSE)</f>
        <v>Cruisers Bicycles</v>
      </c>
    </row>
    <row r="1059" customHeight="1" spans="1:10">
      <c r="A1059" s="1">
        <v>378</v>
      </c>
      <c r="B1059" s="1">
        <v>1</v>
      </c>
      <c r="C1059" s="1">
        <v>26</v>
      </c>
      <c r="D1059" s="1">
        <v>2</v>
      </c>
      <c r="E1059" s="1">
        <v>599.99</v>
      </c>
      <c r="F1059" s="1">
        <v>0.05</v>
      </c>
      <c r="G1059">
        <f t="shared" si="16"/>
        <v>1199.93</v>
      </c>
      <c r="H1059" t="str">
        <f>VLOOKUP(C1059,[1]products!$A:$B,2,FALSE)</f>
        <v>Electra Townie Original 7D EQ - 2016</v>
      </c>
      <c r="I1059">
        <f>VLOOKUP(C1059,[1]products!$A:$D,4,FALSE)</f>
        <v>2</v>
      </c>
      <c r="J1059" t="str">
        <f>VLOOKUP(I1059,[2]categories!$A$1:$B$8,2,FALSE)</f>
        <v>Comfort Bicycles</v>
      </c>
    </row>
    <row r="1060" customHeight="1" spans="1:10">
      <c r="A1060" s="1">
        <v>379</v>
      </c>
      <c r="B1060" s="1">
        <v>1</v>
      </c>
      <c r="C1060" s="1">
        <v>9</v>
      </c>
      <c r="D1060" s="1">
        <v>1</v>
      </c>
      <c r="E1060" s="1">
        <v>2999.99</v>
      </c>
      <c r="F1060" s="1">
        <v>0.07</v>
      </c>
      <c r="G1060">
        <f t="shared" si="16"/>
        <v>2999.92</v>
      </c>
      <c r="H1060" t="str">
        <f>VLOOKUP(C1060,[1]products!$A:$B,2,FALSE)</f>
        <v>Trek Conduit+ - 2016</v>
      </c>
      <c r="I1060">
        <f>VLOOKUP(C1060,[1]products!$A:$D,4,FALSE)</f>
        <v>5</v>
      </c>
      <c r="J1060" t="str">
        <f>VLOOKUP(I1060,[2]categories!$A$1:$B$8,2,FALSE)</f>
        <v>Electric Bikes</v>
      </c>
    </row>
    <row r="1061" customHeight="1" spans="1:10">
      <c r="A1061" s="1">
        <v>379</v>
      </c>
      <c r="B1061" s="1">
        <v>2</v>
      </c>
      <c r="C1061" s="1">
        <v>16</v>
      </c>
      <c r="D1061" s="1">
        <v>1</v>
      </c>
      <c r="E1061" s="1">
        <v>599.99</v>
      </c>
      <c r="F1061" s="1">
        <v>0.2</v>
      </c>
      <c r="G1061">
        <f t="shared" si="16"/>
        <v>599.79</v>
      </c>
      <c r="H1061" t="str">
        <f>VLOOKUP(C1061,[1]products!$A:$B,2,FALSE)</f>
        <v>Electra Townie Original 7D EQ - 2016</v>
      </c>
      <c r="I1061">
        <f>VLOOKUP(C1061,[1]products!$A:$D,4,FALSE)</f>
        <v>3</v>
      </c>
      <c r="J1061" t="str">
        <f>VLOOKUP(I1061,[2]categories!$A$1:$B$8,2,FALSE)</f>
        <v>Cruisers Bicycles</v>
      </c>
    </row>
    <row r="1062" customHeight="1" spans="1:10">
      <c r="A1062" s="1">
        <v>380</v>
      </c>
      <c r="B1062" s="1">
        <v>1</v>
      </c>
      <c r="C1062" s="1">
        <v>16</v>
      </c>
      <c r="D1062" s="1">
        <v>1</v>
      </c>
      <c r="E1062" s="1">
        <v>599.99</v>
      </c>
      <c r="F1062" s="1">
        <v>0.05</v>
      </c>
      <c r="G1062">
        <f t="shared" si="16"/>
        <v>599.94</v>
      </c>
      <c r="H1062" t="str">
        <f>VLOOKUP(C1062,[1]products!$A:$B,2,FALSE)</f>
        <v>Electra Townie Original 7D EQ - 2016</v>
      </c>
      <c r="I1062">
        <f>VLOOKUP(C1062,[1]products!$A:$D,4,FALSE)</f>
        <v>3</v>
      </c>
      <c r="J1062" t="str">
        <f>VLOOKUP(I1062,[2]categories!$A$1:$B$8,2,FALSE)</f>
        <v>Cruisers Bicycles</v>
      </c>
    </row>
    <row r="1063" customHeight="1" spans="1:10">
      <c r="A1063" s="1">
        <v>380</v>
      </c>
      <c r="B1063" s="1">
        <v>2</v>
      </c>
      <c r="C1063" s="1">
        <v>11</v>
      </c>
      <c r="D1063" s="1">
        <v>2</v>
      </c>
      <c r="E1063" s="1">
        <v>1680.99</v>
      </c>
      <c r="F1063" s="1">
        <v>0.05</v>
      </c>
      <c r="G1063">
        <f t="shared" si="16"/>
        <v>3361.93</v>
      </c>
      <c r="H1063" t="str">
        <f>VLOOKUP(C1063,[1]products!$A:$B,2,FALSE)</f>
        <v>Surly Straggler 650b - 2016</v>
      </c>
      <c r="I1063">
        <f>VLOOKUP(C1063,[1]products!$A:$D,4,FALSE)</f>
        <v>4</v>
      </c>
      <c r="J1063" t="str">
        <f>VLOOKUP(I1063,[2]categories!$A$1:$B$8,2,FALSE)</f>
        <v>Cyclocross Bicycles</v>
      </c>
    </row>
    <row r="1064" customHeight="1" spans="1:10">
      <c r="A1064" s="1">
        <v>381</v>
      </c>
      <c r="B1064" s="1">
        <v>1</v>
      </c>
      <c r="C1064" s="1">
        <v>21</v>
      </c>
      <c r="D1064" s="1">
        <v>2</v>
      </c>
      <c r="E1064" s="1">
        <v>269.99</v>
      </c>
      <c r="F1064" s="1">
        <v>0.07</v>
      </c>
      <c r="G1064">
        <f t="shared" si="16"/>
        <v>539.91</v>
      </c>
      <c r="H1064" t="str">
        <f>VLOOKUP(C1064,[1]products!$A:$B,2,FALSE)</f>
        <v>Electra Cruiser 1 (24-Inch) - 2016</v>
      </c>
      <c r="I1064">
        <f>VLOOKUP(C1064,[1]products!$A:$D,4,FALSE)</f>
        <v>1</v>
      </c>
      <c r="J1064" t="str">
        <f>VLOOKUP(I1064,[2]categories!$A$1:$B$8,2,FALSE)</f>
        <v>Children Bicycles</v>
      </c>
    </row>
    <row r="1065" customHeight="1" spans="1:10">
      <c r="A1065" s="1">
        <v>382</v>
      </c>
      <c r="B1065" s="1">
        <v>1</v>
      </c>
      <c r="C1065" s="1">
        <v>8</v>
      </c>
      <c r="D1065" s="1">
        <v>1</v>
      </c>
      <c r="E1065" s="1">
        <v>1799.99</v>
      </c>
      <c r="F1065" s="1">
        <v>0.1</v>
      </c>
      <c r="G1065">
        <f t="shared" si="16"/>
        <v>1799.89</v>
      </c>
      <c r="H1065" t="str">
        <f>VLOOKUP(C1065,[1]products!$A:$B,2,FALSE)</f>
        <v>Trek Remedy 29 Carbon Frameset - 2016</v>
      </c>
      <c r="I1065">
        <f>VLOOKUP(C1065,[1]products!$A:$D,4,FALSE)</f>
        <v>6</v>
      </c>
      <c r="J1065" t="str">
        <f>VLOOKUP(I1065,[2]categories!$A$1:$B$8,2,FALSE)</f>
        <v>Mountain Bikes</v>
      </c>
    </row>
    <row r="1066" customHeight="1" spans="1:10">
      <c r="A1066" s="1">
        <v>382</v>
      </c>
      <c r="B1066" s="1">
        <v>2</v>
      </c>
      <c r="C1066" s="1">
        <v>9</v>
      </c>
      <c r="D1066" s="1">
        <v>1</v>
      </c>
      <c r="E1066" s="1">
        <v>2999.99</v>
      </c>
      <c r="F1066" s="1">
        <v>0.1</v>
      </c>
      <c r="G1066">
        <f t="shared" si="16"/>
        <v>2999.89</v>
      </c>
      <c r="H1066" t="str">
        <f>VLOOKUP(C1066,[1]products!$A:$B,2,FALSE)</f>
        <v>Trek Conduit+ - 2016</v>
      </c>
      <c r="I1066">
        <f>VLOOKUP(C1066,[1]products!$A:$D,4,FALSE)</f>
        <v>5</v>
      </c>
      <c r="J1066" t="str">
        <f>VLOOKUP(I1066,[2]categories!$A$1:$B$8,2,FALSE)</f>
        <v>Electric Bikes</v>
      </c>
    </row>
    <row r="1067" customHeight="1" spans="1:10">
      <c r="A1067" s="1">
        <v>382</v>
      </c>
      <c r="B1067" s="1">
        <v>3</v>
      </c>
      <c r="C1067" s="1">
        <v>13</v>
      </c>
      <c r="D1067" s="1">
        <v>1</v>
      </c>
      <c r="E1067" s="1">
        <v>269.99</v>
      </c>
      <c r="F1067" s="1">
        <v>0.07</v>
      </c>
      <c r="G1067">
        <f t="shared" si="16"/>
        <v>269.92</v>
      </c>
      <c r="H1067" t="str">
        <f>VLOOKUP(C1067,[1]products!$A:$B,2,FALSE)</f>
        <v>Electra Cruiser 1 (24-Inch) - 2016</v>
      </c>
      <c r="I1067">
        <f>VLOOKUP(C1067,[1]products!$A:$D,4,FALSE)</f>
        <v>3</v>
      </c>
      <c r="J1067" t="str">
        <f>VLOOKUP(I1067,[2]categories!$A$1:$B$8,2,FALSE)</f>
        <v>Cruisers Bicycles</v>
      </c>
    </row>
    <row r="1068" customHeight="1" spans="1:10">
      <c r="A1068" s="1">
        <v>383</v>
      </c>
      <c r="B1068" s="1">
        <v>1</v>
      </c>
      <c r="C1068" s="1">
        <v>19</v>
      </c>
      <c r="D1068" s="1">
        <v>1</v>
      </c>
      <c r="E1068" s="1">
        <v>449</v>
      </c>
      <c r="F1068" s="1">
        <v>0.07</v>
      </c>
      <c r="G1068">
        <f t="shared" si="16"/>
        <v>448.93</v>
      </c>
      <c r="H1068" t="str">
        <f>VLOOKUP(C1068,[1]products!$A:$B,2,FALSE)</f>
        <v>Pure Cycles William 3-Speed - 2016</v>
      </c>
      <c r="I1068">
        <f>VLOOKUP(C1068,[1]products!$A:$D,4,FALSE)</f>
        <v>3</v>
      </c>
      <c r="J1068" t="str">
        <f>VLOOKUP(I1068,[2]categories!$A$1:$B$8,2,FALSE)</f>
        <v>Cruisers Bicycles</v>
      </c>
    </row>
    <row r="1069" customHeight="1" spans="1:10">
      <c r="A1069" s="1">
        <v>383</v>
      </c>
      <c r="B1069" s="1">
        <v>2</v>
      </c>
      <c r="C1069" s="1">
        <v>22</v>
      </c>
      <c r="D1069" s="1">
        <v>2</v>
      </c>
      <c r="E1069" s="1">
        <v>269.99</v>
      </c>
      <c r="F1069" s="1">
        <v>0.05</v>
      </c>
      <c r="G1069">
        <f t="shared" si="16"/>
        <v>539.93</v>
      </c>
      <c r="H1069" t="str">
        <f>VLOOKUP(C1069,[1]products!$A:$B,2,FALSE)</f>
        <v>Electra Girl's Hawaii 1 (16-inch) - 2015/2016</v>
      </c>
      <c r="I1069">
        <f>VLOOKUP(C1069,[1]products!$A:$D,4,FALSE)</f>
        <v>1</v>
      </c>
      <c r="J1069" t="str">
        <f>VLOOKUP(I1069,[2]categories!$A$1:$B$8,2,FALSE)</f>
        <v>Children Bicycles</v>
      </c>
    </row>
    <row r="1070" customHeight="1" spans="1:10">
      <c r="A1070" s="1">
        <v>383</v>
      </c>
      <c r="B1070" s="1">
        <v>3</v>
      </c>
      <c r="C1070" s="1">
        <v>13</v>
      </c>
      <c r="D1070" s="1">
        <v>1</v>
      </c>
      <c r="E1070" s="1">
        <v>269.99</v>
      </c>
      <c r="F1070" s="1">
        <v>0.1</v>
      </c>
      <c r="G1070">
        <f t="shared" si="16"/>
        <v>269.89</v>
      </c>
      <c r="H1070" t="str">
        <f>VLOOKUP(C1070,[1]products!$A:$B,2,FALSE)</f>
        <v>Electra Cruiser 1 (24-Inch) - 2016</v>
      </c>
      <c r="I1070">
        <f>VLOOKUP(C1070,[1]products!$A:$D,4,FALSE)</f>
        <v>3</v>
      </c>
      <c r="J1070" t="str">
        <f>VLOOKUP(I1070,[2]categories!$A$1:$B$8,2,FALSE)</f>
        <v>Cruisers Bicycles</v>
      </c>
    </row>
    <row r="1071" customHeight="1" spans="1:10">
      <c r="A1071" s="1">
        <v>383</v>
      </c>
      <c r="B1071" s="1">
        <v>4</v>
      </c>
      <c r="C1071" s="1">
        <v>21</v>
      </c>
      <c r="D1071" s="1">
        <v>2</v>
      </c>
      <c r="E1071" s="1">
        <v>269.99</v>
      </c>
      <c r="F1071" s="1">
        <v>0.05</v>
      </c>
      <c r="G1071">
        <f t="shared" si="16"/>
        <v>539.93</v>
      </c>
      <c r="H1071" t="str">
        <f>VLOOKUP(C1071,[1]products!$A:$B,2,FALSE)</f>
        <v>Electra Cruiser 1 (24-Inch) - 2016</v>
      </c>
      <c r="I1071">
        <f>VLOOKUP(C1071,[1]products!$A:$D,4,FALSE)</f>
        <v>1</v>
      </c>
      <c r="J1071" t="str">
        <f>VLOOKUP(I1071,[2]categories!$A$1:$B$8,2,FALSE)</f>
        <v>Children Bicycles</v>
      </c>
    </row>
    <row r="1072" customHeight="1" spans="1:10">
      <c r="A1072" s="1">
        <v>383</v>
      </c>
      <c r="B1072" s="1">
        <v>5</v>
      </c>
      <c r="C1072" s="1">
        <v>14</v>
      </c>
      <c r="D1072" s="1">
        <v>1</v>
      </c>
      <c r="E1072" s="1">
        <v>269.99</v>
      </c>
      <c r="F1072" s="1">
        <v>0.1</v>
      </c>
      <c r="G1072">
        <f t="shared" si="16"/>
        <v>269.89</v>
      </c>
      <c r="H1072" t="str">
        <f>VLOOKUP(C1072,[1]products!$A:$B,2,FALSE)</f>
        <v>Electra Girl's Hawaii 1 (16-inch) - 2015/2016</v>
      </c>
      <c r="I1072">
        <f>VLOOKUP(C1072,[1]products!$A:$D,4,FALSE)</f>
        <v>3</v>
      </c>
      <c r="J1072" t="str">
        <f>VLOOKUP(I1072,[2]categories!$A$1:$B$8,2,FALSE)</f>
        <v>Cruisers Bicycles</v>
      </c>
    </row>
    <row r="1073" customHeight="1" spans="1:10">
      <c r="A1073" s="1">
        <v>384</v>
      </c>
      <c r="B1073" s="1">
        <v>1</v>
      </c>
      <c r="C1073" s="1">
        <v>20</v>
      </c>
      <c r="D1073" s="1">
        <v>1</v>
      </c>
      <c r="E1073" s="1">
        <v>599.99</v>
      </c>
      <c r="F1073" s="1">
        <v>0.1</v>
      </c>
      <c r="G1073">
        <f t="shared" si="16"/>
        <v>599.89</v>
      </c>
      <c r="H1073" t="str">
        <f>VLOOKUP(C1073,[1]products!$A:$B,2,FALSE)</f>
        <v>Electra Townie Original 7D EQ - Women's - 2016</v>
      </c>
      <c r="I1073">
        <f>VLOOKUP(C1073,[1]products!$A:$D,4,FALSE)</f>
        <v>3</v>
      </c>
      <c r="J1073" t="str">
        <f>VLOOKUP(I1073,[2]categories!$A$1:$B$8,2,FALSE)</f>
        <v>Cruisers Bicycles</v>
      </c>
    </row>
    <row r="1074" customHeight="1" spans="1:10">
      <c r="A1074" s="1">
        <v>384</v>
      </c>
      <c r="B1074" s="1">
        <v>2</v>
      </c>
      <c r="C1074" s="1">
        <v>21</v>
      </c>
      <c r="D1074" s="1">
        <v>2</v>
      </c>
      <c r="E1074" s="1">
        <v>269.99</v>
      </c>
      <c r="F1074" s="1">
        <v>0.2</v>
      </c>
      <c r="G1074">
        <f t="shared" si="16"/>
        <v>539.78</v>
      </c>
      <c r="H1074" t="str">
        <f>VLOOKUP(C1074,[1]products!$A:$B,2,FALSE)</f>
        <v>Electra Cruiser 1 (24-Inch) - 2016</v>
      </c>
      <c r="I1074">
        <f>VLOOKUP(C1074,[1]products!$A:$D,4,FALSE)</f>
        <v>1</v>
      </c>
      <c r="J1074" t="str">
        <f>VLOOKUP(I1074,[2]categories!$A$1:$B$8,2,FALSE)</f>
        <v>Children Bicycles</v>
      </c>
    </row>
    <row r="1075" customHeight="1" spans="1:10">
      <c r="A1075" s="1">
        <v>384</v>
      </c>
      <c r="B1075" s="1">
        <v>3</v>
      </c>
      <c r="C1075" s="1">
        <v>8</v>
      </c>
      <c r="D1075" s="1">
        <v>1</v>
      </c>
      <c r="E1075" s="1">
        <v>1799.99</v>
      </c>
      <c r="F1075" s="1">
        <v>0.05</v>
      </c>
      <c r="G1075">
        <f t="shared" si="16"/>
        <v>1799.94</v>
      </c>
      <c r="H1075" t="str">
        <f>VLOOKUP(C1075,[1]products!$A:$B,2,FALSE)</f>
        <v>Trek Remedy 29 Carbon Frameset - 2016</v>
      </c>
      <c r="I1075">
        <f>VLOOKUP(C1075,[1]products!$A:$D,4,FALSE)</f>
        <v>6</v>
      </c>
      <c r="J1075" t="str">
        <f>VLOOKUP(I1075,[2]categories!$A$1:$B$8,2,FALSE)</f>
        <v>Mountain Bikes</v>
      </c>
    </row>
    <row r="1076" customHeight="1" spans="1:10">
      <c r="A1076" s="1">
        <v>384</v>
      </c>
      <c r="B1076" s="1">
        <v>4</v>
      </c>
      <c r="C1076" s="1">
        <v>15</v>
      </c>
      <c r="D1076" s="1">
        <v>1</v>
      </c>
      <c r="E1076" s="1">
        <v>529.99</v>
      </c>
      <c r="F1076" s="1">
        <v>0.1</v>
      </c>
      <c r="G1076">
        <f t="shared" si="16"/>
        <v>529.89</v>
      </c>
      <c r="H1076" t="str">
        <f>VLOOKUP(C1076,[1]products!$A:$B,2,FALSE)</f>
        <v>Electra Moto 1 - 2016</v>
      </c>
      <c r="I1076">
        <f>VLOOKUP(C1076,[1]products!$A:$D,4,FALSE)</f>
        <v>3</v>
      </c>
      <c r="J1076" t="str">
        <f>VLOOKUP(I1076,[2]categories!$A$1:$B$8,2,FALSE)</f>
        <v>Cruisers Bicycles</v>
      </c>
    </row>
    <row r="1077" customHeight="1" spans="1:10">
      <c r="A1077" s="1">
        <v>384</v>
      </c>
      <c r="B1077" s="1">
        <v>5</v>
      </c>
      <c r="C1077" s="1">
        <v>4</v>
      </c>
      <c r="D1077" s="1">
        <v>1</v>
      </c>
      <c r="E1077" s="1">
        <v>2899.99</v>
      </c>
      <c r="F1077" s="1">
        <v>0.2</v>
      </c>
      <c r="G1077">
        <f t="shared" si="16"/>
        <v>2899.79</v>
      </c>
      <c r="H1077" t="str">
        <f>VLOOKUP(C1077,[1]products!$A:$B,2,FALSE)</f>
        <v>Trek Fuel EX 8 29 - 2016</v>
      </c>
      <c r="I1077">
        <f>VLOOKUP(C1077,[1]products!$A:$D,4,FALSE)</f>
        <v>6</v>
      </c>
      <c r="J1077" t="str">
        <f>VLOOKUP(I1077,[2]categories!$A$1:$B$8,2,FALSE)</f>
        <v>Mountain Bikes</v>
      </c>
    </row>
    <row r="1078" customHeight="1" spans="1:10">
      <c r="A1078" s="1">
        <v>385</v>
      </c>
      <c r="B1078" s="1">
        <v>1</v>
      </c>
      <c r="C1078" s="1">
        <v>21</v>
      </c>
      <c r="D1078" s="1">
        <v>1</v>
      </c>
      <c r="E1078" s="1">
        <v>269.99</v>
      </c>
      <c r="F1078" s="1">
        <v>0.07</v>
      </c>
      <c r="G1078">
        <f t="shared" si="16"/>
        <v>269.92</v>
      </c>
      <c r="H1078" t="str">
        <f>VLOOKUP(C1078,[1]products!$A:$B,2,FALSE)</f>
        <v>Electra Cruiser 1 (24-Inch) - 2016</v>
      </c>
      <c r="I1078">
        <f>VLOOKUP(C1078,[1]products!$A:$D,4,FALSE)</f>
        <v>1</v>
      </c>
      <c r="J1078" t="str">
        <f>VLOOKUP(I1078,[2]categories!$A$1:$B$8,2,FALSE)</f>
        <v>Children Bicycles</v>
      </c>
    </row>
    <row r="1079" customHeight="1" spans="1:10">
      <c r="A1079" s="1">
        <v>385</v>
      </c>
      <c r="B1079" s="1">
        <v>2</v>
      </c>
      <c r="C1079" s="1">
        <v>7</v>
      </c>
      <c r="D1079" s="1">
        <v>2</v>
      </c>
      <c r="E1079" s="1">
        <v>3999.99</v>
      </c>
      <c r="F1079" s="1">
        <v>0.2</v>
      </c>
      <c r="G1079">
        <f t="shared" si="16"/>
        <v>7999.78</v>
      </c>
      <c r="H1079" t="str">
        <f>VLOOKUP(C1079,[1]products!$A:$B,2,FALSE)</f>
        <v>Trek Slash 8 27.5 - 2016</v>
      </c>
      <c r="I1079">
        <f>VLOOKUP(C1079,[1]products!$A:$D,4,FALSE)</f>
        <v>6</v>
      </c>
      <c r="J1079" t="str">
        <f>VLOOKUP(I1079,[2]categories!$A$1:$B$8,2,FALSE)</f>
        <v>Mountain Bikes</v>
      </c>
    </row>
    <row r="1080" customHeight="1" spans="1:10">
      <c r="A1080" s="1">
        <v>385</v>
      </c>
      <c r="B1080" s="1">
        <v>3</v>
      </c>
      <c r="C1080" s="1">
        <v>26</v>
      </c>
      <c r="D1080" s="1">
        <v>2</v>
      </c>
      <c r="E1080" s="1">
        <v>599.99</v>
      </c>
      <c r="F1080" s="1">
        <v>0.05</v>
      </c>
      <c r="G1080">
        <f t="shared" si="16"/>
        <v>1199.93</v>
      </c>
      <c r="H1080" t="str">
        <f>VLOOKUP(C1080,[1]products!$A:$B,2,FALSE)</f>
        <v>Electra Townie Original 7D EQ - 2016</v>
      </c>
      <c r="I1080">
        <f>VLOOKUP(C1080,[1]products!$A:$D,4,FALSE)</f>
        <v>2</v>
      </c>
      <c r="J1080" t="str">
        <f>VLOOKUP(I1080,[2]categories!$A$1:$B$8,2,FALSE)</f>
        <v>Comfort Bicycles</v>
      </c>
    </row>
    <row r="1081" customHeight="1" spans="1:10">
      <c r="A1081" s="1">
        <v>386</v>
      </c>
      <c r="B1081" s="1">
        <v>1</v>
      </c>
      <c r="C1081" s="1">
        <v>8</v>
      </c>
      <c r="D1081" s="1">
        <v>1</v>
      </c>
      <c r="E1081" s="1">
        <v>1799.99</v>
      </c>
      <c r="F1081" s="1">
        <v>0.2</v>
      </c>
      <c r="G1081">
        <f t="shared" si="16"/>
        <v>1799.79</v>
      </c>
      <c r="H1081" t="str">
        <f>VLOOKUP(C1081,[1]products!$A:$B,2,FALSE)</f>
        <v>Trek Remedy 29 Carbon Frameset - 2016</v>
      </c>
      <c r="I1081">
        <f>VLOOKUP(C1081,[1]products!$A:$D,4,FALSE)</f>
        <v>6</v>
      </c>
      <c r="J1081" t="str">
        <f>VLOOKUP(I1081,[2]categories!$A$1:$B$8,2,FALSE)</f>
        <v>Mountain Bikes</v>
      </c>
    </row>
    <row r="1082" customHeight="1" spans="1:10">
      <c r="A1082" s="1">
        <v>386</v>
      </c>
      <c r="B1082" s="1">
        <v>2</v>
      </c>
      <c r="C1082" s="1">
        <v>3</v>
      </c>
      <c r="D1082" s="1">
        <v>2</v>
      </c>
      <c r="E1082" s="1">
        <v>999.99</v>
      </c>
      <c r="F1082" s="1">
        <v>0.05</v>
      </c>
      <c r="G1082">
        <f t="shared" si="16"/>
        <v>1999.93</v>
      </c>
      <c r="H1082" t="str">
        <f>VLOOKUP(C1082,[1]products!$A:$B,2,FALSE)</f>
        <v>Surly Wednesday Frameset - 2016</v>
      </c>
      <c r="I1082">
        <f>VLOOKUP(C1082,[1]products!$A:$D,4,FALSE)</f>
        <v>6</v>
      </c>
      <c r="J1082" t="str">
        <f>VLOOKUP(I1082,[2]categories!$A$1:$B$8,2,FALSE)</f>
        <v>Mountain Bikes</v>
      </c>
    </row>
    <row r="1083" customHeight="1" spans="1:10">
      <c r="A1083" s="1">
        <v>386</v>
      </c>
      <c r="B1083" s="1">
        <v>3</v>
      </c>
      <c r="C1083" s="1">
        <v>16</v>
      </c>
      <c r="D1083" s="1">
        <v>2</v>
      </c>
      <c r="E1083" s="1">
        <v>599.99</v>
      </c>
      <c r="F1083" s="1">
        <v>0.2</v>
      </c>
      <c r="G1083">
        <f t="shared" si="16"/>
        <v>1199.78</v>
      </c>
      <c r="H1083" t="str">
        <f>VLOOKUP(C1083,[1]products!$A:$B,2,FALSE)</f>
        <v>Electra Townie Original 7D EQ - 2016</v>
      </c>
      <c r="I1083">
        <f>VLOOKUP(C1083,[1]products!$A:$D,4,FALSE)</f>
        <v>3</v>
      </c>
      <c r="J1083" t="str">
        <f>VLOOKUP(I1083,[2]categories!$A$1:$B$8,2,FALSE)</f>
        <v>Cruisers Bicycles</v>
      </c>
    </row>
    <row r="1084" customHeight="1" spans="1:10">
      <c r="A1084" s="1">
        <v>387</v>
      </c>
      <c r="B1084" s="1">
        <v>1</v>
      </c>
      <c r="C1084" s="1">
        <v>18</v>
      </c>
      <c r="D1084" s="1">
        <v>1</v>
      </c>
      <c r="E1084" s="1">
        <v>449</v>
      </c>
      <c r="F1084" s="1">
        <v>0.2</v>
      </c>
      <c r="G1084">
        <f t="shared" si="16"/>
        <v>448.8</v>
      </c>
      <c r="H1084" t="str">
        <f>VLOOKUP(C1084,[1]products!$A:$B,2,FALSE)</f>
        <v>Pure Cycles Western 3-Speed - Women's - 2015/2016</v>
      </c>
      <c r="I1084">
        <f>VLOOKUP(C1084,[1]products!$A:$D,4,FALSE)</f>
        <v>3</v>
      </c>
      <c r="J1084" t="str">
        <f>VLOOKUP(I1084,[2]categories!$A$1:$B$8,2,FALSE)</f>
        <v>Cruisers Bicycles</v>
      </c>
    </row>
    <row r="1085" customHeight="1" spans="1:10">
      <c r="A1085" s="1">
        <v>388</v>
      </c>
      <c r="B1085" s="1">
        <v>1</v>
      </c>
      <c r="C1085" s="1">
        <v>19</v>
      </c>
      <c r="D1085" s="1">
        <v>2</v>
      </c>
      <c r="E1085" s="1">
        <v>449</v>
      </c>
      <c r="F1085" s="1">
        <v>0.2</v>
      </c>
      <c r="G1085">
        <f t="shared" si="16"/>
        <v>897.8</v>
      </c>
      <c r="H1085" t="str">
        <f>VLOOKUP(C1085,[1]products!$A:$B,2,FALSE)</f>
        <v>Pure Cycles William 3-Speed - 2016</v>
      </c>
      <c r="I1085">
        <f>VLOOKUP(C1085,[1]products!$A:$D,4,FALSE)</f>
        <v>3</v>
      </c>
      <c r="J1085" t="str">
        <f>VLOOKUP(I1085,[2]categories!$A$1:$B$8,2,FALSE)</f>
        <v>Cruisers Bicycles</v>
      </c>
    </row>
    <row r="1086" customHeight="1" spans="1:10">
      <c r="A1086" s="1">
        <v>388</v>
      </c>
      <c r="B1086" s="1">
        <v>2</v>
      </c>
      <c r="C1086" s="1">
        <v>13</v>
      </c>
      <c r="D1086" s="1">
        <v>2</v>
      </c>
      <c r="E1086" s="1">
        <v>269.99</v>
      </c>
      <c r="F1086" s="1">
        <v>0.07</v>
      </c>
      <c r="G1086">
        <f t="shared" si="16"/>
        <v>539.91</v>
      </c>
      <c r="H1086" t="str">
        <f>VLOOKUP(C1086,[1]products!$A:$B,2,FALSE)</f>
        <v>Electra Cruiser 1 (24-Inch) - 2016</v>
      </c>
      <c r="I1086">
        <f>VLOOKUP(C1086,[1]products!$A:$D,4,FALSE)</f>
        <v>3</v>
      </c>
      <c r="J1086" t="str">
        <f>VLOOKUP(I1086,[2]categories!$A$1:$B$8,2,FALSE)</f>
        <v>Cruisers Bicycles</v>
      </c>
    </row>
    <row r="1087" customHeight="1" spans="1:10">
      <c r="A1087" s="1">
        <v>388</v>
      </c>
      <c r="B1087" s="1">
        <v>3</v>
      </c>
      <c r="C1087" s="1">
        <v>2</v>
      </c>
      <c r="D1087" s="1">
        <v>1</v>
      </c>
      <c r="E1087" s="1">
        <v>749.99</v>
      </c>
      <c r="F1087" s="1">
        <v>0.07</v>
      </c>
      <c r="G1087">
        <f t="shared" si="16"/>
        <v>749.92</v>
      </c>
      <c r="H1087" t="str">
        <f>VLOOKUP(C1087,[1]products!$A:$B,2,FALSE)</f>
        <v>Ritchey Timberwolf Frameset - 2016</v>
      </c>
      <c r="I1087">
        <f>VLOOKUP(C1087,[1]products!$A:$D,4,FALSE)</f>
        <v>6</v>
      </c>
      <c r="J1087" t="str">
        <f>VLOOKUP(I1087,[2]categories!$A$1:$B$8,2,FALSE)</f>
        <v>Mountain Bikes</v>
      </c>
    </row>
    <row r="1088" customHeight="1" spans="1:10">
      <c r="A1088" s="1">
        <v>388</v>
      </c>
      <c r="B1088" s="1">
        <v>4</v>
      </c>
      <c r="C1088" s="1">
        <v>11</v>
      </c>
      <c r="D1088" s="1">
        <v>1</v>
      </c>
      <c r="E1088" s="1">
        <v>1680.99</v>
      </c>
      <c r="F1088" s="1">
        <v>0.1</v>
      </c>
      <c r="G1088">
        <f t="shared" si="16"/>
        <v>1680.89</v>
      </c>
      <c r="H1088" t="str">
        <f>VLOOKUP(C1088,[1]products!$A:$B,2,FALSE)</f>
        <v>Surly Straggler 650b - 2016</v>
      </c>
      <c r="I1088">
        <f>VLOOKUP(C1088,[1]products!$A:$D,4,FALSE)</f>
        <v>4</v>
      </c>
      <c r="J1088" t="str">
        <f>VLOOKUP(I1088,[2]categories!$A$1:$B$8,2,FALSE)</f>
        <v>Cyclocross Bicycles</v>
      </c>
    </row>
    <row r="1089" customHeight="1" spans="1:10">
      <c r="A1089" s="1">
        <v>389</v>
      </c>
      <c r="B1089" s="1">
        <v>1</v>
      </c>
      <c r="C1089" s="1">
        <v>2</v>
      </c>
      <c r="D1089" s="1">
        <v>1</v>
      </c>
      <c r="E1089" s="1">
        <v>749.99</v>
      </c>
      <c r="F1089" s="1">
        <v>0.07</v>
      </c>
      <c r="G1089">
        <f t="shared" si="16"/>
        <v>749.92</v>
      </c>
      <c r="H1089" t="str">
        <f>VLOOKUP(C1089,[1]products!$A:$B,2,FALSE)</f>
        <v>Ritchey Timberwolf Frameset - 2016</v>
      </c>
      <c r="I1089">
        <f>VLOOKUP(C1089,[1]products!$A:$D,4,FALSE)</f>
        <v>6</v>
      </c>
      <c r="J1089" t="str">
        <f>VLOOKUP(I1089,[2]categories!$A$1:$B$8,2,FALSE)</f>
        <v>Mountain Bikes</v>
      </c>
    </row>
    <row r="1090" customHeight="1" spans="1:10">
      <c r="A1090" s="1">
        <v>389</v>
      </c>
      <c r="B1090" s="1">
        <v>2</v>
      </c>
      <c r="C1090" s="1">
        <v>15</v>
      </c>
      <c r="D1090" s="1">
        <v>2</v>
      </c>
      <c r="E1090" s="1">
        <v>529.99</v>
      </c>
      <c r="F1090" s="1">
        <v>0.07</v>
      </c>
      <c r="G1090">
        <f t="shared" si="16"/>
        <v>1059.91</v>
      </c>
      <c r="H1090" t="str">
        <f>VLOOKUP(C1090,[1]products!$A:$B,2,FALSE)</f>
        <v>Electra Moto 1 - 2016</v>
      </c>
      <c r="I1090">
        <f>VLOOKUP(C1090,[1]products!$A:$D,4,FALSE)</f>
        <v>3</v>
      </c>
      <c r="J1090" t="str">
        <f>VLOOKUP(I1090,[2]categories!$A$1:$B$8,2,FALSE)</f>
        <v>Cruisers Bicycles</v>
      </c>
    </row>
    <row r="1091" customHeight="1" spans="1:10">
      <c r="A1091" s="1">
        <v>389</v>
      </c>
      <c r="B1091" s="1">
        <v>3</v>
      </c>
      <c r="C1091" s="1">
        <v>10</v>
      </c>
      <c r="D1091" s="1">
        <v>2</v>
      </c>
      <c r="E1091" s="1">
        <v>1549</v>
      </c>
      <c r="F1091" s="1">
        <v>0.05</v>
      </c>
      <c r="G1091">
        <f t="shared" ref="G1091:G1154" si="17">(E1091*D1091)-F1091</f>
        <v>3097.95</v>
      </c>
      <c r="H1091" t="str">
        <f>VLOOKUP(C1091,[1]products!$A:$B,2,FALSE)</f>
        <v>Surly Straggler - 2016</v>
      </c>
      <c r="I1091">
        <f>VLOOKUP(C1091,[1]products!$A:$D,4,FALSE)</f>
        <v>4</v>
      </c>
      <c r="J1091" t="str">
        <f>VLOOKUP(I1091,[2]categories!$A$1:$B$8,2,FALSE)</f>
        <v>Cyclocross Bicycles</v>
      </c>
    </row>
    <row r="1092" customHeight="1" spans="1:10">
      <c r="A1092" s="1">
        <v>389</v>
      </c>
      <c r="B1092" s="1">
        <v>4</v>
      </c>
      <c r="C1092" s="1">
        <v>5</v>
      </c>
      <c r="D1092" s="1">
        <v>1</v>
      </c>
      <c r="E1092" s="1">
        <v>1320.99</v>
      </c>
      <c r="F1092" s="1">
        <v>0.05</v>
      </c>
      <c r="G1092">
        <f t="shared" si="17"/>
        <v>1320.94</v>
      </c>
      <c r="H1092" t="str">
        <f>VLOOKUP(C1092,[1]products!$A:$B,2,FALSE)</f>
        <v>Heller Shagamaw Frame - 2016</v>
      </c>
      <c r="I1092">
        <f>VLOOKUP(C1092,[1]products!$A:$D,4,FALSE)</f>
        <v>6</v>
      </c>
      <c r="J1092" t="str">
        <f>VLOOKUP(I1092,[2]categories!$A$1:$B$8,2,FALSE)</f>
        <v>Mountain Bikes</v>
      </c>
    </row>
    <row r="1093" customHeight="1" spans="1:10">
      <c r="A1093" s="1">
        <v>389</v>
      </c>
      <c r="B1093" s="1">
        <v>5</v>
      </c>
      <c r="C1093" s="1">
        <v>9</v>
      </c>
      <c r="D1093" s="1">
        <v>1</v>
      </c>
      <c r="E1093" s="1">
        <v>2999.99</v>
      </c>
      <c r="F1093" s="1">
        <v>0.2</v>
      </c>
      <c r="G1093">
        <f t="shared" si="17"/>
        <v>2999.79</v>
      </c>
      <c r="H1093" t="str">
        <f>VLOOKUP(C1093,[1]products!$A:$B,2,FALSE)</f>
        <v>Trek Conduit+ - 2016</v>
      </c>
      <c r="I1093">
        <f>VLOOKUP(C1093,[1]products!$A:$D,4,FALSE)</f>
        <v>5</v>
      </c>
      <c r="J1093" t="str">
        <f>VLOOKUP(I1093,[2]categories!$A$1:$B$8,2,FALSE)</f>
        <v>Electric Bikes</v>
      </c>
    </row>
    <row r="1094" customHeight="1" spans="1:10">
      <c r="A1094" s="1">
        <v>390</v>
      </c>
      <c r="B1094" s="1">
        <v>1</v>
      </c>
      <c r="C1094" s="1">
        <v>23</v>
      </c>
      <c r="D1094" s="1">
        <v>1</v>
      </c>
      <c r="E1094" s="1">
        <v>299.99</v>
      </c>
      <c r="F1094" s="1">
        <v>0.05</v>
      </c>
      <c r="G1094">
        <f t="shared" si="17"/>
        <v>299.94</v>
      </c>
      <c r="H1094" t="str">
        <f>VLOOKUP(C1094,[1]products!$A:$B,2,FALSE)</f>
        <v>Electra Girl's Hawaii 1 (20-inch) - 2015/2016</v>
      </c>
      <c r="I1094">
        <f>VLOOKUP(C1094,[1]products!$A:$D,4,FALSE)</f>
        <v>1</v>
      </c>
      <c r="J1094" t="str">
        <f>VLOOKUP(I1094,[2]categories!$A$1:$B$8,2,FALSE)</f>
        <v>Children Bicycles</v>
      </c>
    </row>
    <row r="1095" customHeight="1" spans="1:10">
      <c r="A1095" s="1">
        <v>390</v>
      </c>
      <c r="B1095" s="1">
        <v>2</v>
      </c>
      <c r="C1095" s="1">
        <v>7</v>
      </c>
      <c r="D1095" s="1">
        <v>2</v>
      </c>
      <c r="E1095" s="1">
        <v>3999.99</v>
      </c>
      <c r="F1095" s="1">
        <v>0.07</v>
      </c>
      <c r="G1095">
        <f t="shared" si="17"/>
        <v>7999.91</v>
      </c>
      <c r="H1095" t="str">
        <f>VLOOKUP(C1095,[1]products!$A:$B,2,FALSE)</f>
        <v>Trek Slash 8 27.5 - 2016</v>
      </c>
      <c r="I1095">
        <f>VLOOKUP(C1095,[1]products!$A:$D,4,FALSE)</f>
        <v>6</v>
      </c>
      <c r="J1095" t="str">
        <f>VLOOKUP(I1095,[2]categories!$A$1:$B$8,2,FALSE)</f>
        <v>Mountain Bikes</v>
      </c>
    </row>
    <row r="1096" customHeight="1" spans="1:10">
      <c r="A1096" s="1">
        <v>390</v>
      </c>
      <c r="B1096" s="1">
        <v>3</v>
      </c>
      <c r="C1096" s="1">
        <v>9</v>
      </c>
      <c r="D1096" s="1">
        <v>1</v>
      </c>
      <c r="E1096" s="1">
        <v>2999.99</v>
      </c>
      <c r="F1096" s="1">
        <v>0.05</v>
      </c>
      <c r="G1096">
        <f t="shared" si="17"/>
        <v>2999.94</v>
      </c>
      <c r="H1096" t="str">
        <f>VLOOKUP(C1096,[1]products!$A:$B,2,FALSE)</f>
        <v>Trek Conduit+ - 2016</v>
      </c>
      <c r="I1096">
        <f>VLOOKUP(C1096,[1]products!$A:$D,4,FALSE)</f>
        <v>5</v>
      </c>
      <c r="J1096" t="str">
        <f>VLOOKUP(I1096,[2]categories!$A$1:$B$8,2,FALSE)</f>
        <v>Electric Bikes</v>
      </c>
    </row>
    <row r="1097" customHeight="1" spans="1:10">
      <c r="A1097" s="1">
        <v>391</v>
      </c>
      <c r="B1097" s="1">
        <v>1</v>
      </c>
      <c r="C1097" s="1">
        <v>8</v>
      </c>
      <c r="D1097" s="1">
        <v>1</v>
      </c>
      <c r="E1097" s="1">
        <v>1799.99</v>
      </c>
      <c r="F1097" s="1">
        <v>0.07</v>
      </c>
      <c r="G1097">
        <f t="shared" si="17"/>
        <v>1799.92</v>
      </c>
      <c r="H1097" t="str">
        <f>VLOOKUP(C1097,[1]products!$A:$B,2,FALSE)</f>
        <v>Trek Remedy 29 Carbon Frameset - 2016</v>
      </c>
      <c r="I1097">
        <f>VLOOKUP(C1097,[1]products!$A:$D,4,FALSE)</f>
        <v>6</v>
      </c>
      <c r="J1097" t="str">
        <f>VLOOKUP(I1097,[2]categories!$A$1:$B$8,2,FALSE)</f>
        <v>Mountain Bikes</v>
      </c>
    </row>
    <row r="1098" customHeight="1" spans="1:10">
      <c r="A1098" s="1">
        <v>391</v>
      </c>
      <c r="B1098" s="1">
        <v>2</v>
      </c>
      <c r="C1098" s="1">
        <v>5</v>
      </c>
      <c r="D1098" s="1">
        <v>2</v>
      </c>
      <c r="E1098" s="1">
        <v>1320.99</v>
      </c>
      <c r="F1098" s="1">
        <v>0.2</v>
      </c>
      <c r="G1098">
        <f t="shared" si="17"/>
        <v>2641.78</v>
      </c>
      <c r="H1098" t="str">
        <f>VLOOKUP(C1098,[1]products!$A:$B,2,FALSE)</f>
        <v>Heller Shagamaw Frame - 2016</v>
      </c>
      <c r="I1098">
        <f>VLOOKUP(C1098,[1]products!$A:$D,4,FALSE)</f>
        <v>6</v>
      </c>
      <c r="J1098" t="str">
        <f>VLOOKUP(I1098,[2]categories!$A$1:$B$8,2,FALSE)</f>
        <v>Mountain Bikes</v>
      </c>
    </row>
    <row r="1099" customHeight="1" spans="1:10">
      <c r="A1099" s="1">
        <v>391</v>
      </c>
      <c r="B1099" s="1">
        <v>3</v>
      </c>
      <c r="C1099" s="1">
        <v>24</v>
      </c>
      <c r="D1099" s="1">
        <v>2</v>
      </c>
      <c r="E1099" s="1">
        <v>549.99</v>
      </c>
      <c r="F1099" s="1">
        <v>0.07</v>
      </c>
      <c r="G1099">
        <f t="shared" si="17"/>
        <v>1099.91</v>
      </c>
      <c r="H1099" t="str">
        <f>VLOOKUP(C1099,[1]products!$A:$B,2,FALSE)</f>
        <v>Electra Townie Original 21D - 2016</v>
      </c>
      <c r="I1099">
        <f>VLOOKUP(C1099,[1]products!$A:$D,4,FALSE)</f>
        <v>2</v>
      </c>
      <c r="J1099" t="str">
        <f>VLOOKUP(I1099,[2]categories!$A$1:$B$8,2,FALSE)</f>
        <v>Comfort Bicycles</v>
      </c>
    </row>
    <row r="1100" customHeight="1" spans="1:10">
      <c r="A1100" s="1">
        <v>392</v>
      </c>
      <c r="B1100" s="1">
        <v>1</v>
      </c>
      <c r="C1100" s="1">
        <v>14</v>
      </c>
      <c r="D1100" s="1">
        <v>2</v>
      </c>
      <c r="E1100" s="1">
        <v>269.99</v>
      </c>
      <c r="F1100" s="1">
        <v>0.1</v>
      </c>
      <c r="G1100">
        <f t="shared" si="17"/>
        <v>539.88</v>
      </c>
      <c r="H1100" t="str">
        <f>VLOOKUP(C1100,[1]products!$A:$B,2,FALSE)</f>
        <v>Electra Girl's Hawaii 1 (16-inch) - 2015/2016</v>
      </c>
      <c r="I1100">
        <f>VLOOKUP(C1100,[1]products!$A:$D,4,FALSE)</f>
        <v>3</v>
      </c>
      <c r="J1100" t="str">
        <f>VLOOKUP(I1100,[2]categories!$A$1:$B$8,2,FALSE)</f>
        <v>Cruisers Bicycles</v>
      </c>
    </row>
    <row r="1101" customHeight="1" spans="1:10">
      <c r="A1101" s="1">
        <v>392</v>
      </c>
      <c r="B1101" s="1">
        <v>2</v>
      </c>
      <c r="C1101" s="1">
        <v>3</v>
      </c>
      <c r="D1101" s="1">
        <v>2</v>
      </c>
      <c r="E1101" s="1">
        <v>999.99</v>
      </c>
      <c r="F1101" s="1">
        <v>0.05</v>
      </c>
      <c r="G1101">
        <f t="shared" si="17"/>
        <v>1999.93</v>
      </c>
      <c r="H1101" t="str">
        <f>VLOOKUP(C1101,[1]products!$A:$B,2,FALSE)</f>
        <v>Surly Wednesday Frameset - 2016</v>
      </c>
      <c r="I1101">
        <f>VLOOKUP(C1101,[1]products!$A:$D,4,FALSE)</f>
        <v>6</v>
      </c>
      <c r="J1101" t="str">
        <f>VLOOKUP(I1101,[2]categories!$A$1:$B$8,2,FALSE)</f>
        <v>Mountain Bikes</v>
      </c>
    </row>
    <row r="1102" customHeight="1" spans="1:10">
      <c r="A1102" s="1">
        <v>393</v>
      </c>
      <c r="B1102" s="1">
        <v>1</v>
      </c>
      <c r="C1102" s="1">
        <v>6</v>
      </c>
      <c r="D1102" s="1">
        <v>2</v>
      </c>
      <c r="E1102" s="1">
        <v>469.99</v>
      </c>
      <c r="F1102" s="1">
        <v>0.2</v>
      </c>
      <c r="G1102">
        <f t="shared" si="17"/>
        <v>939.78</v>
      </c>
      <c r="H1102" t="str">
        <f>VLOOKUP(C1102,[1]products!$A:$B,2,FALSE)</f>
        <v>Surly Ice Cream Truck Frameset - 2016</v>
      </c>
      <c r="I1102">
        <f>VLOOKUP(C1102,[1]products!$A:$D,4,FALSE)</f>
        <v>6</v>
      </c>
      <c r="J1102" t="str">
        <f>VLOOKUP(I1102,[2]categories!$A$1:$B$8,2,FALSE)</f>
        <v>Mountain Bikes</v>
      </c>
    </row>
    <row r="1103" customHeight="1" spans="1:10">
      <c r="A1103" s="1">
        <v>394</v>
      </c>
      <c r="B1103" s="1">
        <v>1</v>
      </c>
      <c r="C1103" s="1">
        <v>23</v>
      </c>
      <c r="D1103" s="1">
        <v>1</v>
      </c>
      <c r="E1103" s="1">
        <v>299.99</v>
      </c>
      <c r="F1103" s="1">
        <v>0.05</v>
      </c>
      <c r="G1103">
        <f t="shared" si="17"/>
        <v>299.94</v>
      </c>
      <c r="H1103" t="str">
        <f>VLOOKUP(C1103,[1]products!$A:$B,2,FALSE)</f>
        <v>Electra Girl's Hawaii 1 (20-inch) - 2015/2016</v>
      </c>
      <c r="I1103">
        <f>VLOOKUP(C1103,[1]products!$A:$D,4,FALSE)</f>
        <v>1</v>
      </c>
      <c r="J1103" t="str">
        <f>VLOOKUP(I1103,[2]categories!$A$1:$B$8,2,FALSE)</f>
        <v>Children Bicycles</v>
      </c>
    </row>
    <row r="1104" customHeight="1" spans="1:10">
      <c r="A1104" s="1">
        <v>394</v>
      </c>
      <c r="B1104" s="1">
        <v>2</v>
      </c>
      <c r="C1104" s="1">
        <v>16</v>
      </c>
      <c r="D1104" s="1">
        <v>1</v>
      </c>
      <c r="E1104" s="1">
        <v>599.99</v>
      </c>
      <c r="F1104" s="1">
        <v>0.2</v>
      </c>
      <c r="G1104">
        <f t="shared" si="17"/>
        <v>599.79</v>
      </c>
      <c r="H1104" t="str">
        <f>VLOOKUP(C1104,[1]products!$A:$B,2,FALSE)</f>
        <v>Electra Townie Original 7D EQ - 2016</v>
      </c>
      <c r="I1104">
        <f>VLOOKUP(C1104,[1]products!$A:$D,4,FALSE)</f>
        <v>3</v>
      </c>
      <c r="J1104" t="str">
        <f>VLOOKUP(I1104,[2]categories!$A$1:$B$8,2,FALSE)</f>
        <v>Cruisers Bicycles</v>
      </c>
    </row>
    <row r="1105" customHeight="1" spans="1:10">
      <c r="A1105" s="1">
        <v>394</v>
      </c>
      <c r="B1105" s="1">
        <v>3</v>
      </c>
      <c r="C1105" s="1">
        <v>14</v>
      </c>
      <c r="D1105" s="1">
        <v>2</v>
      </c>
      <c r="E1105" s="1">
        <v>269.99</v>
      </c>
      <c r="F1105" s="1">
        <v>0.2</v>
      </c>
      <c r="G1105">
        <f t="shared" si="17"/>
        <v>539.78</v>
      </c>
      <c r="H1105" t="str">
        <f>VLOOKUP(C1105,[1]products!$A:$B,2,FALSE)</f>
        <v>Electra Girl's Hawaii 1 (16-inch) - 2015/2016</v>
      </c>
      <c r="I1105">
        <f>VLOOKUP(C1105,[1]products!$A:$D,4,FALSE)</f>
        <v>3</v>
      </c>
      <c r="J1105" t="str">
        <f>VLOOKUP(I1105,[2]categories!$A$1:$B$8,2,FALSE)</f>
        <v>Cruisers Bicycles</v>
      </c>
    </row>
    <row r="1106" customHeight="1" spans="1:10">
      <c r="A1106" s="1">
        <v>395</v>
      </c>
      <c r="B1106" s="1">
        <v>1</v>
      </c>
      <c r="C1106" s="1">
        <v>14</v>
      </c>
      <c r="D1106" s="1">
        <v>1</v>
      </c>
      <c r="E1106" s="1">
        <v>269.99</v>
      </c>
      <c r="F1106" s="1">
        <v>0.05</v>
      </c>
      <c r="G1106">
        <f t="shared" si="17"/>
        <v>269.94</v>
      </c>
      <c r="H1106" t="str">
        <f>VLOOKUP(C1106,[1]products!$A:$B,2,FALSE)</f>
        <v>Electra Girl's Hawaii 1 (16-inch) - 2015/2016</v>
      </c>
      <c r="I1106">
        <f>VLOOKUP(C1106,[1]products!$A:$D,4,FALSE)</f>
        <v>3</v>
      </c>
      <c r="J1106" t="str">
        <f>VLOOKUP(I1106,[2]categories!$A$1:$B$8,2,FALSE)</f>
        <v>Cruisers Bicycles</v>
      </c>
    </row>
    <row r="1107" customHeight="1" spans="1:10">
      <c r="A1107" s="1">
        <v>396</v>
      </c>
      <c r="B1107" s="1">
        <v>1</v>
      </c>
      <c r="C1107" s="1">
        <v>12</v>
      </c>
      <c r="D1107" s="1">
        <v>1</v>
      </c>
      <c r="E1107" s="1">
        <v>549.99</v>
      </c>
      <c r="F1107" s="1">
        <v>0.1</v>
      </c>
      <c r="G1107">
        <f t="shared" si="17"/>
        <v>549.89</v>
      </c>
      <c r="H1107" t="str">
        <f>VLOOKUP(C1107,[1]products!$A:$B,2,FALSE)</f>
        <v>Electra Townie Original 21D - 2016</v>
      </c>
      <c r="I1107">
        <f>VLOOKUP(C1107,[1]products!$A:$D,4,FALSE)</f>
        <v>3</v>
      </c>
      <c r="J1107" t="str">
        <f>VLOOKUP(I1107,[2]categories!$A$1:$B$8,2,FALSE)</f>
        <v>Cruisers Bicycles</v>
      </c>
    </row>
    <row r="1108" customHeight="1" spans="1:10">
      <c r="A1108" s="1">
        <v>396</v>
      </c>
      <c r="B1108" s="1">
        <v>2</v>
      </c>
      <c r="C1108" s="1">
        <v>25</v>
      </c>
      <c r="D1108" s="1">
        <v>2</v>
      </c>
      <c r="E1108" s="1">
        <v>499.99</v>
      </c>
      <c r="F1108" s="1">
        <v>0.05</v>
      </c>
      <c r="G1108">
        <f t="shared" si="17"/>
        <v>999.93</v>
      </c>
      <c r="H1108" t="str">
        <f>VLOOKUP(C1108,[1]products!$A:$B,2,FALSE)</f>
        <v>Electra Townie Original 7D - 2015/2016</v>
      </c>
      <c r="I1108">
        <f>VLOOKUP(C1108,[1]products!$A:$D,4,FALSE)</f>
        <v>2</v>
      </c>
      <c r="J1108" t="str">
        <f>VLOOKUP(I1108,[2]categories!$A$1:$B$8,2,FALSE)</f>
        <v>Comfort Bicycles</v>
      </c>
    </row>
    <row r="1109" customHeight="1" spans="1:10">
      <c r="A1109" s="1">
        <v>396</v>
      </c>
      <c r="B1109" s="1">
        <v>3</v>
      </c>
      <c r="C1109" s="1">
        <v>5</v>
      </c>
      <c r="D1109" s="1">
        <v>1</v>
      </c>
      <c r="E1109" s="1">
        <v>1320.99</v>
      </c>
      <c r="F1109" s="1">
        <v>0.2</v>
      </c>
      <c r="G1109">
        <f t="shared" si="17"/>
        <v>1320.79</v>
      </c>
      <c r="H1109" t="str">
        <f>VLOOKUP(C1109,[1]products!$A:$B,2,FALSE)</f>
        <v>Heller Shagamaw Frame - 2016</v>
      </c>
      <c r="I1109">
        <f>VLOOKUP(C1109,[1]products!$A:$D,4,FALSE)</f>
        <v>6</v>
      </c>
      <c r="J1109" t="str">
        <f>VLOOKUP(I1109,[2]categories!$A$1:$B$8,2,FALSE)</f>
        <v>Mountain Bikes</v>
      </c>
    </row>
    <row r="1110" customHeight="1" spans="1:10">
      <c r="A1110" s="1">
        <v>397</v>
      </c>
      <c r="B1110" s="1">
        <v>1</v>
      </c>
      <c r="C1110" s="1">
        <v>7</v>
      </c>
      <c r="D1110" s="1">
        <v>1</v>
      </c>
      <c r="E1110" s="1">
        <v>3999.99</v>
      </c>
      <c r="F1110" s="1">
        <v>0.05</v>
      </c>
      <c r="G1110">
        <f t="shared" si="17"/>
        <v>3999.94</v>
      </c>
      <c r="H1110" t="str">
        <f>VLOOKUP(C1110,[1]products!$A:$B,2,FALSE)</f>
        <v>Trek Slash 8 27.5 - 2016</v>
      </c>
      <c r="I1110">
        <f>VLOOKUP(C1110,[1]products!$A:$D,4,FALSE)</f>
        <v>6</v>
      </c>
      <c r="J1110" t="str">
        <f>VLOOKUP(I1110,[2]categories!$A$1:$B$8,2,FALSE)</f>
        <v>Mountain Bikes</v>
      </c>
    </row>
    <row r="1111" customHeight="1" spans="1:10">
      <c r="A1111" s="1">
        <v>398</v>
      </c>
      <c r="B1111" s="1">
        <v>1</v>
      </c>
      <c r="C1111" s="1">
        <v>8</v>
      </c>
      <c r="D1111" s="1">
        <v>2</v>
      </c>
      <c r="E1111" s="1">
        <v>1799.99</v>
      </c>
      <c r="F1111" s="1">
        <v>0.05</v>
      </c>
      <c r="G1111">
        <f t="shared" si="17"/>
        <v>3599.93</v>
      </c>
      <c r="H1111" t="str">
        <f>VLOOKUP(C1111,[1]products!$A:$B,2,FALSE)</f>
        <v>Trek Remedy 29 Carbon Frameset - 2016</v>
      </c>
      <c r="I1111">
        <f>VLOOKUP(C1111,[1]products!$A:$D,4,FALSE)</f>
        <v>6</v>
      </c>
      <c r="J1111" t="str">
        <f>VLOOKUP(I1111,[2]categories!$A$1:$B$8,2,FALSE)</f>
        <v>Mountain Bikes</v>
      </c>
    </row>
    <row r="1112" customHeight="1" spans="1:10">
      <c r="A1112" s="1">
        <v>398</v>
      </c>
      <c r="B1112" s="1">
        <v>2</v>
      </c>
      <c r="C1112" s="1">
        <v>18</v>
      </c>
      <c r="D1112" s="1">
        <v>2</v>
      </c>
      <c r="E1112" s="1">
        <v>449</v>
      </c>
      <c r="F1112" s="1">
        <v>0.05</v>
      </c>
      <c r="G1112">
        <f t="shared" si="17"/>
        <v>897.95</v>
      </c>
      <c r="H1112" t="str">
        <f>VLOOKUP(C1112,[1]products!$A:$B,2,FALSE)</f>
        <v>Pure Cycles Western 3-Speed - Women's - 2015/2016</v>
      </c>
      <c r="I1112">
        <f>VLOOKUP(C1112,[1]products!$A:$D,4,FALSE)</f>
        <v>3</v>
      </c>
      <c r="J1112" t="str">
        <f>VLOOKUP(I1112,[2]categories!$A$1:$B$8,2,FALSE)</f>
        <v>Cruisers Bicycles</v>
      </c>
    </row>
    <row r="1113" customHeight="1" spans="1:10">
      <c r="A1113" s="1">
        <v>398</v>
      </c>
      <c r="B1113" s="1">
        <v>3</v>
      </c>
      <c r="C1113" s="1">
        <v>25</v>
      </c>
      <c r="D1113" s="1">
        <v>1</v>
      </c>
      <c r="E1113" s="1">
        <v>499.99</v>
      </c>
      <c r="F1113" s="1">
        <v>0.2</v>
      </c>
      <c r="G1113">
        <f t="shared" si="17"/>
        <v>499.79</v>
      </c>
      <c r="H1113" t="str">
        <f>VLOOKUP(C1113,[1]products!$A:$B,2,FALSE)</f>
        <v>Electra Townie Original 7D - 2015/2016</v>
      </c>
      <c r="I1113">
        <f>VLOOKUP(C1113,[1]products!$A:$D,4,FALSE)</f>
        <v>2</v>
      </c>
      <c r="J1113" t="str">
        <f>VLOOKUP(I1113,[2]categories!$A$1:$B$8,2,FALSE)</f>
        <v>Comfort Bicycles</v>
      </c>
    </row>
    <row r="1114" customHeight="1" spans="1:10">
      <c r="A1114" s="1">
        <v>398</v>
      </c>
      <c r="B1114" s="1">
        <v>4</v>
      </c>
      <c r="C1114" s="1">
        <v>17</v>
      </c>
      <c r="D1114" s="1">
        <v>1</v>
      </c>
      <c r="E1114" s="1">
        <v>429</v>
      </c>
      <c r="F1114" s="1">
        <v>0.05</v>
      </c>
      <c r="G1114">
        <f t="shared" si="17"/>
        <v>428.95</v>
      </c>
      <c r="H1114" t="str">
        <f>VLOOKUP(C1114,[1]products!$A:$B,2,FALSE)</f>
        <v>Pure Cycles Vine 8-Speed - 2016</v>
      </c>
      <c r="I1114">
        <f>VLOOKUP(C1114,[1]products!$A:$D,4,FALSE)</f>
        <v>3</v>
      </c>
      <c r="J1114" t="str">
        <f>VLOOKUP(I1114,[2]categories!$A$1:$B$8,2,FALSE)</f>
        <v>Cruisers Bicycles</v>
      </c>
    </row>
    <row r="1115" customHeight="1" spans="1:10">
      <c r="A1115" s="1">
        <v>399</v>
      </c>
      <c r="B1115" s="1">
        <v>1</v>
      </c>
      <c r="C1115" s="1">
        <v>25</v>
      </c>
      <c r="D1115" s="1">
        <v>1</v>
      </c>
      <c r="E1115" s="1">
        <v>499.99</v>
      </c>
      <c r="F1115" s="1">
        <v>0.05</v>
      </c>
      <c r="G1115">
        <f t="shared" si="17"/>
        <v>499.94</v>
      </c>
      <c r="H1115" t="str">
        <f>VLOOKUP(C1115,[1]products!$A:$B,2,FALSE)</f>
        <v>Electra Townie Original 7D - 2015/2016</v>
      </c>
      <c r="I1115">
        <f>VLOOKUP(C1115,[1]products!$A:$D,4,FALSE)</f>
        <v>2</v>
      </c>
      <c r="J1115" t="str">
        <f>VLOOKUP(I1115,[2]categories!$A$1:$B$8,2,FALSE)</f>
        <v>Comfort Bicycles</v>
      </c>
    </row>
    <row r="1116" customHeight="1" spans="1:10">
      <c r="A1116" s="1">
        <v>399</v>
      </c>
      <c r="B1116" s="1">
        <v>2</v>
      </c>
      <c r="C1116" s="1">
        <v>11</v>
      </c>
      <c r="D1116" s="1">
        <v>2</v>
      </c>
      <c r="E1116" s="1">
        <v>1680.99</v>
      </c>
      <c r="F1116" s="1">
        <v>0.05</v>
      </c>
      <c r="G1116">
        <f t="shared" si="17"/>
        <v>3361.93</v>
      </c>
      <c r="H1116" t="str">
        <f>VLOOKUP(C1116,[1]products!$A:$B,2,FALSE)</f>
        <v>Surly Straggler 650b - 2016</v>
      </c>
      <c r="I1116">
        <f>VLOOKUP(C1116,[1]products!$A:$D,4,FALSE)</f>
        <v>4</v>
      </c>
      <c r="J1116" t="str">
        <f>VLOOKUP(I1116,[2]categories!$A$1:$B$8,2,FALSE)</f>
        <v>Cyclocross Bicycles</v>
      </c>
    </row>
    <row r="1117" customHeight="1" spans="1:10">
      <c r="A1117" s="1">
        <v>399</v>
      </c>
      <c r="B1117" s="1">
        <v>3</v>
      </c>
      <c r="C1117" s="1">
        <v>14</v>
      </c>
      <c r="D1117" s="1">
        <v>1</v>
      </c>
      <c r="E1117" s="1">
        <v>269.99</v>
      </c>
      <c r="F1117" s="1">
        <v>0.1</v>
      </c>
      <c r="G1117">
        <f t="shared" si="17"/>
        <v>269.89</v>
      </c>
      <c r="H1117" t="str">
        <f>VLOOKUP(C1117,[1]products!$A:$B,2,FALSE)</f>
        <v>Electra Girl's Hawaii 1 (16-inch) - 2015/2016</v>
      </c>
      <c r="I1117">
        <f>VLOOKUP(C1117,[1]products!$A:$D,4,FALSE)</f>
        <v>3</v>
      </c>
      <c r="J1117" t="str">
        <f>VLOOKUP(I1117,[2]categories!$A$1:$B$8,2,FALSE)</f>
        <v>Cruisers Bicycles</v>
      </c>
    </row>
    <row r="1118" customHeight="1" spans="1:10">
      <c r="A1118" s="1">
        <v>400</v>
      </c>
      <c r="B1118" s="1">
        <v>1</v>
      </c>
      <c r="C1118" s="1">
        <v>24</v>
      </c>
      <c r="D1118" s="1">
        <v>2</v>
      </c>
      <c r="E1118" s="1">
        <v>549.99</v>
      </c>
      <c r="F1118" s="1">
        <v>0.07</v>
      </c>
      <c r="G1118">
        <f t="shared" si="17"/>
        <v>1099.91</v>
      </c>
      <c r="H1118" t="str">
        <f>VLOOKUP(C1118,[1]products!$A:$B,2,FALSE)</f>
        <v>Electra Townie Original 21D - 2016</v>
      </c>
      <c r="I1118">
        <f>VLOOKUP(C1118,[1]products!$A:$D,4,FALSE)</f>
        <v>2</v>
      </c>
      <c r="J1118" t="str">
        <f>VLOOKUP(I1118,[2]categories!$A$1:$B$8,2,FALSE)</f>
        <v>Comfort Bicycles</v>
      </c>
    </row>
    <row r="1119" customHeight="1" spans="1:10">
      <c r="A1119" s="1">
        <v>400</v>
      </c>
      <c r="B1119" s="1">
        <v>2</v>
      </c>
      <c r="C1119" s="1">
        <v>9</v>
      </c>
      <c r="D1119" s="1">
        <v>1</v>
      </c>
      <c r="E1119" s="1">
        <v>2999.99</v>
      </c>
      <c r="F1119" s="1">
        <v>0.2</v>
      </c>
      <c r="G1119">
        <f t="shared" si="17"/>
        <v>2999.79</v>
      </c>
      <c r="H1119" t="str">
        <f>VLOOKUP(C1119,[1]products!$A:$B,2,FALSE)</f>
        <v>Trek Conduit+ - 2016</v>
      </c>
      <c r="I1119">
        <f>VLOOKUP(C1119,[1]products!$A:$D,4,FALSE)</f>
        <v>5</v>
      </c>
      <c r="J1119" t="str">
        <f>VLOOKUP(I1119,[2]categories!$A$1:$B$8,2,FALSE)</f>
        <v>Electric Bikes</v>
      </c>
    </row>
    <row r="1120" customHeight="1" spans="1:10">
      <c r="A1120" s="1">
        <v>400</v>
      </c>
      <c r="B1120" s="1">
        <v>3</v>
      </c>
      <c r="C1120" s="1">
        <v>3</v>
      </c>
      <c r="D1120" s="1">
        <v>2</v>
      </c>
      <c r="E1120" s="1">
        <v>999.99</v>
      </c>
      <c r="F1120" s="1">
        <v>0.2</v>
      </c>
      <c r="G1120">
        <f t="shared" si="17"/>
        <v>1999.78</v>
      </c>
      <c r="H1120" t="str">
        <f>VLOOKUP(C1120,[1]products!$A:$B,2,FALSE)</f>
        <v>Surly Wednesday Frameset - 2016</v>
      </c>
      <c r="I1120">
        <f>VLOOKUP(C1120,[1]products!$A:$D,4,FALSE)</f>
        <v>6</v>
      </c>
      <c r="J1120" t="str">
        <f>VLOOKUP(I1120,[2]categories!$A$1:$B$8,2,FALSE)</f>
        <v>Mountain Bikes</v>
      </c>
    </row>
    <row r="1121" customHeight="1" spans="1:10">
      <c r="A1121" s="1">
        <v>401</v>
      </c>
      <c r="B1121" s="1">
        <v>1</v>
      </c>
      <c r="C1121" s="1">
        <v>23</v>
      </c>
      <c r="D1121" s="1">
        <v>1</v>
      </c>
      <c r="E1121" s="1">
        <v>299.99</v>
      </c>
      <c r="F1121" s="1">
        <v>0.2</v>
      </c>
      <c r="G1121">
        <f t="shared" si="17"/>
        <v>299.79</v>
      </c>
      <c r="H1121" t="str">
        <f>VLOOKUP(C1121,[1]products!$A:$B,2,FALSE)</f>
        <v>Electra Girl's Hawaii 1 (20-inch) - 2015/2016</v>
      </c>
      <c r="I1121">
        <f>VLOOKUP(C1121,[1]products!$A:$D,4,FALSE)</f>
        <v>1</v>
      </c>
      <c r="J1121" t="str">
        <f>VLOOKUP(I1121,[2]categories!$A$1:$B$8,2,FALSE)</f>
        <v>Children Bicycles</v>
      </c>
    </row>
    <row r="1122" customHeight="1" spans="1:10">
      <c r="A1122" s="1">
        <v>401</v>
      </c>
      <c r="B1122" s="1">
        <v>2</v>
      </c>
      <c r="C1122" s="1">
        <v>10</v>
      </c>
      <c r="D1122" s="1">
        <v>2</v>
      </c>
      <c r="E1122" s="1">
        <v>1549</v>
      </c>
      <c r="F1122" s="1">
        <v>0.2</v>
      </c>
      <c r="G1122">
        <f t="shared" si="17"/>
        <v>3097.8</v>
      </c>
      <c r="H1122" t="str">
        <f>VLOOKUP(C1122,[1]products!$A:$B,2,FALSE)</f>
        <v>Surly Straggler - 2016</v>
      </c>
      <c r="I1122">
        <f>VLOOKUP(C1122,[1]products!$A:$D,4,FALSE)</f>
        <v>4</v>
      </c>
      <c r="J1122" t="str">
        <f>VLOOKUP(I1122,[2]categories!$A$1:$B$8,2,FALSE)</f>
        <v>Cyclocross Bicycles</v>
      </c>
    </row>
    <row r="1123" customHeight="1" spans="1:10">
      <c r="A1123" s="1">
        <v>402</v>
      </c>
      <c r="B1123" s="1">
        <v>1</v>
      </c>
      <c r="C1123" s="1">
        <v>6</v>
      </c>
      <c r="D1123" s="1">
        <v>2</v>
      </c>
      <c r="E1123" s="1">
        <v>469.99</v>
      </c>
      <c r="F1123" s="1">
        <v>0.07</v>
      </c>
      <c r="G1123">
        <f t="shared" si="17"/>
        <v>939.91</v>
      </c>
      <c r="H1123" t="str">
        <f>VLOOKUP(C1123,[1]products!$A:$B,2,FALSE)</f>
        <v>Surly Ice Cream Truck Frameset - 2016</v>
      </c>
      <c r="I1123">
        <f>VLOOKUP(C1123,[1]products!$A:$D,4,FALSE)</f>
        <v>6</v>
      </c>
      <c r="J1123" t="str">
        <f>VLOOKUP(I1123,[2]categories!$A$1:$B$8,2,FALSE)</f>
        <v>Mountain Bikes</v>
      </c>
    </row>
    <row r="1124" customHeight="1" spans="1:10">
      <c r="A1124" s="1">
        <v>402</v>
      </c>
      <c r="B1124" s="1">
        <v>2</v>
      </c>
      <c r="C1124" s="1">
        <v>5</v>
      </c>
      <c r="D1124" s="1">
        <v>1</v>
      </c>
      <c r="E1124" s="1">
        <v>1320.99</v>
      </c>
      <c r="F1124" s="1">
        <v>0.07</v>
      </c>
      <c r="G1124">
        <f t="shared" si="17"/>
        <v>1320.92</v>
      </c>
      <c r="H1124" t="str">
        <f>VLOOKUP(C1124,[1]products!$A:$B,2,FALSE)</f>
        <v>Heller Shagamaw Frame - 2016</v>
      </c>
      <c r="I1124">
        <f>VLOOKUP(C1124,[1]products!$A:$D,4,FALSE)</f>
        <v>6</v>
      </c>
      <c r="J1124" t="str">
        <f>VLOOKUP(I1124,[2]categories!$A$1:$B$8,2,FALSE)</f>
        <v>Mountain Bikes</v>
      </c>
    </row>
    <row r="1125" customHeight="1" spans="1:10">
      <c r="A1125" s="1">
        <v>402</v>
      </c>
      <c r="B1125" s="1">
        <v>3</v>
      </c>
      <c r="C1125" s="1">
        <v>26</v>
      </c>
      <c r="D1125" s="1">
        <v>1</v>
      </c>
      <c r="E1125" s="1">
        <v>599.99</v>
      </c>
      <c r="F1125" s="1">
        <v>0.05</v>
      </c>
      <c r="G1125">
        <f t="shared" si="17"/>
        <v>599.94</v>
      </c>
      <c r="H1125" t="str">
        <f>VLOOKUP(C1125,[1]products!$A:$B,2,FALSE)</f>
        <v>Electra Townie Original 7D EQ - 2016</v>
      </c>
      <c r="I1125">
        <f>VLOOKUP(C1125,[1]products!$A:$D,4,FALSE)</f>
        <v>2</v>
      </c>
      <c r="J1125" t="str">
        <f>VLOOKUP(I1125,[2]categories!$A$1:$B$8,2,FALSE)</f>
        <v>Comfort Bicycles</v>
      </c>
    </row>
    <row r="1126" customHeight="1" spans="1:10">
      <c r="A1126" s="1">
        <v>403</v>
      </c>
      <c r="B1126" s="1">
        <v>1</v>
      </c>
      <c r="C1126" s="1">
        <v>12</v>
      </c>
      <c r="D1126" s="1">
        <v>2</v>
      </c>
      <c r="E1126" s="1">
        <v>549.99</v>
      </c>
      <c r="F1126" s="1">
        <v>0.1</v>
      </c>
      <c r="G1126">
        <f t="shared" si="17"/>
        <v>1099.88</v>
      </c>
      <c r="H1126" t="str">
        <f>VLOOKUP(C1126,[1]products!$A:$B,2,FALSE)</f>
        <v>Electra Townie Original 21D - 2016</v>
      </c>
      <c r="I1126">
        <f>VLOOKUP(C1126,[1]products!$A:$D,4,FALSE)</f>
        <v>3</v>
      </c>
      <c r="J1126" t="str">
        <f>VLOOKUP(I1126,[2]categories!$A$1:$B$8,2,FALSE)</f>
        <v>Cruisers Bicycles</v>
      </c>
    </row>
    <row r="1127" customHeight="1" spans="1:10">
      <c r="A1127" s="1">
        <v>403</v>
      </c>
      <c r="B1127" s="1">
        <v>2</v>
      </c>
      <c r="C1127" s="1">
        <v>7</v>
      </c>
      <c r="D1127" s="1">
        <v>2</v>
      </c>
      <c r="E1127" s="1">
        <v>3999.99</v>
      </c>
      <c r="F1127" s="1">
        <v>0.2</v>
      </c>
      <c r="G1127">
        <f t="shared" si="17"/>
        <v>7999.78</v>
      </c>
      <c r="H1127" t="str">
        <f>VLOOKUP(C1127,[1]products!$A:$B,2,FALSE)</f>
        <v>Trek Slash 8 27.5 - 2016</v>
      </c>
      <c r="I1127">
        <f>VLOOKUP(C1127,[1]products!$A:$D,4,FALSE)</f>
        <v>6</v>
      </c>
      <c r="J1127" t="str">
        <f>VLOOKUP(I1127,[2]categories!$A$1:$B$8,2,FALSE)</f>
        <v>Mountain Bikes</v>
      </c>
    </row>
    <row r="1128" customHeight="1" spans="1:10">
      <c r="A1128" s="1">
        <v>403</v>
      </c>
      <c r="B1128" s="1">
        <v>3</v>
      </c>
      <c r="C1128" s="1">
        <v>22</v>
      </c>
      <c r="D1128" s="1">
        <v>2</v>
      </c>
      <c r="E1128" s="1">
        <v>269.99</v>
      </c>
      <c r="F1128" s="1">
        <v>0.05</v>
      </c>
      <c r="G1128">
        <f t="shared" si="17"/>
        <v>539.93</v>
      </c>
      <c r="H1128" t="str">
        <f>VLOOKUP(C1128,[1]products!$A:$B,2,FALSE)</f>
        <v>Electra Girl's Hawaii 1 (16-inch) - 2015/2016</v>
      </c>
      <c r="I1128">
        <f>VLOOKUP(C1128,[1]products!$A:$D,4,FALSE)</f>
        <v>1</v>
      </c>
      <c r="J1128" t="str">
        <f>VLOOKUP(I1128,[2]categories!$A$1:$B$8,2,FALSE)</f>
        <v>Children Bicycles</v>
      </c>
    </row>
    <row r="1129" customHeight="1" spans="1:10">
      <c r="A1129" s="1">
        <v>403</v>
      </c>
      <c r="B1129" s="1">
        <v>4</v>
      </c>
      <c r="C1129" s="1">
        <v>24</v>
      </c>
      <c r="D1129" s="1">
        <v>1</v>
      </c>
      <c r="E1129" s="1">
        <v>549.99</v>
      </c>
      <c r="F1129" s="1">
        <v>0.2</v>
      </c>
      <c r="G1129">
        <f t="shared" si="17"/>
        <v>549.79</v>
      </c>
      <c r="H1129" t="str">
        <f>VLOOKUP(C1129,[1]products!$A:$B,2,FALSE)</f>
        <v>Electra Townie Original 21D - 2016</v>
      </c>
      <c r="I1129">
        <f>VLOOKUP(C1129,[1]products!$A:$D,4,FALSE)</f>
        <v>2</v>
      </c>
      <c r="J1129" t="str">
        <f>VLOOKUP(I1129,[2]categories!$A$1:$B$8,2,FALSE)</f>
        <v>Comfort Bicycles</v>
      </c>
    </row>
    <row r="1130" customHeight="1" spans="1:10">
      <c r="A1130" s="1">
        <v>404</v>
      </c>
      <c r="B1130" s="1">
        <v>1</v>
      </c>
      <c r="C1130" s="1">
        <v>9</v>
      </c>
      <c r="D1130" s="1">
        <v>1</v>
      </c>
      <c r="E1130" s="1">
        <v>2999.99</v>
      </c>
      <c r="F1130" s="1">
        <v>0.07</v>
      </c>
      <c r="G1130">
        <f t="shared" si="17"/>
        <v>2999.92</v>
      </c>
      <c r="H1130" t="str">
        <f>VLOOKUP(C1130,[1]products!$A:$B,2,FALSE)</f>
        <v>Trek Conduit+ - 2016</v>
      </c>
      <c r="I1130">
        <f>VLOOKUP(C1130,[1]products!$A:$D,4,FALSE)</f>
        <v>5</v>
      </c>
      <c r="J1130" t="str">
        <f>VLOOKUP(I1130,[2]categories!$A$1:$B$8,2,FALSE)</f>
        <v>Electric Bikes</v>
      </c>
    </row>
    <row r="1131" customHeight="1" spans="1:10">
      <c r="A1131" s="1">
        <v>404</v>
      </c>
      <c r="B1131" s="1">
        <v>2</v>
      </c>
      <c r="C1131" s="1">
        <v>25</v>
      </c>
      <c r="D1131" s="1">
        <v>2</v>
      </c>
      <c r="E1131" s="1">
        <v>499.99</v>
      </c>
      <c r="F1131" s="1">
        <v>0.05</v>
      </c>
      <c r="G1131">
        <f t="shared" si="17"/>
        <v>999.93</v>
      </c>
      <c r="H1131" t="str">
        <f>VLOOKUP(C1131,[1]products!$A:$B,2,FALSE)</f>
        <v>Electra Townie Original 7D - 2015/2016</v>
      </c>
      <c r="I1131">
        <f>VLOOKUP(C1131,[1]products!$A:$D,4,FALSE)</f>
        <v>2</v>
      </c>
      <c r="J1131" t="str">
        <f>VLOOKUP(I1131,[2]categories!$A$1:$B$8,2,FALSE)</f>
        <v>Comfort Bicycles</v>
      </c>
    </row>
    <row r="1132" customHeight="1" spans="1:10">
      <c r="A1132" s="1">
        <v>404</v>
      </c>
      <c r="B1132" s="1">
        <v>3</v>
      </c>
      <c r="C1132" s="1">
        <v>16</v>
      </c>
      <c r="D1132" s="1">
        <v>2</v>
      </c>
      <c r="E1132" s="1">
        <v>599.99</v>
      </c>
      <c r="F1132" s="1">
        <v>0.2</v>
      </c>
      <c r="G1132">
        <f t="shared" si="17"/>
        <v>1199.78</v>
      </c>
      <c r="H1132" t="str">
        <f>VLOOKUP(C1132,[1]products!$A:$B,2,FALSE)</f>
        <v>Electra Townie Original 7D EQ - 2016</v>
      </c>
      <c r="I1132">
        <f>VLOOKUP(C1132,[1]products!$A:$D,4,FALSE)</f>
        <v>3</v>
      </c>
      <c r="J1132" t="str">
        <f>VLOOKUP(I1132,[2]categories!$A$1:$B$8,2,FALSE)</f>
        <v>Cruisers Bicycles</v>
      </c>
    </row>
    <row r="1133" customHeight="1" spans="1:10">
      <c r="A1133" s="1">
        <v>405</v>
      </c>
      <c r="B1133" s="1">
        <v>1</v>
      </c>
      <c r="C1133" s="1">
        <v>3</v>
      </c>
      <c r="D1133" s="1">
        <v>2</v>
      </c>
      <c r="E1133" s="1">
        <v>999.99</v>
      </c>
      <c r="F1133" s="1">
        <v>0.2</v>
      </c>
      <c r="G1133">
        <f t="shared" si="17"/>
        <v>1999.78</v>
      </c>
      <c r="H1133" t="str">
        <f>VLOOKUP(C1133,[1]products!$A:$B,2,FALSE)</f>
        <v>Surly Wednesday Frameset - 2016</v>
      </c>
      <c r="I1133">
        <f>VLOOKUP(C1133,[1]products!$A:$D,4,FALSE)</f>
        <v>6</v>
      </c>
      <c r="J1133" t="str">
        <f>VLOOKUP(I1133,[2]categories!$A$1:$B$8,2,FALSE)</f>
        <v>Mountain Bikes</v>
      </c>
    </row>
    <row r="1134" customHeight="1" spans="1:10">
      <c r="A1134" s="1">
        <v>405</v>
      </c>
      <c r="B1134" s="1">
        <v>2</v>
      </c>
      <c r="C1134" s="1">
        <v>10</v>
      </c>
      <c r="D1134" s="1">
        <v>2</v>
      </c>
      <c r="E1134" s="1">
        <v>1549</v>
      </c>
      <c r="F1134" s="1">
        <v>0.1</v>
      </c>
      <c r="G1134">
        <f t="shared" si="17"/>
        <v>3097.9</v>
      </c>
      <c r="H1134" t="str">
        <f>VLOOKUP(C1134,[1]products!$A:$B,2,FALSE)</f>
        <v>Surly Straggler - 2016</v>
      </c>
      <c r="I1134">
        <f>VLOOKUP(C1134,[1]products!$A:$D,4,FALSE)</f>
        <v>4</v>
      </c>
      <c r="J1134" t="str">
        <f>VLOOKUP(I1134,[2]categories!$A$1:$B$8,2,FALSE)</f>
        <v>Cyclocross Bicycles</v>
      </c>
    </row>
    <row r="1135" customHeight="1" spans="1:10">
      <c r="A1135" s="1">
        <v>405</v>
      </c>
      <c r="B1135" s="1">
        <v>3</v>
      </c>
      <c r="C1135" s="1">
        <v>14</v>
      </c>
      <c r="D1135" s="1">
        <v>2</v>
      </c>
      <c r="E1135" s="1">
        <v>269.99</v>
      </c>
      <c r="F1135" s="1">
        <v>0.07</v>
      </c>
      <c r="G1135">
        <f t="shared" si="17"/>
        <v>539.91</v>
      </c>
      <c r="H1135" t="str">
        <f>VLOOKUP(C1135,[1]products!$A:$B,2,FALSE)</f>
        <v>Electra Girl's Hawaii 1 (16-inch) - 2015/2016</v>
      </c>
      <c r="I1135">
        <f>VLOOKUP(C1135,[1]products!$A:$D,4,FALSE)</f>
        <v>3</v>
      </c>
      <c r="J1135" t="str">
        <f>VLOOKUP(I1135,[2]categories!$A$1:$B$8,2,FALSE)</f>
        <v>Cruisers Bicycles</v>
      </c>
    </row>
    <row r="1136" customHeight="1" spans="1:10">
      <c r="A1136" s="1">
        <v>406</v>
      </c>
      <c r="B1136" s="1">
        <v>1</v>
      </c>
      <c r="C1136" s="1">
        <v>4</v>
      </c>
      <c r="D1136" s="1">
        <v>1</v>
      </c>
      <c r="E1136" s="1">
        <v>2899.99</v>
      </c>
      <c r="F1136" s="1">
        <v>0.2</v>
      </c>
      <c r="G1136">
        <f t="shared" si="17"/>
        <v>2899.79</v>
      </c>
      <c r="H1136" t="str">
        <f>VLOOKUP(C1136,[1]products!$A:$B,2,FALSE)</f>
        <v>Trek Fuel EX 8 29 - 2016</v>
      </c>
      <c r="I1136">
        <f>VLOOKUP(C1136,[1]products!$A:$D,4,FALSE)</f>
        <v>6</v>
      </c>
      <c r="J1136" t="str">
        <f>VLOOKUP(I1136,[2]categories!$A$1:$B$8,2,FALSE)</f>
        <v>Mountain Bikes</v>
      </c>
    </row>
    <row r="1137" customHeight="1" spans="1:10">
      <c r="A1137" s="1">
        <v>407</v>
      </c>
      <c r="B1137" s="1">
        <v>1</v>
      </c>
      <c r="C1137" s="1">
        <v>20</v>
      </c>
      <c r="D1137" s="1">
        <v>1</v>
      </c>
      <c r="E1137" s="1">
        <v>599.99</v>
      </c>
      <c r="F1137" s="1">
        <v>0.2</v>
      </c>
      <c r="G1137">
        <f t="shared" si="17"/>
        <v>599.79</v>
      </c>
      <c r="H1137" t="str">
        <f>VLOOKUP(C1137,[1]products!$A:$B,2,FALSE)</f>
        <v>Electra Townie Original 7D EQ - Women's - 2016</v>
      </c>
      <c r="I1137">
        <f>VLOOKUP(C1137,[1]products!$A:$D,4,FALSE)</f>
        <v>3</v>
      </c>
      <c r="J1137" t="str">
        <f>VLOOKUP(I1137,[2]categories!$A$1:$B$8,2,FALSE)</f>
        <v>Cruisers Bicycles</v>
      </c>
    </row>
    <row r="1138" customHeight="1" spans="1:10">
      <c r="A1138" s="1">
        <v>407</v>
      </c>
      <c r="B1138" s="1">
        <v>2</v>
      </c>
      <c r="C1138" s="1">
        <v>5</v>
      </c>
      <c r="D1138" s="1">
        <v>1</v>
      </c>
      <c r="E1138" s="1">
        <v>1320.99</v>
      </c>
      <c r="F1138" s="1">
        <v>0.05</v>
      </c>
      <c r="G1138">
        <f t="shared" si="17"/>
        <v>1320.94</v>
      </c>
      <c r="H1138" t="str">
        <f>VLOOKUP(C1138,[1]products!$A:$B,2,FALSE)</f>
        <v>Heller Shagamaw Frame - 2016</v>
      </c>
      <c r="I1138">
        <f>VLOOKUP(C1138,[1]products!$A:$D,4,FALSE)</f>
        <v>6</v>
      </c>
      <c r="J1138" t="str">
        <f>VLOOKUP(I1138,[2]categories!$A$1:$B$8,2,FALSE)</f>
        <v>Mountain Bikes</v>
      </c>
    </row>
    <row r="1139" customHeight="1" spans="1:10">
      <c r="A1139" s="1">
        <v>408</v>
      </c>
      <c r="B1139" s="1">
        <v>1</v>
      </c>
      <c r="C1139" s="1">
        <v>18</v>
      </c>
      <c r="D1139" s="1">
        <v>1</v>
      </c>
      <c r="E1139" s="1">
        <v>449</v>
      </c>
      <c r="F1139" s="1">
        <v>0.2</v>
      </c>
      <c r="G1139">
        <f t="shared" si="17"/>
        <v>448.8</v>
      </c>
      <c r="H1139" t="str">
        <f>VLOOKUP(C1139,[1]products!$A:$B,2,FALSE)</f>
        <v>Pure Cycles Western 3-Speed - Women's - 2015/2016</v>
      </c>
      <c r="I1139">
        <f>VLOOKUP(C1139,[1]products!$A:$D,4,FALSE)</f>
        <v>3</v>
      </c>
      <c r="J1139" t="str">
        <f>VLOOKUP(I1139,[2]categories!$A$1:$B$8,2,FALSE)</f>
        <v>Cruisers Bicycles</v>
      </c>
    </row>
    <row r="1140" customHeight="1" spans="1:10">
      <c r="A1140" s="1">
        <v>408</v>
      </c>
      <c r="B1140" s="1">
        <v>2</v>
      </c>
      <c r="C1140" s="1">
        <v>3</v>
      </c>
      <c r="D1140" s="1">
        <v>1</v>
      </c>
      <c r="E1140" s="1">
        <v>999.99</v>
      </c>
      <c r="F1140" s="1">
        <v>0.07</v>
      </c>
      <c r="G1140">
        <f t="shared" si="17"/>
        <v>999.92</v>
      </c>
      <c r="H1140" t="str">
        <f>VLOOKUP(C1140,[1]products!$A:$B,2,FALSE)</f>
        <v>Surly Wednesday Frameset - 2016</v>
      </c>
      <c r="I1140">
        <f>VLOOKUP(C1140,[1]products!$A:$D,4,FALSE)</f>
        <v>6</v>
      </c>
      <c r="J1140" t="str">
        <f>VLOOKUP(I1140,[2]categories!$A$1:$B$8,2,FALSE)</f>
        <v>Mountain Bikes</v>
      </c>
    </row>
    <row r="1141" customHeight="1" spans="1:10">
      <c r="A1141" s="1">
        <v>408</v>
      </c>
      <c r="B1141" s="1">
        <v>3</v>
      </c>
      <c r="C1141" s="1">
        <v>2</v>
      </c>
      <c r="D1141" s="1">
        <v>2</v>
      </c>
      <c r="E1141" s="1">
        <v>749.99</v>
      </c>
      <c r="F1141" s="1">
        <v>0.07</v>
      </c>
      <c r="G1141">
        <f t="shared" si="17"/>
        <v>1499.91</v>
      </c>
      <c r="H1141" t="str">
        <f>VLOOKUP(C1141,[1]products!$A:$B,2,FALSE)</f>
        <v>Ritchey Timberwolf Frameset - 2016</v>
      </c>
      <c r="I1141">
        <f>VLOOKUP(C1141,[1]products!$A:$D,4,FALSE)</f>
        <v>6</v>
      </c>
      <c r="J1141" t="str">
        <f>VLOOKUP(I1141,[2]categories!$A$1:$B$8,2,FALSE)</f>
        <v>Mountain Bikes</v>
      </c>
    </row>
    <row r="1142" customHeight="1" spans="1:10">
      <c r="A1142" s="1">
        <v>408</v>
      </c>
      <c r="B1142" s="1">
        <v>4</v>
      </c>
      <c r="C1142" s="1">
        <v>17</v>
      </c>
      <c r="D1142" s="1">
        <v>2</v>
      </c>
      <c r="E1142" s="1">
        <v>429</v>
      </c>
      <c r="F1142" s="1">
        <v>0.2</v>
      </c>
      <c r="G1142">
        <f t="shared" si="17"/>
        <v>857.8</v>
      </c>
      <c r="H1142" t="str">
        <f>VLOOKUP(C1142,[1]products!$A:$B,2,FALSE)</f>
        <v>Pure Cycles Vine 8-Speed - 2016</v>
      </c>
      <c r="I1142">
        <f>VLOOKUP(C1142,[1]products!$A:$D,4,FALSE)</f>
        <v>3</v>
      </c>
      <c r="J1142" t="str">
        <f>VLOOKUP(I1142,[2]categories!$A$1:$B$8,2,FALSE)</f>
        <v>Cruisers Bicycles</v>
      </c>
    </row>
    <row r="1143" customHeight="1" spans="1:10">
      <c r="A1143" s="1">
        <v>409</v>
      </c>
      <c r="B1143" s="1">
        <v>1</v>
      </c>
      <c r="C1143" s="1">
        <v>15</v>
      </c>
      <c r="D1143" s="1">
        <v>1</v>
      </c>
      <c r="E1143" s="1">
        <v>529.99</v>
      </c>
      <c r="F1143" s="1">
        <v>0.07</v>
      </c>
      <c r="G1143">
        <f t="shared" si="17"/>
        <v>529.92</v>
      </c>
      <c r="H1143" t="str">
        <f>VLOOKUP(C1143,[1]products!$A:$B,2,FALSE)</f>
        <v>Electra Moto 1 - 2016</v>
      </c>
      <c r="I1143">
        <f>VLOOKUP(C1143,[1]products!$A:$D,4,FALSE)</f>
        <v>3</v>
      </c>
      <c r="J1143" t="str">
        <f>VLOOKUP(I1143,[2]categories!$A$1:$B$8,2,FALSE)</f>
        <v>Cruisers Bicycles</v>
      </c>
    </row>
    <row r="1144" customHeight="1" spans="1:10">
      <c r="A1144" s="1">
        <v>409</v>
      </c>
      <c r="B1144" s="1">
        <v>2</v>
      </c>
      <c r="C1144" s="1">
        <v>16</v>
      </c>
      <c r="D1144" s="1">
        <v>2</v>
      </c>
      <c r="E1144" s="1">
        <v>599.99</v>
      </c>
      <c r="F1144" s="1">
        <v>0.2</v>
      </c>
      <c r="G1144">
        <f t="shared" si="17"/>
        <v>1199.78</v>
      </c>
      <c r="H1144" t="str">
        <f>VLOOKUP(C1144,[1]products!$A:$B,2,FALSE)</f>
        <v>Electra Townie Original 7D EQ - 2016</v>
      </c>
      <c r="I1144">
        <f>VLOOKUP(C1144,[1]products!$A:$D,4,FALSE)</f>
        <v>3</v>
      </c>
      <c r="J1144" t="str">
        <f>VLOOKUP(I1144,[2]categories!$A$1:$B$8,2,FALSE)</f>
        <v>Cruisers Bicycles</v>
      </c>
    </row>
    <row r="1145" customHeight="1" spans="1:10">
      <c r="A1145" s="1">
        <v>409</v>
      </c>
      <c r="B1145" s="1">
        <v>3</v>
      </c>
      <c r="C1145" s="1">
        <v>21</v>
      </c>
      <c r="D1145" s="1">
        <v>1</v>
      </c>
      <c r="E1145" s="1">
        <v>269.99</v>
      </c>
      <c r="F1145" s="1">
        <v>0.05</v>
      </c>
      <c r="G1145">
        <f t="shared" si="17"/>
        <v>269.94</v>
      </c>
      <c r="H1145" t="str">
        <f>VLOOKUP(C1145,[1]products!$A:$B,2,FALSE)</f>
        <v>Electra Cruiser 1 (24-Inch) - 2016</v>
      </c>
      <c r="I1145">
        <f>VLOOKUP(C1145,[1]products!$A:$D,4,FALSE)</f>
        <v>1</v>
      </c>
      <c r="J1145" t="str">
        <f>VLOOKUP(I1145,[2]categories!$A$1:$B$8,2,FALSE)</f>
        <v>Children Bicycles</v>
      </c>
    </row>
    <row r="1146" customHeight="1" spans="1:10">
      <c r="A1146" s="1">
        <v>410</v>
      </c>
      <c r="B1146" s="1">
        <v>1</v>
      </c>
      <c r="C1146" s="1">
        <v>25</v>
      </c>
      <c r="D1146" s="1">
        <v>1</v>
      </c>
      <c r="E1146" s="1">
        <v>499.99</v>
      </c>
      <c r="F1146" s="1">
        <v>0.1</v>
      </c>
      <c r="G1146">
        <f t="shared" si="17"/>
        <v>499.89</v>
      </c>
      <c r="H1146" t="str">
        <f>VLOOKUP(C1146,[1]products!$A:$B,2,FALSE)</f>
        <v>Electra Townie Original 7D - 2015/2016</v>
      </c>
      <c r="I1146">
        <f>VLOOKUP(C1146,[1]products!$A:$D,4,FALSE)</f>
        <v>2</v>
      </c>
      <c r="J1146" t="str">
        <f>VLOOKUP(I1146,[2]categories!$A$1:$B$8,2,FALSE)</f>
        <v>Comfort Bicycles</v>
      </c>
    </row>
    <row r="1147" customHeight="1" spans="1:10">
      <c r="A1147" s="1">
        <v>410</v>
      </c>
      <c r="B1147" s="1">
        <v>2</v>
      </c>
      <c r="C1147" s="1">
        <v>9</v>
      </c>
      <c r="D1147" s="1">
        <v>2</v>
      </c>
      <c r="E1147" s="1">
        <v>2999.99</v>
      </c>
      <c r="F1147" s="1">
        <v>0.05</v>
      </c>
      <c r="G1147">
        <f t="shared" si="17"/>
        <v>5999.93</v>
      </c>
      <c r="H1147" t="str">
        <f>VLOOKUP(C1147,[1]products!$A:$B,2,FALSE)</f>
        <v>Trek Conduit+ - 2016</v>
      </c>
      <c r="I1147">
        <f>VLOOKUP(C1147,[1]products!$A:$D,4,FALSE)</f>
        <v>5</v>
      </c>
      <c r="J1147" t="str">
        <f>VLOOKUP(I1147,[2]categories!$A$1:$B$8,2,FALSE)</f>
        <v>Electric Bikes</v>
      </c>
    </row>
    <row r="1148" customHeight="1" spans="1:10">
      <c r="A1148" s="1">
        <v>410</v>
      </c>
      <c r="B1148" s="1">
        <v>3</v>
      </c>
      <c r="C1148" s="1">
        <v>24</v>
      </c>
      <c r="D1148" s="1">
        <v>2</v>
      </c>
      <c r="E1148" s="1">
        <v>549.99</v>
      </c>
      <c r="F1148" s="1">
        <v>0.1</v>
      </c>
      <c r="G1148">
        <f t="shared" si="17"/>
        <v>1099.88</v>
      </c>
      <c r="H1148" t="str">
        <f>VLOOKUP(C1148,[1]products!$A:$B,2,FALSE)</f>
        <v>Electra Townie Original 21D - 2016</v>
      </c>
      <c r="I1148">
        <f>VLOOKUP(C1148,[1]products!$A:$D,4,FALSE)</f>
        <v>2</v>
      </c>
      <c r="J1148" t="str">
        <f>VLOOKUP(I1148,[2]categories!$A$1:$B$8,2,FALSE)</f>
        <v>Comfort Bicycles</v>
      </c>
    </row>
    <row r="1149" customHeight="1" spans="1:10">
      <c r="A1149" s="1">
        <v>411</v>
      </c>
      <c r="B1149" s="1">
        <v>1</v>
      </c>
      <c r="C1149" s="1">
        <v>2</v>
      </c>
      <c r="D1149" s="1">
        <v>1</v>
      </c>
      <c r="E1149" s="1">
        <v>749.99</v>
      </c>
      <c r="F1149" s="1">
        <v>0.07</v>
      </c>
      <c r="G1149">
        <f t="shared" si="17"/>
        <v>749.92</v>
      </c>
      <c r="H1149" t="str">
        <f>VLOOKUP(C1149,[1]products!$A:$B,2,FALSE)</f>
        <v>Ritchey Timberwolf Frameset - 2016</v>
      </c>
      <c r="I1149">
        <f>VLOOKUP(C1149,[1]products!$A:$D,4,FALSE)</f>
        <v>6</v>
      </c>
      <c r="J1149" t="str">
        <f>VLOOKUP(I1149,[2]categories!$A$1:$B$8,2,FALSE)</f>
        <v>Mountain Bikes</v>
      </c>
    </row>
    <row r="1150" customHeight="1" spans="1:10">
      <c r="A1150" s="1">
        <v>411</v>
      </c>
      <c r="B1150" s="1">
        <v>2</v>
      </c>
      <c r="C1150" s="1">
        <v>26</v>
      </c>
      <c r="D1150" s="1">
        <v>2</v>
      </c>
      <c r="E1150" s="1">
        <v>599.99</v>
      </c>
      <c r="F1150" s="1">
        <v>0.05</v>
      </c>
      <c r="G1150">
        <f t="shared" si="17"/>
        <v>1199.93</v>
      </c>
      <c r="H1150" t="str">
        <f>VLOOKUP(C1150,[1]products!$A:$B,2,FALSE)</f>
        <v>Electra Townie Original 7D EQ - 2016</v>
      </c>
      <c r="I1150">
        <f>VLOOKUP(C1150,[1]products!$A:$D,4,FALSE)</f>
        <v>2</v>
      </c>
      <c r="J1150" t="str">
        <f>VLOOKUP(I1150,[2]categories!$A$1:$B$8,2,FALSE)</f>
        <v>Comfort Bicycles</v>
      </c>
    </row>
    <row r="1151" customHeight="1" spans="1:10">
      <c r="A1151" s="1">
        <v>412</v>
      </c>
      <c r="B1151" s="1">
        <v>1</v>
      </c>
      <c r="C1151" s="1">
        <v>7</v>
      </c>
      <c r="D1151" s="1">
        <v>1</v>
      </c>
      <c r="E1151" s="1">
        <v>3999.99</v>
      </c>
      <c r="F1151" s="1">
        <v>0.1</v>
      </c>
      <c r="G1151">
        <f t="shared" si="17"/>
        <v>3999.89</v>
      </c>
      <c r="H1151" t="str">
        <f>VLOOKUP(C1151,[1]products!$A:$B,2,FALSE)</f>
        <v>Trek Slash 8 27.5 - 2016</v>
      </c>
      <c r="I1151">
        <f>VLOOKUP(C1151,[1]products!$A:$D,4,FALSE)</f>
        <v>6</v>
      </c>
      <c r="J1151" t="str">
        <f>VLOOKUP(I1151,[2]categories!$A$1:$B$8,2,FALSE)</f>
        <v>Mountain Bikes</v>
      </c>
    </row>
    <row r="1152" customHeight="1" spans="1:10">
      <c r="A1152" s="1">
        <v>412</v>
      </c>
      <c r="B1152" s="1">
        <v>2</v>
      </c>
      <c r="C1152" s="1">
        <v>24</v>
      </c>
      <c r="D1152" s="1">
        <v>1</v>
      </c>
      <c r="E1152" s="1">
        <v>549.99</v>
      </c>
      <c r="F1152" s="1">
        <v>0.07</v>
      </c>
      <c r="G1152">
        <f t="shared" si="17"/>
        <v>549.92</v>
      </c>
      <c r="H1152" t="str">
        <f>VLOOKUP(C1152,[1]products!$A:$B,2,FALSE)</f>
        <v>Electra Townie Original 21D - 2016</v>
      </c>
      <c r="I1152">
        <f>VLOOKUP(C1152,[1]products!$A:$D,4,FALSE)</f>
        <v>2</v>
      </c>
      <c r="J1152" t="str">
        <f>VLOOKUP(I1152,[2]categories!$A$1:$B$8,2,FALSE)</f>
        <v>Comfort Bicycles</v>
      </c>
    </row>
    <row r="1153" customHeight="1" spans="1:10">
      <c r="A1153" s="1">
        <v>412</v>
      </c>
      <c r="B1153" s="1">
        <v>3</v>
      </c>
      <c r="C1153" s="1">
        <v>17</v>
      </c>
      <c r="D1153" s="1">
        <v>1</v>
      </c>
      <c r="E1153" s="1">
        <v>429</v>
      </c>
      <c r="F1153" s="1">
        <v>0.1</v>
      </c>
      <c r="G1153">
        <f t="shared" si="17"/>
        <v>428.9</v>
      </c>
      <c r="H1153" t="str">
        <f>VLOOKUP(C1153,[1]products!$A:$B,2,FALSE)</f>
        <v>Pure Cycles Vine 8-Speed - 2016</v>
      </c>
      <c r="I1153">
        <f>VLOOKUP(C1153,[1]products!$A:$D,4,FALSE)</f>
        <v>3</v>
      </c>
      <c r="J1153" t="str">
        <f>VLOOKUP(I1153,[2]categories!$A$1:$B$8,2,FALSE)</f>
        <v>Cruisers Bicycles</v>
      </c>
    </row>
    <row r="1154" customHeight="1" spans="1:10">
      <c r="A1154" s="1">
        <v>413</v>
      </c>
      <c r="B1154" s="1">
        <v>1</v>
      </c>
      <c r="C1154" s="1">
        <v>8</v>
      </c>
      <c r="D1154" s="1">
        <v>2</v>
      </c>
      <c r="E1154" s="1">
        <v>1799.99</v>
      </c>
      <c r="F1154" s="1">
        <v>0.05</v>
      </c>
      <c r="G1154">
        <f t="shared" si="17"/>
        <v>3599.93</v>
      </c>
      <c r="H1154" t="str">
        <f>VLOOKUP(C1154,[1]products!$A:$B,2,FALSE)</f>
        <v>Trek Remedy 29 Carbon Frameset - 2016</v>
      </c>
      <c r="I1154">
        <f>VLOOKUP(C1154,[1]products!$A:$D,4,FALSE)</f>
        <v>6</v>
      </c>
      <c r="J1154" t="str">
        <f>VLOOKUP(I1154,[2]categories!$A$1:$B$8,2,FALSE)</f>
        <v>Mountain Bikes</v>
      </c>
    </row>
    <row r="1155" customHeight="1" spans="1:10">
      <c r="A1155" s="1">
        <v>413</v>
      </c>
      <c r="B1155" s="1">
        <v>2</v>
      </c>
      <c r="C1155" s="1">
        <v>25</v>
      </c>
      <c r="D1155" s="1">
        <v>1</v>
      </c>
      <c r="E1155" s="1">
        <v>499.99</v>
      </c>
      <c r="F1155" s="1">
        <v>0.1</v>
      </c>
      <c r="G1155">
        <f t="shared" ref="G1155:G1218" si="18">(E1155*D1155)-F1155</f>
        <v>499.89</v>
      </c>
      <c r="H1155" t="str">
        <f>VLOOKUP(C1155,[1]products!$A:$B,2,FALSE)</f>
        <v>Electra Townie Original 7D - 2015/2016</v>
      </c>
      <c r="I1155">
        <f>VLOOKUP(C1155,[1]products!$A:$D,4,FALSE)</f>
        <v>2</v>
      </c>
      <c r="J1155" t="str">
        <f>VLOOKUP(I1155,[2]categories!$A$1:$B$8,2,FALSE)</f>
        <v>Comfort Bicycles</v>
      </c>
    </row>
    <row r="1156" customHeight="1" spans="1:10">
      <c r="A1156" s="1">
        <v>413</v>
      </c>
      <c r="B1156" s="1">
        <v>3</v>
      </c>
      <c r="C1156" s="1">
        <v>9</v>
      </c>
      <c r="D1156" s="1">
        <v>1</v>
      </c>
      <c r="E1156" s="1">
        <v>2999.99</v>
      </c>
      <c r="F1156" s="1">
        <v>0.07</v>
      </c>
      <c r="G1156">
        <f t="shared" si="18"/>
        <v>2999.92</v>
      </c>
      <c r="H1156" t="str">
        <f>VLOOKUP(C1156,[1]products!$A:$B,2,FALSE)</f>
        <v>Trek Conduit+ - 2016</v>
      </c>
      <c r="I1156">
        <f>VLOOKUP(C1156,[1]products!$A:$D,4,FALSE)</f>
        <v>5</v>
      </c>
      <c r="J1156" t="str">
        <f>VLOOKUP(I1156,[2]categories!$A$1:$B$8,2,FALSE)</f>
        <v>Electric Bikes</v>
      </c>
    </row>
    <row r="1157" customHeight="1" spans="1:10">
      <c r="A1157" s="1">
        <v>414</v>
      </c>
      <c r="B1157" s="1">
        <v>1</v>
      </c>
      <c r="C1157" s="1">
        <v>4</v>
      </c>
      <c r="D1157" s="1">
        <v>2</v>
      </c>
      <c r="E1157" s="1">
        <v>2899.99</v>
      </c>
      <c r="F1157" s="1">
        <v>0.1</v>
      </c>
      <c r="G1157">
        <f t="shared" si="18"/>
        <v>5799.88</v>
      </c>
      <c r="H1157" t="str">
        <f>VLOOKUP(C1157,[1]products!$A:$B,2,FALSE)</f>
        <v>Trek Fuel EX 8 29 - 2016</v>
      </c>
      <c r="I1157">
        <f>VLOOKUP(C1157,[1]products!$A:$D,4,FALSE)</f>
        <v>6</v>
      </c>
      <c r="J1157" t="str">
        <f>VLOOKUP(I1157,[2]categories!$A$1:$B$8,2,FALSE)</f>
        <v>Mountain Bikes</v>
      </c>
    </row>
    <row r="1158" customHeight="1" spans="1:10">
      <c r="A1158" s="1">
        <v>415</v>
      </c>
      <c r="B1158" s="1">
        <v>1</v>
      </c>
      <c r="C1158" s="1">
        <v>3</v>
      </c>
      <c r="D1158" s="1">
        <v>1</v>
      </c>
      <c r="E1158" s="1">
        <v>999.99</v>
      </c>
      <c r="F1158" s="1">
        <v>0.07</v>
      </c>
      <c r="G1158">
        <f t="shared" si="18"/>
        <v>999.92</v>
      </c>
      <c r="H1158" t="str">
        <f>VLOOKUP(C1158,[1]products!$A:$B,2,FALSE)</f>
        <v>Surly Wednesday Frameset - 2016</v>
      </c>
      <c r="I1158">
        <f>VLOOKUP(C1158,[1]products!$A:$D,4,FALSE)</f>
        <v>6</v>
      </c>
      <c r="J1158" t="str">
        <f>VLOOKUP(I1158,[2]categories!$A$1:$B$8,2,FALSE)</f>
        <v>Mountain Bikes</v>
      </c>
    </row>
    <row r="1159" customHeight="1" spans="1:10">
      <c r="A1159" s="1">
        <v>415</v>
      </c>
      <c r="B1159" s="1">
        <v>2</v>
      </c>
      <c r="C1159" s="1">
        <v>23</v>
      </c>
      <c r="D1159" s="1">
        <v>2</v>
      </c>
      <c r="E1159" s="1">
        <v>299.99</v>
      </c>
      <c r="F1159" s="1">
        <v>0.2</v>
      </c>
      <c r="G1159">
        <f t="shared" si="18"/>
        <v>599.78</v>
      </c>
      <c r="H1159" t="str">
        <f>VLOOKUP(C1159,[1]products!$A:$B,2,FALSE)</f>
        <v>Electra Girl's Hawaii 1 (20-inch) - 2015/2016</v>
      </c>
      <c r="I1159">
        <f>VLOOKUP(C1159,[1]products!$A:$D,4,FALSE)</f>
        <v>1</v>
      </c>
      <c r="J1159" t="str">
        <f>VLOOKUP(I1159,[2]categories!$A$1:$B$8,2,FALSE)</f>
        <v>Children Bicycles</v>
      </c>
    </row>
    <row r="1160" customHeight="1" spans="1:10">
      <c r="A1160" s="1">
        <v>415</v>
      </c>
      <c r="B1160" s="1">
        <v>3</v>
      </c>
      <c r="C1160" s="1">
        <v>5</v>
      </c>
      <c r="D1160" s="1">
        <v>1</v>
      </c>
      <c r="E1160" s="1">
        <v>1320.99</v>
      </c>
      <c r="F1160" s="1">
        <v>0.2</v>
      </c>
      <c r="G1160">
        <f t="shared" si="18"/>
        <v>1320.79</v>
      </c>
      <c r="H1160" t="str">
        <f>VLOOKUP(C1160,[1]products!$A:$B,2,FALSE)</f>
        <v>Heller Shagamaw Frame - 2016</v>
      </c>
      <c r="I1160">
        <f>VLOOKUP(C1160,[1]products!$A:$D,4,FALSE)</f>
        <v>6</v>
      </c>
      <c r="J1160" t="str">
        <f>VLOOKUP(I1160,[2]categories!$A$1:$B$8,2,FALSE)</f>
        <v>Mountain Bikes</v>
      </c>
    </row>
    <row r="1161" customHeight="1" spans="1:10">
      <c r="A1161" s="1">
        <v>415</v>
      </c>
      <c r="B1161" s="1">
        <v>4</v>
      </c>
      <c r="C1161" s="1">
        <v>6</v>
      </c>
      <c r="D1161" s="1">
        <v>2</v>
      </c>
      <c r="E1161" s="1">
        <v>469.99</v>
      </c>
      <c r="F1161" s="1">
        <v>0.05</v>
      </c>
      <c r="G1161">
        <f t="shared" si="18"/>
        <v>939.93</v>
      </c>
      <c r="H1161" t="str">
        <f>VLOOKUP(C1161,[1]products!$A:$B,2,FALSE)</f>
        <v>Surly Ice Cream Truck Frameset - 2016</v>
      </c>
      <c r="I1161">
        <f>VLOOKUP(C1161,[1]products!$A:$D,4,FALSE)</f>
        <v>6</v>
      </c>
      <c r="J1161" t="str">
        <f>VLOOKUP(I1161,[2]categories!$A$1:$B$8,2,FALSE)</f>
        <v>Mountain Bikes</v>
      </c>
    </row>
    <row r="1162" customHeight="1" spans="1:10">
      <c r="A1162" s="1">
        <v>416</v>
      </c>
      <c r="B1162" s="1">
        <v>1</v>
      </c>
      <c r="C1162" s="1">
        <v>22</v>
      </c>
      <c r="D1162" s="1">
        <v>1</v>
      </c>
      <c r="E1162" s="1">
        <v>269.99</v>
      </c>
      <c r="F1162" s="1">
        <v>0.07</v>
      </c>
      <c r="G1162">
        <f t="shared" si="18"/>
        <v>269.92</v>
      </c>
      <c r="H1162" t="str">
        <f>VLOOKUP(C1162,[1]products!$A:$B,2,FALSE)</f>
        <v>Electra Girl's Hawaii 1 (16-inch) - 2015/2016</v>
      </c>
      <c r="I1162">
        <f>VLOOKUP(C1162,[1]products!$A:$D,4,FALSE)</f>
        <v>1</v>
      </c>
      <c r="J1162" t="str">
        <f>VLOOKUP(I1162,[2]categories!$A$1:$B$8,2,FALSE)</f>
        <v>Children Bicycles</v>
      </c>
    </row>
    <row r="1163" customHeight="1" spans="1:10">
      <c r="A1163" s="1">
        <v>416</v>
      </c>
      <c r="B1163" s="1">
        <v>2</v>
      </c>
      <c r="C1163" s="1">
        <v>14</v>
      </c>
      <c r="D1163" s="1">
        <v>1</v>
      </c>
      <c r="E1163" s="1">
        <v>269.99</v>
      </c>
      <c r="F1163" s="1">
        <v>0.07</v>
      </c>
      <c r="G1163">
        <f t="shared" si="18"/>
        <v>269.92</v>
      </c>
      <c r="H1163" t="str">
        <f>VLOOKUP(C1163,[1]products!$A:$B,2,FALSE)</f>
        <v>Electra Girl's Hawaii 1 (16-inch) - 2015/2016</v>
      </c>
      <c r="I1163">
        <f>VLOOKUP(C1163,[1]products!$A:$D,4,FALSE)</f>
        <v>3</v>
      </c>
      <c r="J1163" t="str">
        <f>VLOOKUP(I1163,[2]categories!$A$1:$B$8,2,FALSE)</f>
        <v>Cruisers Bicycles</v>
      </c>
    </row>
    <row r="1164" customHeight="1" spans="1:10">
      <c r="A1164" s="1">
        <v>416</v>
      </c>
      <c r="B1164" s="1">
        <v>3</v>
      </c>
      <c r="C1164" s="1">
        <v>24</v>
      </c>
      <c r="D1164" s="1">
        <v>1</v>
      </c>
      <c r="E1164" s="1">
        <v>549.99</v>
      </c>
      <c r="F1164" s="1">
        <v>0.1</v>
      </c>
      <c r="G1164">
        <f t="shared" si="18"/>
        <v>549.89</v>
      </c>
      <c r="H1164" t="str">
        <f>VLOOKUP(C1164,[1]products!$A:$B,2,FALSE)</f>
        <v>Electra Townie Original 21D - 2016</v>
      </c>
      <c r="I1164">
        <f>VLOOKUP(C1164,[1]products!$A:$D,4,FALSE)</f>
        <v>2</v>
      </c>
      <c r="J1164" t="str">
        <f>VLOOKUP(I1164,[2]categories!$A$1:$B$8,2,FALSE)</f>
        <v>Comfort Bicycles</v>
      </c>
    </row>
    <row r="1165" customHeight="1" spans="1:10">
      <c r="A1165" s="1">
        <v>417</v>
      </c>
      <c r="B1165" s="1">
        <v>1</v>
      </c>
      <c r="C1165" s="1">
        <v>26</v>
      </c>
      <c r="D1165" s="1">
        <v>2</v>
      </c>
      <c r="E1165" s="1">
        <v>599.99</v>
      </c>
      <c r="F1165" s="1">
        <v>0.07</v>
      </c>
      <c r="G1165">
        <f t="shared" si="18"/>
        <v>1199.91</v>
      </c>
      <c r="H1165" t="str">
        <f>VLOOKUP(C1165,[1]products!$A:$B,2,FALSE)</f>
        <v>Electra Townie Original 7D EQ - 2016</v>
      </c>
      <c r="I1165">
        <f>VLOOKUP(C1165,[1]products!$A:$D,4,FALSE)</f>
        <v>2</v>
      </c>
      <c r="J1165" t="str">
        <f>VLOOKUP(I1165,[2]categories!$A$1:$B$8,2,FALSE)</f>
        <v>Comfort Bicycles</v>
      </c>
    </row>
    <row r="1166" customHeight="1" spans="1:10">
      <c r="A1166" s="1">
        <v>417</v>
      </c>
      <c r="B1166" s="1">
        <v>2</v>
      </c>
      <c r="C1166" s="1">
        <v>6</v>
      </c>
      <c r="D1166" s="1">
        <v>2</v>
      </c>
      <c r="E1166" s="1">
        <v>469.99</v>
      </c>
      <c r="F1166" s="1">
        <v>0.07</v>
      </c>
      <c r="G1166">
        <f t="shared" si="18"/>
        <v>939.91</v>
      </c>
      <c r="H1166" t="str">
        <f>VLOOKUP(C1166,[1]products!$A:$B,2,FALSE)</f>
        <v>Surly Ice Cream Truck Frameset - 2016</v>
      </c>
      <c r="I1166">
        <f>VLOOKUP(C1166,[1]products!$A:$D,4,FALSE)</f>
        <v>6</v>
      </c>
      <c r="J1166" t="str">
        <f>VLOOKUP(I1166,[2]categories!$A$1:$B$8,2,FALSE)</f>
        <v>Mountain Bikes</v>
      </c>
    </row>
    <row r="1167" customHeight="1" spans="1:10">
      <c r="A1167" s="1">
        <v>418</v>
      </c>
      <c r="B1167" s="1">
        <v>1</v>
      </c>
      <c r="C1167" s="1">
        <v>12</v>
      </c>
      <c r="D1167" s="1">
        <v>1</v>
      </c>
      <c r="E1167" s="1">
        <v>549.99</v>
      </c>
      <c r="F1167" s="1">
        <v>0.05</v>
      </c>
      <c r="G1167">
        <f t="shared" si="18"/>
        <v>549.94</v>
      </c>
      <c r="H1167" t="str">
        <f>VLOOKUP(C1167,[1]products!$A:$B,2,FALSE)</f>
        <v>Electra Townie Original 21D - 2016</v>
      </c>
      <c r="I1167">
        <f>VLOOKUP(C1167,[1]products!$A:$D,4,FALSE)</f>
        <v>3</v>
      </c>
      <c r="J1167" t="str">
        <f>VLOOKUP(I1167,[2]categories!$A$1:$B$8,2,FALSE)</f>
        <v>Cruisers Bicycles</v>
      </c>
    </row>
    <row r="1168" customHeight="1" spans="1:10">
      <c r="A1168" s="1">
        <v>418</v>
      </c>
      <c r="B1168" s="1">
        <v>2</v>
      </c>
      <c r="C1168" s="1">
        <v>20</v>
      </c>
      <c r="D1168" s="1">
        <v>1</v>
      </c>
      <c r="E1168" s="1">
        <v>599.99</v>
      </c>
      <c r="F1168" s="1">
        <v>0.05</v>
      </c>
      <c r="G1168">
        <f t="shared" si="18"/>
        <v>599.94</v>
      </c>
      <c r="H1168" t="str">
        <f>VLOOKUP(C1168,[1]products!$A:$B,2,FALSE)</f>
        <v>Electra Townie Original 7D EQ - Women's - 2016</v>
      </c>
      <c r="I1168">
        <f>VLOOKUP(C1168,[1]products!$A:$D,4,FALSE)</f>
        <v>3</v>
      </c>
      <c r="J1168" t="str">
        <f>VLOOKUP(I1168,[2]categories!$A$1:$B$8,2,FALSE)</f>
        <v>Cruisers Bicycles</v>
      </c>
    </row>
    <row r="1169" customHeight="1" spans="1:10">
      <c r="A1169" s="1">
        <v>419</v>
      </c>
      <c r="B1169" s="1">
        <v>1</v>
      </c>
      <c r="C1169" s="1">
        <v>9</v>
      </c>
      <c r="D1169" s="1">
        <v>1</v>
      </c>
      <c r="E1169" s="1">
        <v>2999.99</v>
      </c>
      <c r="F1169" s="1">
        <v>0.05</v>
      </c>
      <c r="G1169">
        <f t="shared" si="18"/>
        <v>2999.94</v>
      </c>
      <c r="H1169" t="str">
        <f>VLOOKUP(C1169,[1]products!$A:$B,2,FALSE)</f>
        <v>Trek Conduit+ - 2016</v>
      </c>
      <c r="I1169">
        <f>VLOOKUP(C1169,[1]products!$A:$D,4,FALSE)</f>
        <v>5</v>
      </c>
      <c r="J1169" t="str">
        <f>VLOOKUP(I1169,[2]categories!$A$1:$B$8,2,FALSE)</f>
        <v>Electric Bikes</v>
      </c>
    </row>
    <row r="1170" customHeight="1" spans="1:10">
      <c r="A1170" s="1">
        <v>420</v>
      </c>
      <c r="B1170" s="1">
        <v>1</v>
      </c>
      <c r="C1170" s="1">
        <v>17</v>
      </c>
      <c r="D1170" s="1">
        <v>2</v>
      </c>
      <c r="E1170" s="1">
        <v>429</v>
      </c>
      <c r="F1170" s="1">
        <v>0.2</v>
      </c>
      <c r="G1170">
        <f t="shared" si="18"/>
        <v>857.8</v>
      </c>
      <c r="H1170" t="str">
        <f>VLOOKUP(C1170,[1]products!$A:$B,2,FALSE)</f>
        <v>Pure Cycles Vine 8-Speed - 2016</v>
      </c>
      <c r="I1170">
        <f>VLOOKUP(C1170,[1]products!$A:$D,4,FALSE)</f>
        <v>3</v>
      </c>
      <c r="J1170" t="str">
        <f>VLOOKUP(I1170,[2]categories!$A$1:$B$8,2,FALSE)</f>
        <v>Cruisers Bicycles</v>
      </c>
    </row>
    <row r="1171" customHeight="1" spans="1:10">
      <c r="A1171" s="1">
        <v>420</v>
      </c>
      <c r="B1171" s="1">
        <v>2</v>
      </c>
      <c r="C1171" s="1">
        <v>15</v>
      </c>
      <c r="D1171" s="1">
        <v>2</v>
      </c>
      <c r="E1171" s="1">
        <v>529.99</v>
      </c>
      <c r="F1171" s="1">
        <v>0.1</v>
      </c>
      <c r="G1171">
        <f t="shared" si="18"/>
        <v>1059.88</v>
      </c>
      <c r="H1171" t="str">
        <f>VLOOKUP(C1171,[1]products!$A:$B,2,FALSE)</f>
        <v>Electra Moto 1 - 2016</v>
      </c>
      <c r="I1171">
        <f>VLOOKUP(C1171,[1]products!$A:$D,4,FALSE)</f>
        <v>3</v>
      </c>
      <c r="J1171" t="str">
        <f>VLOOKUP(I1171,[2]categories!$A$1:$B$8,2,FALSE)</f>
        <v>Cruisers Bicycles</v>
      </c>
    </row>
    <row r="1172" customHeight="1" spans="1:10">
      <c r="A1172" s="1">
        <v>420</v>
      </c>
      <c r="B1172" s="1">
        <v>3</v>
      </c>
      <c r="C1172" s="1">
        <v>3</v>
      </c>
      <c r="D1172" s="1">
        <v>2</v>
      </c>
      <c r="E1172" s="1">
        <v>999.99</v>
      </c>
      <c r="F1172" s="1">
        <v>0.05</v>
      </c>
      <c r="G1172">
        <f t="shared" si="18"/>
        <v>1999.93</v>
      </c>
      <c r="H1172" t="str">
        <f>VLOOKUP(C1172,[1]products!$A:$B,2,FALSE)</f>
        <v>Surly Wednesday Frameset - 2016</v>
      </c>
      <c r="I1172">
        <f>VLOOKUP(C1172,[1]products!$A:$D,4,FALSE)</f>
        <v>6</v>
      </c>
      <c r="J1172" t="str">
        <f>VLOOKUP(I1172,[2]categories!$A$1:$B$8,2,FALSE)</f>
        <v>Mountain Bikes</v>
      </c>
    </row>
    <row r="1173" customHeight="1" spans="1:10">
      <c r="A1173" s="1">
        <v>421</v>
      </c>
      <c r="B1173" s="1">
        <v>1</v>
      </c>
      <c r="C1173" s="1">
        <v>6</v>
      </c>
      <c r="D1173" s="1">
        <v>2</v>
      </c>
      <c r="E1173" s="1">
        <v>469.99</v>
      </c>
      <c r="F1173" s="1">
        <v>0.07</v>
      </c>
      <c r="G1173">
        <f t="shared" si="18"/>
        <v>939.91</v>
      </c>
      <c r="H1173" t="str">
        <f>VLOOKUP(C1173,[1]products!$A:$B,2,FALSE)</f>
        <v>Surly Ice Cream Truck Frameset - 2016</v>
      </c>
      <c r="I1173">
        <f>VLOOKUP(C1173,[1]products!$A:$D,4,FALSE)</f>
        <v>6</v>
      </c>
      <c r="J1173" t="str">
        <f>VLOOKUP(I1173,[2]categories!$A$1:$B$8,2,FALSE)</f>
        <v>Mountain Bikes</v>
      </c>
    </row>
    <row r="1174" customHeight="1" spans="1:10">
      <c r="A1174" s="1">
        <v>421</v>
      </c>
      <c r="B1174" s="1">
        <v>2</v>
      </c>
      <c r="C1174" s="1">
        <v>3</v>
      </c>
      <c r="D1174" s="1">
        <v>2</v>
      </c>
      <c r="E1174" s="1">
        <v>999.99</v>
      </c>
      <c r="F1174" s="1">
        <v>0.2</v>
      </c>
      <c r="G1174">
        <f t="shared" si="18"/>
        <v>1999.78</v>
      </c>
      <c r="H1174" t="str">
        <f>VLOOKUP(C1174,[1]products!$A:$B,2,FALSE)</f>
        <v>Surly Wednesday Frameset - 2016</v>
      </c>
      <c r="I1174">
        <f>VLOOKUP(C1174,[1]products!$A:$D,4,FALSE)</f>
        <v>6</v>
      </c>
      <c r="J1174" t="str">
        <f>VLOOKUP(I1174,[2]categories!$A$1:$B$8,2,FALSE)</f>
        <v>Mountain Bikes</v>
      </c>
    </row>
    <row r="1175" customHeight="1" spans="1:10">
      <c r="A1175" s="1">
        <v>421</v>
      </c>
      <c r="B1175" s="1">
        <v>3</v>
      </c>
      <c r="C1175" s="1">
        <v>20</v>
      </c>
      <c r="D1175" s="1">
        <v>2</v>
      </c>
      <c r="E1175" s="1">
        <v>599.99</v>
      </c>
      <c r="F1175" s="1">
        <v>0.2</v>
      </c>
      <c r="G1175">
        <f t="shared" si="18"/>
        <v>1199.78</v>
      </c>
      <c r="H1175" t="str">
        <f>VLOOKUP(C1175,[1]products!$A:$B,2,FALSE)</f>
        <v>Electra Townie Original 7D EQ - Women's - 2016</v>
      </c>
      <c r="I1175">
        <f>VLOOKUP(C1175,[1]products!$A:$D,4,FALSE)</f>
        <v>3</v>
      </c>
      <c r="J1175" t="str">
        <f>VLOOKUP(I1175,[2]categories!$A$1:$B$8,2,FALSE)</f>
        <v>Cruisers Bicycles</v>
      </c>
    </row>
    <row r="1176" customHeight="1" spans="1:10">
      <c r="A1176" s="1">
        <v>421</v>
      </c>
      <c r="B1176" s="1">
        <v>4</v>
      </c>
      <c r="C1176" s="1">
        <v>4</v>
      </c>
      <c r="D1176" s="1">
        <v>1</v>
      </c>
      <c r="E1176" s="1">
        <v>2899.99</v>
      </c>
      <c r="F1176" s="1">
        <v>0.07</v>
      </c>
      <c r="G1176">
        <f t="shared" si="18"/>
        <v>2899.92</v>
      </c>
      <c r="H1176" t="str">
        <f>VLOOKUP(C1176,[1]products!$A:$B,2,FALSE)</f>
        <v>Trek Fuel EX 8 29 - 2016</v>
      </c>
      <c r="I1176">
        <f>VLOOKUP(C1176,[1]products!$A:$D,4,FALSE)</f>
        <v>6</v>
      </c>
      <c r="J1176" t="str">
        <f>VLOOKUP(I1176,[2]categories!$A$1:$B$8,2,FALSE)</f>
        <v>Mountain Bikes</v>
      </c>
    </row>
    <row r="1177" customHeight="1" spans="1:10">
      <c r="A1177" s="1">
        <v>421</v>
      </c>
      <c r="B1177" s="1">
        <v>5</v>
      </c>
      <c r="C1177" s="1">
        <v>23</v>
      </c>
      <c r="D1177" s="1">
        <v>2</v>
      </c>
      <c r="E1177" s="1">
        <v>299.99</v>
      </c>
      <c r="F1177" s="1">
        <v>0.2</v>
      </c>
      <c r="G1177">
        <f t="shared" si="18"/>
        <v>599.78</v>
      </c>
      <c r="H1177" t="str">
        <f>VLOOKUP(C1177,[1]products!$A:$B,2,FALSE)</f>
        <v>Electra Girl's Hawaii 1 (20-inch) - 2015/2016</v>
      </c>
      <c r="I1177">
        <f>VLOOKUP(C1177,[1]products!$A:$D,4,FALSE)</f>
        <v>1</v>
      </c>
      <c r="J1177" t="str">
        <f>VLOOKUP(I1177,[2]categories!$A$1:$B$8,2,FALSE)</f>
        <v>Children Bicycles</v>
      </c>
    </row>
    <row r="1178" customHeight="1" spans="1:10">
      <c r="A1178" s="1">
        <v>422</v>
      </c>
      <c r="B1178" s="1">
        <v>1</v>
      </c>
      <c r="C1178" s="1">
        <v>20</v>
      </c>
      <c r="D1178" s="1">
        <v>2</v>
      </c>
      <c r="E1178" s="1">
        <v>599.99</v>
      </c>
      <c r="F1178" s="1">
        <v>0.05</v>
      </c>
      <c r="G1178">
        <f t="shared" si="18"/>
        <v>1199.93</v>
      </c>
      <c r="H1178" t="str">
        <f>VLOOKUP(C1178,[1]products!$A:$B,2,FALSE)</f>
        <v>Electra Townie Original 7D EQ - Women's - 2016</v>
      </c>
      <c r="I1178">
        <f>VLOOKUP(C1178,[1]products!$A:$D,4,FALSE)</f>
        <v>3</v>
      </c>
      <c r="J1178" t="str">
        <f>VLOOKUP(I1178,[2]categories!$A$1:$B$8,2,FALSE)</f>
        <v>Cruisers Bicycles</v>
      </c>
    </row>
    <row r="1179" customHeight="1" spans="1:10">
      <c r="A1179" s="1">
        <v>423</v>
      </c>
      <c r="B1179" s="1">
        <v>1</v>
      </c>
      <c r="C1179" s="1">
        <v>8</v>
      </c>
      <c r="D1179" s="1">
        <v>2</v>
      </c>
      <c r="E1179" s="1">
        <v>1799.99</v>
      </c>
      <c r="F1179" s="1">
        <v>0.05</v>
      </c>
      <c r="G1179">
        <f t="shared" si="18"/>
        <v>3599.93</v>
      </c>
      <c r="H1179" t="str">
        <f>VLOOKUP(C1179,[1]products!$A:$B,2,FALSE)</f>
        <v>Trek Remedy 29 Carbon Frameset - 2016</v>
      </c>
      <c r="I1179">
        <f>VLOOKUP(C1179,[1]products!$A:$D,4,FALSE)</f>
        <v>6</v>
      </c>
      <c r="J1179" t="str">
        <f>VLOOKUP(I1179,[2]categories!$A$1:$B$8,2,FALSE)</f>
        <v>Mountain Bikes</v>
      </c>
    </row>
    <row r="1180" customHeight="1" spans="1:10">
      <c r="A1180" s="1">
        <v>423</v>
      </c>
      <c r="B1180" s="1">
        <v>2</v>
      </c>
      <c r="C1180" s="1">
        <v>17</v>
      </c>
      <c r="D1180" s="1">
        <v>1</v>
      </c>
      <c r="E1180" s="1">
        <v>429</v>
      </c>
      <c r="F1180" s="1">
        <v>0.2</v>
      </c>
      <c r="G1180">
        <f t="shared" si="18"/>
        <v>428.8</v>
      </c>
      <c r="H1180" t="str">
        <f>VLOOKUP(C1180,[1]products!$A:$B,2,FALSE)</f>
        <v>Pure Cycles Vine 8-Speed - 2016</v>
      </c>
      <c r="I1180">
        <f>VLOOKUP(C1180,[1]products!$A:$D,4,FALSE)</f>
        <v>3</v>
      </c>
      <c r="J1180" t="str">
        <f>VLOOKUP(I1180,[2]categories!$A$1:$B$8,2,FALSE)</f>
        <v>Cruisers Bicycles</v>
      </c>
    </row>
    <row r="1181" customHeight="1" spans="1:10">
      <c r="A1181" s="1">
        <v>423</v>
      </c>
      <c r="B1181" s="1">
        <v>3</v>
      </c>
      <c r="C1181" s="1">
        <v>23</v>
      </c>
      <c r="D1181" s="1">
        <v>2</v>
      </c>
      <c r="E1181" s="1">
        <v>299.99</v>
      </c>
      <c r="F1181" s="1">
        <v>0.07</v>
      </c>
      <c r="G1181">
        <f t="shared" si="18"/>
        <v>599.91</v>
      </c>
      <c r="H1181" t="str">
        <f>VLOOKUP(C1181,[1]products!$A:$B,2,FALSE)</f>
        <v>Electra Girl's Hawaii 1 (20-inch) - 2015/2016</v>
      </c>
      <c r="I1181">
        <f>VLOOKUP(C1181,[1]products!$A:$D,4,FALSE)</f>
        <v>1</v>
      </c>
      <c r="J1181" t="str">
        <f>VLOOKUP(I1181,[2]categories!$A$1:$B$8,2,FALSE)</f>
        <v>Children Bicycles</v>
      </c>
    </row>
    <row r="1182" customHeight="1" spans="1:10">
      <c r="A1182" s="1">
        <v>423</v>
      </c>
      <c r="B1182" s="1">
        <v>4</v>
      </c>
      <c r="C1182" s="1">
        <v>2</v>
      </c>
      <c r="D1182" s="1">
        <v>1</v>
      </c>
      <c r="E1182" s="1">
        <v>749.99</v>
      </c>
      <c r="F1182" s="1">
        <v>0.2</v>
      </c>
      <c r="G1182">
        <f t="shared" si="18"/>
        <v>749.79</v>
      </c>
      <c r="H1182" t="str">
        <f>VLOOKUP(C1182,[1]products!$A:$B,2,FALSE)</f>
        <v>Ritchey Timberwolf Frameset - 2016</v>
      </c>
      <c r="I1182">
        <f>VLOOKUP(C1182,[1]products!$A:$D,4,FALSE)</f>
        <v>6</v>
      </c>
      <c r="J1182" t="str">
        <f>VLOOKUP(I1182,[2]categories!$A$1:$B$8,2,FALSE)</f>
        <v>Mountain Bikes</v>
      </c>
    </row>
    <row r="1183" customHeight="1" spans="1:10">
      <c r="A1183" s="1">
        <v>424</v>
      </c>
      <c r="B1183" s="1">
        <v>1</v>
      </c>
      <c r="C1183" s="1">
        <v>22</v>
      </c>
      <c r="D1183" s="1">
        <v>1</v>
      </c>
      <c r="E1183" s="1">
        <v>269.99</v>
      </c>
      <c r="F1183" s="1">
        <v>0.1</v>
      </c>
      <c r="G1183">
        <f t="shared" si="18"/>
        <v>269.89</v>
      </c>
      <c r="H1183" t="str">
        <f>VLOOKUP(C1183,[1]products!$A:$B,2,FALSE)</f>
        <v>Electra Girl's Hawaii 1 (16-inch) - 2015/2016</v>
      </c>
      <c r="I1183">
        <f>VLOOKUP(C1183,[1]products!$A:$D,4,FALSE)</f>
        <v>1</v>
      </c>
      <c r="J1183" t="str">
        <f>VLOOKUP(I1183,[2]categories!$A$1:$B$8,2,FALSE)</f>
        <v>Children Bicycles</v>
      </c>
    </row>
    <row r="1184" customHeight="1" spans="1:10">
      <c r="A1184" s="1">
        <v>424</v>
      </c>
      <c r="B1184" s="1">
        <v>2</v>
      </c>
      <c r="C1184" s="1">
        <v>6</v>
      </c>
      <c r="D1184" s="1">
        <v>1</v>
      </c>
      <c r="E1184" s="1">
        <v>469.99</v>
      </c>
      <c r="F1184" s="1">
        <v>0.05</v>
      </c>
      <c r="G1184">
        <f t="shared" si="18"/>
        <v>469.94</v>
      </c>
      <c r="H1184" t="str">
        <f>VLOOKUP(C1184,[1]products!$A:$B,2,FALSE)</f>
        <v>Surly Ice Cream Truck Frameset - 2016</v>
      </c>
      <c r="I1184">
        <f>VLOOKUP(C1184,[1]products!$A:$D,4,FALSE)</f>
        <v>6</v>
      </c>
      <c r="J1184" t="str">
        <f>VLOOKUP(I1184,[2]categories!$A$1:$B$8,2,FALSE)</f>
        <v>Mountain Bikes</v>
      </c>
    </row>
    <row r="1185" customHeight="1" spans="1:10">
      <c r="A1185" s="1">
        <v>425</v>
      </c>
      <c r="B1185" s="1">
        <v>1</v>
      </c>
      <c r="C1185" s="1">
        <v>6</v>
      </c>
      <c r="D1185" s="1">
        <v>1</v>
      </c>
      <c r="E1185" s="1">
        <v>469.99</v>
      </c>
      <c r="F1185" s="1">
        <v>0.1</v>
      </c>
      <c r="G1185">
        <f t="shared" si="18"/>
        <v>469.89</v>
      </c>
      <c r="H1185" t="str">
        <f>VLOOKUP(C1185,[1]products!$A:$B,2,FALSE)</f>
        <v>Surly Ice Cream Truck Frameset - 2016</v>
      </c>
      <c r="I1185">
        <f>VLOOKUP(C1185,[1]products!$A:$D,4,FALSE)</f>
        <v>6</v>
      </c>
      <c r="J1185" t="str">
        <f>VLOOKUP(I1185,[2]categories!$A$1:$B$8,2,FALSE)</f>
        <v>Mountain Bikes</v>
      </c>
    </row>
    <row r="1186" customHeight="1" spans="1:10">
      <c r="A1186" s="1">
        <v>425</v>
      </c>
      <c r="B1186" s="1">
        <v>2</v>
      </c>
      <c r="C1186" s="1">
        <v>21</v>
      </c>
      <c r="D1186" s="1">
        <v>2</v>
      </c>
      <c r="E1186" s="1">
        <v>269.99</v>
      </c>
      <c r="F1186" s="1">
        <v>0.07</v>
      </c>
      <c r="G1186">
        <f t="shared" si="18"/>
        <v>539.91</v>
      </c>
      <c r="H1186" t="str">
        <f>VLOOKUP(C1186,[1]products!$A:$B,2,FALSE)</f>
        <v>Electra Cruiser 1 (24-Inch) - 2016</v>
      </c>
      <c r="I1186">
        <f>VLOOKUP(C1186,[1]products!$A:$D,4,FALSE)</f>
        <v>1</v>
      </c>
      <c r="J1186" t="str">
        <f>VLOOKUP(I1186,[2]categories!$A$1:$B$8,2,FALSE)</f>
        <v>Children Bicycles</v>
      </c>
    </row>
    <row r="1187" customHeight="1" spans="1:10">
      <c r="A1187" s="1">
        <v>425</v>
      </c>
      <c r="B1187" s="1">
        <v>3</v>
      </c>
      <c r="C1187" s="1">
        <v>19</v>
      </c>
      <c r="D1187" s="1">
        <v>1</v>
      </c>
      <c r="E1187" s="1">
        <v>449</v>
      </c>
      <c r="F1187" s="1">
        <v>0.05</v>
      </c>
      <c r="G1187">
        <f t="shared" si="18"/>
        <v>448.95</v>
      </c>
      <c r="H1187" t="str">
        <f>VLOOKUP(C1187,[1]products!$A:$B,2,FALSE)</f>
        <v>Pure Cycles William 3-Speed - 2016</v>
      </c>
      <c r="I1187">
        <f>VLOOKUP(C1187,[1]products!$A:$D,4,FALSE)</f>
        <v>3</v>
      </c>
      <c r="J1187" t="str">
        <f>VLOOKUP(I1187,[2]categories!$A$1:$B$8,2,FALSE)</f>
        <v>Cruisers Bicycles</v>
      </c>
    </row>
    <row r="1188" customHeight="1" spans="1:10">
      <c r="A1188" s="1">
        <v>426</v>
      </c>
      <c r="B1188" s="1">
        <v>1</v>
      </c>
      <c r="C1188" s="1">
        <v>10</v>
      </c>
      <c r="D1188" s="1">
        <v>1</v>
      </c>
      <c r="E1188" s="1">
        <v>1549</v>
      </c>
      <c r="F1188" s="1">
        <v>0.1</v>
      </c>
      <c r="G1188">
        <f t="shared" si="18"/>
        <v>1548.9</v>
      </c>
      <c r="H1188" t="str">
        <f>VLOOKUP(C1188,[1]products!$A:$B,2,FALSE)</f>
        <v>Surly Straggler - 2016</v>
      </c>
      <c r="I1188">
        <f>VLOOKUP(C1188,[1]products!$A:$D,4,FALSE)</f>
        <v>4</v>
      </c>
      <c r="J1188" t="str">
        <f>VLOOKUP(I1188,[2]categories!$A$1:$B$8,2,FALSE)</f>
        <v>Cyclocross Bicycles</v>
      </c>
    </row>
    <row r="1189" customHeight="1" spans="1:10">
      <c r="A1189" s="1">
        <v>426</v>
      </c>
      <c r="B1189" s="1">
        <v>2</v>
      </c>
      <c r="C1189" s="1">
        <v>23</v>
      </c>
      <c r="D1189" s="1">
        <v>2</v>
      </c>
      <c r="E1189" s="1">
        <v>299.99</v>
      </c>
      <c r="F1189" s="1">
        <v>0.05</v>
      </c>
      <c r="G1189">
        <f t="shared" si="18"/>
        <v>599.93</v>
      </c>
      <c r="H1189" t="str">
        <f>VLOOKUP(C1189,[1]products!$A:$B,2,FALSE)</f>
        <v>Electra Girl's Hawaii 1 (20-inch) - 2015/2016</v>
      </c>
      <c r="I1189">
        <f>VLOOKUP(C1189,[1]products!$A:$D,4,FALSE)</f>
        <v>1</v>
      </c>
      <c r="J1189" t="str">
        <f>VLOOKUP(I1189,[2]categories!$A$1:$B$8,2,FALSE)</f>
        <v>Children Bicycles</v>
      </c>
    </row>
    <row r="1190" customHeight="1" spans="1:10">
      <c r="A1190" s="1">
        <v>427</v>
      </c>
      <c r="B1190" s="1">
        <v>1</v>
      </c>
      <c r="C1190" s="1">
        <v>12</v>
      </c>
      <c r="D1190" s="1">
        <v>2</v>
      </c>
      <c r="E1190" s="1">
        <v>549.99</v>
      </c>
      <c r="F1190" s="1">
        <v>0.07</v>
      </c>
      <c r="G1190">
        <f t="shared" si="18"/>
        <v>1099.91</v>
      </c>
      <c r="H1190" t="str">
        <f>VLOOKUP(C1190,[1]products!$A:$B,2,FALSE)</f>
        <v>Electra Townie Original 21D - 2016</v>
      </c>
      <c r="I1190">
        <f>VLOOKUP(C1190,[1]products!$A:$D,4,FALSE)</f>
        <v>3</v>
      </c>
      <c r="J1190" t="str">
        <f>VLOOKUP(I1190,[2]categories!$A$1:$B$8,2,FALSE)</f>
        <v>Cruisers Bicycles</v>
      </c>
    </row>
    <row r="1191" customHeight="1" spans="1:10">
      <c r="A1191" s="1">
        <v>427</v>
      </c>
      <c r="B1191" s="1">
        <v>2</v>
      </c>
      <c r="C1191" s="1">
        <v>15</v>
      </c>
      <c r="D1191" s="1">
        <v>2</v>
      </c>
      <c r="E1191" s="1">
        <v>529.99</v>
      </c>
      <c r="F1191" s="1">
        <v>0.1</v>
      </c>
      <c r="G1191">
        <f t="shared" si="18"/>
        <v>1059.88</v>
      </c>
      <c r="H1191" t="str">
        <f>VLOOKUP(C1191,[1]products!$A:$B,2,FALSE)</f>
        <v>Electra Moto 1 - 2016</v>
      </c>
      <c r="I1191">
        <f>VLOOKUP(C1191,[1]products!$A:$D,4,FALSE)</f>
        <v>3</v>
      </c>
      <c r="J1191" t="str">
        <f>VLOOKUP(I1191,[2]categories!$A$1:$B$8,2,FALSE)</f>
        <v>Cruisers Bicycles</v>
      </c>
    </row>
    <row r="1192" customHeight="1" spans="1:10">
      <c r="A1192" s="1">
        <v>427</v>
      </c>
      <c r="B1192" s="1">
        <v>3</v>
      </c>
      <c r="C1192" s="1">
        <v>26</v>
      </c>
      <c r="D1192" s="1">
        <v>2</v>
      </c>
      <c r="E1192" s="1">
        <v>599.99</v>
      </c>
      <c r="F1192" s="1">
        <v>0.07</v>
      </c>
      <c r="G1192">
        <f t="shared" si="18"/>
        <v>1199.91</v>
      </c>
      <c r="H1192" t="str">
        <f>VLOOKUP(C1192,[1]products!$A:$B,2,FALSE)</f>
        <v>Electra Townie Original 7D EQ - 2016</v>
      </c>
      <c r="I1192">
        <f>VLOOKUP(C1192,[1]products!$A:$D,4,FALSE)</f>
        <v>2</v>
      </c>
      <c r="J1192" t="str">
        <f>VLOOKUP(I1192,[2]categories!$A$1:$B$8,2,FALSE)</f>
        <v>Comfort Bicycles</v>
      </c>
    </row>
    <row r="1193" customHeight="1" spans="1:10">
      <c r="A1193" s="1">
        <v>428</v>
      </c>
      <c r="B1193" s="1">
        <v>1</v>
      </c>
      <c r="C1193" s="1">
        <v>5</v>
      </c>
      <c r="D1193" s="1">
        <v>2</v>
      </c>
      <c r="E1193" s="1">
        <v>1320.99</v>
      </c>
      <c r="F1193" s="1">
        <v>0.2</v>
      </c>
      <c r="G1193">
        <f t="shared" si="18"/>
        <v>2641.78</v>
      </c>
      <c r="H1193" t="str">
        <f>VLOOKUP(C1193,[1]products!$A:$B,2,FALSE)</f>
        <v>Heller Shagamaw Frame - 2016</v>
      </c>
      <c r="I1193">
        <f>VLOOKUP(C1193,[1]products!$A:$D,4,FALSE)</f>
        <v>6</v>
      </c>
      <c r="J1193" t="str">
        <f>VLOOKUP(I1193,[2]categories!$A$1:$B$8,2,FALSE)</f>
        <v>Mountain Bikes</v>
      </c>
    </row>
    <row r="1194" customHeight="1" spans="1:10">
      <c r="A1194" s="1">
        <v>428</v>
      </c>
      <c r="B1194" s="1">
        <v>2</v>
      </c>
      <c r="C1194" s="1">
        <v>14</v>
      </c>
      <c r="D1194" s="1">
        <v>1</v>
      </c>
      <c r="E1194" s="1">
        <v>269.99</v>
      </c>
      <c r="F1194" s="1">
        <v>0.2</v>
      </c>
      <c r="G1194">
        <f t="shared" si="18"/>
        <v>269.79</v>
      </c>
      <c r="H1194" t="str">
        <f>VLOOKUP(C1194,[1]products!$A:$B,2,FALSE)</f>
        <v>Electra Girl's Hawaii 1 (16-inch) - 2015/2016</v>
      </c>
      <c r="I1194">
        <f>VLOOKUP(C1194,[1]products!$A:$D,4,FALSE)</f>
        <v>3</v>
      </c>
      <c r="J1194" t="str">
        <f>VLOOKUP(I1194,[2]categories!$A$1:$B$8,2,FALSE)</f>
        <v>Cruisers Bicycles</v>
      </c>
    </row>
    <row r="1195" customHeight="1" spans="1:10">
      <c r="A1195" s="1">
        <v>429</v>
      </c>
      <c r="B1195" s="1">
        <v>1</v>
      </c>
      <c r="C1195" s="1">
        <v>11</v>
      </c>
      <c r="D1195" s="1">
        <v>1</v>
      </c>
      <c r="E1195" s="1">
        <v>1680.99</v>
      </c>
      <c r="F1195" s="1">
        <v>0.2</v>
      </c>
      <c r="G1195">
        <f t="shared" si="18"/>
        <v>1680.79</v>
      </c>
      <c r="H1195" t="str">
        <f>VLOOKUP(C1195,[1]products!$A:$B,2,FALSE)</f>
        <v>Surly Straggler 650b - 2016</v>
      </c>
      <c r="I1195">
        <f>VLOOKUP(C1195,[1]products!$A:$D,4,FALSE)</f>
        <v>4</v>
      </c>
      <c r="J1195" t="str">
        <f>VLOOKUP(I1195,[2]categories!$A$1:$B$8,2,FALSE)</f>
        <v>Cyclocross Bicycles</v>
      </c>
    </row>
    <row r="1196" customHeight="1" spans="1:10">
      <c r="A1196" s="1">
        <v>429</v>
      </c>
      <c r="B1196" s="1">
        <v>2</v>
      </c>
      <c r="C1196" s="1">
        <v>4</v>
      </c>
      <c r="D1196" s="1">
        <v>2</v>
      </c>
      <c r="E1196" s="1">
        <v>2899.99</v>
      </c>
      <c r="F1196" s="1">
        <v>0.1</v>
      </c>
      <c r="G1196">
        <f t="shared" si="18"/>
        <v>5799.88</v>
      </c>
      <c r="H1196" t="str">
        <f>VLOOKUP(C1196,[1]products!$A:$B,2,FALSE)</f>
        <v>Trek Fuel EX 8 29 - 2016</v>
      </c>
      <c r="I1196">
        <f>VLOOKUP(C1196,[1]products!$A:$D,4,FALSE)</f>
        <v>6</v>
      </c>
      <c r="J1196" t="str">
        <f>VLOOKUP(I1196,[2]categories!$A$1:$B$8,2,FALSE)</f>
        <v>Mountain Bikes</v>
      </c>
    </row>
    <row r="1197" customHeight="1" spans="1:10">
      <c r="A1197" s="1">
        <v>429</v>
      </c>
      <c r="B1197" s="1">
        <v>3</v>
      </c>
      <c r="C1197" s="1">
        <v>5</v>
      </c>
      <c r="D1197" s="1">
        <v>2</v>
      </c>
      <c r="E1197" s="1">
        <v>1320.99</v>
      </c>
      <c r="F1197" s="1">
        <v>0.05</v>
      </c>
      <c r="G1197">
        <f t="shared" si="18"/>
        <v>2641.93</v>
      </c>
      <c r="H1197" t="str">
        <f>VLOOKUP(C1197,[1]products!$A:$B,2,FALSE)</f>
        <v>Heller Shagamaw Frame - 2016</v>
      </c>
      <c r="I1197">
        <f>VLOOKUP(C1197,[1]products!$A:$D,4,FALSE)</f>
        <v>6</v>
      </c>
      <c r="J1197" t="str">
        <f>VLOOKUP(I1197,[2]categories!$A$1:$B$8,2,FALSE)</f>
        <v>Mountain Bikes</v>
      </c>
    </row>
    <row r="1198" customHeight="1" spans="1:10">
      <c r="A1198" s="1">
        <v>429</v>
      </c>
      <c r="B1198" s="1">
        <v>4</v>
      </c>
      <c r="C1198" s="1">
        <v>6</v>
      </c>
      <c r="D1198" s="1">
        <v>1</v>
      </c>
      <c r="E1198" s="1">
        <v>469.99</v>
      </c>
      <c r="F1198" s="1">
        <v>0.07</v>
      </c>
      <c r="G1198">
        <f t="shared" si="18"/>
        <v>469.92</v>
      </c>
      <c r="H1198" t="str">
        <f>VLOOKUP(C1198,[1]products!$A:$B,2,FALSE)</f>
        <v>Surly Ice Cream Truck Frameset - 2016</v>
      </c>
      <c r="I1198">
        <f>VLOOKUP(C1198,[1]products!$A:$D,4,FALSE)</f>
        <v>6</v>
      </c>
      <c r="J1198" t="str">
        <f>VLOOKUP(I1198,[2]categories!$A$1:$B$8,2,FALSE)</f>
        <v>Mountain Bikes</v>
      </c>
    </row>
    <row r="1199" customHeight="1" spans="1:10">
      <c r="A1199" s="1">
        <v>429</v>
      </c>
      <c r="B1199" s="1">
        <v>5</v>
      </c>
      <c r="C1199" s="1">
        <v>2</v>
      </c>
      <c r="D1199" s="1">
        <v>1</v>
      </c>
      <c r="E1199" s="1">
        <v>749.99</v>
      </c>
      <c r="F1199" s="1">
        <v>0.1</v>
      </c>
      <c r="G1199">
        <f t="shared" si="18"/>
        <v>749.89</v>
      </c>
      <c r="H1199" t="str">
        <f>VLOOKUP(C1199,[1]products!$A:$B,2,FALSE)</f>
        <v>Ritchey Timberwolf Frameset - 2016</v>
      </c>
      <c r="I1199">
        <f>VLOOKUP(C1199,[1]products!$A:$D,4,FALSE)</f>
        <v>6</v>
      </c>
      <c r="J1199" t="str">
        <f>VLOOKUP(I1199,[2]categories!$A$1:$B$8,2,FALSE)</f>
        <v>Mountain Bikes</v>
      </c>
    </row>
    <row r="1200" customHeight="1" spans="1:10">
      <c r="A1200" s="1">
        <v>430</v>
      </c>
      <c r="B1200" s="1">
        <v>1</v>
      </c>
      <c r="C1200" s="1">
        <v>22</v>
      </c>
      <c r="D1200" s="1">
        <v>2</v>
      </c>
      <c r="E1200" s="1">
        <v>269.99</v>
      </c>
      <c r="F1200" s="1">
        <v>0.1</v>
      </c>
      <c r="G1200">
        <f t="shared" si="18"/>
        <v>539.88</v>
      </c>
      <c r="H1200" t="str">
        <f>VLOOKUP(C1200,[1]products!$A:$B,2,FALSE)</f>
        <v>Electra Girl's Hawaii 1 (16-inch) - 2015/2016</v>
      </c>
      <c r="I1200">
        <f>VLOOKUP(C1200,[1]products!$A:$D,4,FALSE)</f>
        <v>1</v>
      </c>
      <c r="J1200" t="str">
        <f>VLOOKUP(I1200,[2]categories!$A$1:$B$8,2,FALSE)</f>
        <v>Children Bicycles</v>
      </c>
    </row>
    <row r="1201" customHeight="1" spans="1:10">
      <c r="A1201" s="1">
        <v>430</v>
      </c>
      <c r="B1201" s="1">
        <v>2</v>
      </c>
      <c r="C1201" s="1">
        <v>11</v>
      </c>
      <c r="D1201" s="1">
        <v>1</v>
      </c>
      <c r="E1201" s="1">
        <v>1680.99</v>
      </c>
      <c r="F1201" s="1">
        <v>0.07</v>
      </c>
      <c r="G1201">
        <f t="shared" si="18"/>
        <v>1680.92</v>
      </c>
      <c r="H1201" t="str">
        <f>VLOOKUP(C1201,[1]products!$A:$B,2,FALSE)</f>
        <v>Surly Straggler 650b - 2016</v>
      </c>
      <c r="I1201">
        <f>VLOOKUP(C1201,[1]products!$A:$D,4,FALSE)</f>
        <v>4</v>
      </c>
      <c r="J1201" t="str">
        <f>VLOOKUP(I1201,[2]categories!$A$1:$B$8,2,FALSE)</f>
        <v>Cyclocross Bicycles</v>
      </c>
    </row>
    <row r="1202" customHeight="1" spans="1:10">
      <c r="A1202" s="1">
        <v>430</v>
      </c>
      <c r="B1202" s="1">
        <v>3</v>
      </c>
      <c r="C1202" s="1">
        <v>4</v>
      </c>
      <c r="D1202" s="1">
        <v>2</v>
      </c>
      <c r="E1202" s="1">
        <v>2899.99</v>
      </c>
      <c r="F1202" s="1">
        <v>0.2</v>
      </c>
      <c r="G1202">
        <f t="shared" si="18"/>
        <v>5799.78</v>
      </c>
      <c r="H1202" t="str">
        <f>VLOOKUP(C1202,[1]products!$A:$B,2,FALSE)</f>
        <v>Trek Fuel EX 8 29 - 2016</v>
      </c>
      <c r="I1202">
        <f>VLOOKUP(C1202,[1]products!$A:$D,4,FALSE)</f>
        <v>6</v>
      </c>
      <c r="J1202" t="str">
        <f>VLOOKUP(I1202,[2]categories!$A$1:$B$8,2,FALSE)</f>
        <v>Mountain Bikes</v>
      </c>
    </row>
    <row r="1203" customHeight="1" spans="1:10">
      <c r="A1203" s="1">
        <v>430</v>
      </c>
      <c r="B1203" s="1">
        <v>4</v>
      </c>
      <c r="C1203" s="1">
        <v>13</v>
      </c>
      <c r="D1203" s="1">
        <v>2</v>
      </c>
      <c r="E1203" s="1">
        <v>269.99</v>
      </c>
      <c r="F1203" s="1">
        <v>0.2</v>
      </c>
      <c r="G1203">
        <f t="shared" si="18"/>
        <v>539.78</v>
      </c>
      <c r="H1203" t="str">
        <f>VLOOKUP(C1203,[1]products!$A:$B,2,FALSE)</f>
        <v>Electra Cruiser 1 (24-Inch) - 2016</v>
      </c>
      <c r="I1203">
        <f>VLOOKUP(C1203,[1]products!$A:$D,4,FALSE)</f>
        <v>3</v>
      </c>
      <c r="J1203" t="str">
        <f>VLOOKUP(I1203,[2]categories!$A$1:$B$8,2,FALSE)</f>
        <v>Cruisers Bicycles</v>
      </c>
    </row>
    <row r="1204" customHeight="1" spans="1:10">
      <c r="A1204" s="1">
        <v>430</v>
      </c>
      <c r="B1204" s="1">
        <v>5</v>
      </c>
      <c r="C1204" s="1">
        <v>8</v>
      </c>
      <c r="D1204" s="1">
        <v>1</v>
      </c>
      <c r="E1204" s="1">
        <v>1799.99</v>
      </c>
      <c r="F1204" s="1">
        <v>0.2</v>
      </c>
      <c r="G1204">
        <f t="shared" si="18"/>
        <v>1799.79</v>
      </c>
      <c r="H1204" t="str">
        <f>VLOOKUP(C1204,[1]products!$A:$B,2,FALSE)</f>
        <v>Trek Remedy 29 Carbon Frameset - 2016</v>
      </c>
      <c r="I1204">
        <f>VLOOKUP(C1204,[1]products!$A:$D,4,FALSE)</f>
        <v>6</v>
      </c>
      <c r="J1204" t="str">
        <f>VLOOKUP(I1204,[2]categories!$A$1:$B$8,2,FALSE)</f>
        <v>Mountain Bikes</v>
      </c>
    </row>
    <row r="1205" customHeight="1" spans="1:10">
      <c r="A1205" s="1">
        <v>431</v>
      </c>
      <c r="B1205" s="1">
        <v>1</v>
      </c>
      <c r="C1205" s="1">
        <v>14</v>
      </c>
      <c r="D1205" s="1">
        <v>2</v>
      </c>
      <c r="E1205" s="1">
        <v>269.99</v>
      </c>
      <c r="F1205" s="1">
        <v>0.2</v>
      </c>
      <c r="G1205">
        <f t="shared" si="18"/>
        <v>539.78</v>
      </c>
      <c r="H1205" t="str">
        <f>VLOOKUP(C1205,[1]products!$A:$B,2,FALSE)</f>
        <v>Electra Girl's Hawaii 1 (16-inch) - 2015/2016</v>
      </c>
      <c r="I1205">
        <f>VLOOKUP(C1205,[1]products!$A:$D,4,FALSE)</f>
        <v>3</v>
      </c>
      <c r="J1205" t="str">
        <f>VLOOKUP(I1205,[2]categories!$A$1:$B$8,2,FALSE)</f>
        <v>Cruisers Bicycles</v>
      </c>
    </row>
    <row r="1206" customHeight="1" spans="1:10">
      <c r="A1206" s="1">
        <v>431</v>
      </c>
      <c r="B1206" s="1">
        <v>2</v>
      </c>
      <c r="C1206" s="1">
        <v>6</v>
      </c>
      <c r="D1206" s="1">
        <v>1</v>
      </c>
      <c r="E1206" s="1">
        <v>469.99</v>
      </c>
      <c r="F1206" s="1">
        <v>0.1</v>
      </c>
      <c r="G1206">
        <f t="shared" si="18"/>
        <v>469.89</v>
      </c>
      <c r="H1206" t="str">
        <f>VLOOKUP(C1206,[1]products!$A:$B,2,FALSE)</f>
        <v>Surly Ice Cream Truck Frameset - 2016</v>
      </c>
      <c r="I1206">
        <f>VLOOKUP(C1206,[1]products!$A:$D,4,FALSE)</f>
        <v>6</v>
      </c>
      <c r="J1206" t="str">
        <f>VLOOKUP(I1206,[2]categories!$A$1:$B$8,2,FALSE)</f>
        <v>Mountain Bikes</v>
      </c>
    </row>
    <row r="1207" customHeight="1" spans="1:10">
      <c r="A1207" s="1">
        <v>431</v>
      </c>
      <c r="B1207" s="1">
        <v>3</v>
      </c>
      <c r="C1207" s="1">
        <v>18</v>
      </c>
      <c r="D1207" s="1">
        <v>1</v>
      </c>
      <c r="E1207" s="1">
        <v>449</v>
      </c>
      <c r="F1207" s="1">
        <v>0.2</v>
      </c>
      <c r="G1207">
        <f t="shared" si="18"/>
        <v>448.8</v>
      </c>
      <c r="H1207" t="str">
        <f>VLOOKUP(C1207,[1]products!$A:$B,2,FALSE)</f>
        <v>Pure Cycles Western 3-Speed - Women's - 2015/2016</v>
      </c>
      <c r="I1207">
        <f>VLOOKUP(C1207,[1]products!$A:$D,4,FALSE)</f>
        <v>3</v>
      </c>
      <c r="J1207" t="str">
        <f>VLOOKUP(I1207,[2]categories!$A$1:$B$8,2,FALSE)</f>
        <v>Cruisers Bicycles</v>
      </c>
    </row>
    <row r="1208" customHeight="1" spans="1:10">
      <c r="A1208" s="1">
        <v>431</v>
      </c>
      <c r="B1208" s="1">
        <v>4</v>
      </c>
      <c r="C1208" s="1">
        <v>13</v>
      </c>
      <c r="D1208" s="1">
        <v>2</v>
      </c>
      <c r="E1208" s="1">
        <v>269.99</v>
      </c>
      <c r="F1208" s="1">
        <v>0.07</v>
      </c>
      <c r="G1208">
        <f t="shared" si="18"/>
        <v>539.91</v>
      </c>
      <c r="H1208" t="str">
        <f>VLOOKUP(C1208,[1]products!$A:$B,2,FALSE)</f>
        <v>Electra Cruiser 1 (24-Inch) - 2016</v>
      </c>
      <c r="I1208">
        <f>VLOOKUP(C1208,[1]products!$A:$D,4,FALSE)</f>
        <v>3</v>
      </c>
      <c r="J1208" t="str">
        <f>VLOOKUP(I1208,[2]categories!$A$1:$B$8,2,FALSE)</f>
        <v>Cruisers Bicycles</v>
      </c>
    </row>
    <row r="1209" customHeight="1" spans="1:10">
      <c r="A1209" s="1">
        <v>431</v>
      </c>
      <c r="B1209" s="1">
        <v>5</v>
      </c>
      <c r="C1209" s="1">
        <v>19</v>
      </c>
      <c r="D1209" s="1">
        <v>1</v>
      </c>
      <c r="E1209" s="1">
        <v>449</v>
      </c>
      <c r="F1209" s="1">
        <v>0.07</v>
      </c>
      <c r="G1209">
        <f t="shared" si="18"/>
        <v>448.93</v>
      </c>
      <c r="H1209" t="str">
        <f>VLOOKUP(C1209,[1]products!$A:$B,2,FALSE)</f>
        <v>Pure Cycles William 3-Speed - 2016</v>
      </c>
      <c r="I1209">
        <f>VLOOKUP(C1209,[1]products!$A:$D,4,FALSE)</f>
        <v>3</v>
      </c>
      <c r="J1209" t="str">
        <f>VLOOKUP(I1209,[2]categories!$A$1:$B$8,2,FALSE)</f>
        <v>Cruisers Bicycles</v>
      </c>
    </row>
    <row r="1210" customHeight="1" spans="1:10">
      <c r="A1210" s="1">
        <v>432</v>
      </c>
      <c r="B1210" s="1">
        <v>1</v>
      </c>
      <c r="C1210" s="1">
        <v>10</v>
      </c>
      <c r="D1210" s="1">
        <v>2</v>
      </c>
      <c r="E1210" s="1">
        <v>1549</v>
      </c>
      <c r="F1210" s="1">
        <v>0.2</v>
      </c>
      <c r="G1210">
        <f t="shared" si="18"/>
        <v>3097.8</v>
      </c>
      <c r="H1210" t="str">
        <f>VLOOKUP(C1210,[1]products!$A:$B,2,FALSE)</f>
        <v>Surly Straggler - 2016</v>
      </c>
      <c r="I1210">
        <f>VLOOKUP(C1210,[1]products!$A:$D,4,FALSE)</f>
        <v>4</v>
      </c>
      <c r="J1210" t="str">
        <f>VLOOKUP(I1210,[2]categories!$A$1:$B$8,2,FALSE)</f>
        <v>Cyclocross Bicycles</v>
      </c>
    </row>
    <row r="1211" customHeight="1" spans="1:10">
      <c r="A1211" s="1">
        <v>432</v>
      </c>
      <c r="B1211" s="1">
        <v>2</v>
      </c>
      <c r="C1211" s="1">
        <v>7</v>
      </c>
      <c r="D1211" s="1">
        <v>2</v>
      </c>
      <c r="E1211" s="1">
        <v>3999.99</v>
      </c>
      <c r="F1211" s="1">
        <v>0.05</v>
      </c>
      <c r="G1211">
        <f t="shared" si="18"/>
        <v>7999.93</v>
      </c>
      <c r="H1211" t="str">
        <f>VLOOKUP(C1211,[1]products!$A:$B,2,FALSE)</f>
        <v>Trek Slash 8 27.5 - 2016</v>
      </c>
      <c r="I1211">
        <f>VLOOKUP(C1211,[1]products!$A:$D,4,FALSE)</f>
        <v>6</v>
      </c>
      <c r="J1211" t="str">
        <f>VLOOKUP(I1211,[2]categories!$A$1:$B$8,2,FALSE)</f>
        <v>Mountain Bikes</v>
      </c>
    </row>
    <row r="1212" customHeight="1" spans="1:10">
      <c r="A1212" s="1">
        <v>433</v>
      </c>
      <c r="B1212" s="1">
        <v>1</v>
      </c>
      <c r="C1212" s="1">
        <v>6</v>
      </c>
      <c r="D1212" s="1">
        <v>1</v>
      </c>
      <c r="E1212" s="1">
        <v>469.99</v>
      </c>
      <c r="F1212" s="1">
        <v>0.1</v>
      </c>
      <c r="G1212">
        <f t="shared" si="18"/>
        <v>469.89</v>
      </c>
      <c r="H1212" t="str">
        <f>VLOOKUP(C1212,[1]products!$A:$B,2,FALSE)</f>
        <v>Surly Ice Cream Truck Frameset - 2016</v>
      </c>
      <c r="I1212">
        <f>VLOOKUP(C1212,[1]products!$A:$D,4,FALSE)</f>
        <v>6</v>
      </c>
      <c r="J1212" t="str">
        <f>VLOOKUP(I1212,[2]categories!$A$1:$B$8,2,FALSE)</f>
        <v>Mountain Bikes</v>
      </c>
    </row>
    <row r="1213" customHeight="1" spans="1:10">
      <c r="A1213" s="1">
        <v>433</v>
      </c>
      <c r="B1213" s="1">
        <v>2</v>
      </c>
      <c r="C1213" s="1">
        <v>10</v>
      </c>
      <c r="D1213" s="1">
        <v>1</v>
      </c>
      <c r="E1213" s="1">
        <v>1549</v>
      </c>
      <c r="F1213" s="1">
        <v>0.2</v>
      </c>
      <c r="G1213">
        <f t="shared" si="18"/>
        <v>1548.8</v>
      </c>
      <c r="H1213" t="str">
        <f>VLOOKUP(C1213,[1]products!$A:$B,2,FALSE)</f>
        <v>Surly Straggler - 2016</v>
      </c>
      <c r="I1213">
        <f>VLOOKUP(C1213,[1]products!$A:$D,4,FALSE)</f>
        <v>4</v>
      </c>
      <c r="J1213" t="str">
        <f>VLOOKUP(I1213,[2]categories!$A$1:$B$8,2,FALSE)</f>
        <v>Cyclocross Bicycles</v>
      </c>
    </row>
    <row r="1214" customHeight="1" spans="1:10">
      <c r="A1214" s="1">
        <v>433</v>
      </c>
      <c r="B1214" s="1">
        <v>3</v>
      </c>
      <c r="C1214" s="1">
        <v>24</v>
      </c>
      <c r="D1214" s="1">
        <v>1</v>
      </c>
      <c r="E1214" s="1">
        <v>549.99</v>
      </c>
      <c r="F1214" s="1">
        <v>0.1</v>
      </c>
      <c r="G1214">
        <f t="shared" si="18"/>
        <v>549.89</v>
      </c>
      <c r="H1214" t="str">
        <f>VLOOKUP(C1214,[1]products!$A:$B,2,FALSE)</f>
        <v>Electra Townie Original 21D - 2016</v>
      </c>
      <c r="I1214">
        <f>VLOOKUP(C1214,[1]products!$A:$D,4,FALSE)</f>
        <v>2</v>
      </c>
      <c r="J1214" t="str">
        <f>VLOOKUP(I1214,[2]categories!$A$1:$B$8,2,FALSE)</f>
        <v>Comfort Bicycles</v>
      </c>
    </row>
    <row r="1215" customHeight="1" spans="1:10">
      <c r="A1215" s="1">
        <v>433</v>
      </c>
      <c r="B1215" s="1">
        <v>4</v>
      </c>
      <c r="C1215" s="1">
        <v>4</v>
      </c>
      <c r="D1215" s="1">
        <v>1</v>
      </c>
      <c r="E1215" s="1">
        <v>2899.99</v>
      </c>
      <c r="F1215" s="1">
        <v>0.2</v>
      </c>
      <c r="G1215">
        <f t="shared" si="18"/>
        <v>2899.79</v>
      </c>
      <c r="H1215" t="str">
        <f>VLOOKUP(C1215,[1]products!$A:$B,2,FALSE)</f>
        <v>Trek Fuel EX 8 29 - 2016</v>
      </c>
      <c r="I1215">
        <f>VLOOKUP(C1215,[1]products!$A:$D,4,FALSE)</f>
        <v>6</v>
      </c>
      <c r="J1215" t="str">
        <f>VLOOKUP(I1215,[2]categories!$A$1:$B$8,2,FALSE)</f>
        <v>Mountain Bikes</v>
      </c>
    </row>
    <row r="1216" customHeight="1" spans="1:10">
      <c r="A1216" s="1">
        <v>434</v>
      </c>
      <c r="B1216" s="1">
        <v>1</v>
      </c>
      <c r="C1216" s="1">
        <v>21</v>
      </c>
      <c r="D1216" s="1">
        <v>1</v>
      </c>
      <c r="E1216" s="1">
        <v>269.99</v>
      </c>
      <c r="F1216" s="1">
        <v>0.05</v>
      </c>
      <c r="G1216">
        <f t="shared" si="18"/>
        <v>269.94</v>
      </c>
      <c r="H1216" t="str">
        <f>VLOOKUP(C1216,[1]products!$A:$B,2,FALSE)</f>
        <v>Electra Cruiser 1 (24-Inch) - 2016</v>
      </c>
      <c r="I1216">
        <f>VLOOKUP(C1216,[1]products!$A:$D,4,FALSE)</f>
        <v>1</v>
      </c>
      <c r="J1216" t="str">
        <f>VLOOKUP(I1216,[2]categories!$A$1:$B$8,2,FALSE)</f>
        <v>Children Bicycles</v>
      </c>
    </row>
    <row r="1217" customHeight="1" spans="1:10">
      <c r="A1217" s="1">
        <v>434</v>
      </c>
      <c r="B1217" s="1">
        <v>2</v>
      </c>
      <c r="C1217" s="1">
        <v>20</v>
      </c>
      <c r="D1217" s="1">
        <v>1</v>
      </c>
      <c r="E1217" s="1">
        <v>599.99</v>
      </c>
      <c r="F1217" s="1">
        <v>0.1</v>
      </c>
      <c r="G1217">
        <f t="shared" si="18"/>
        <v>599.89</v>
      </c>
      <c r="H1217" t="str">
        <f>VLOOKUP(C1217,[1]products!$A:$B,2,FALSE)</f>
        <v>Electra Townie Original 7D EQ - Women's - 2016</v>
      </c>
      <c r="I1217">
        <f>VLOOKUP(C1217,[1]products!$A:$D,4,FALSE)</f>
        <v>3</v>
      </c>
      <c r="J1217" t="str">
        <f>VLOOKUP(I1217,[2]categories!$A$1:$B$8,2,FALSE)</f>
        <v>Cruisers Bicycles</v>
      </c>
    </row>
    <row r="1218" customHeight="1" spans="1:10">
      <c r="A1218" s="1">
        <v>434</v>
      </c>
      <c r="B1218" s="1">
        <v>3</v>
      </c>
      <c r="C1218" s="1">
        <v>9</v>
      </c>
      <c r="D1218" s="1">
        <v>1</v>
      </c>
      <c r="E1218" s="1">
        <v>2999.99</v>
      </c>
      <c r="F1218" s="1">
        <v>0.2</v>
      </c>
      <c r="G1218">
        <f t="shared" si="18"/>
        <v>2999.79</v>
      </c>
      <c r="H1218" t="str">
        <f>VLOOKUP(C1218,[1]products!$A:$B,2,FALSE)</f>
        <v>Trek Conduit+ - 2016</v>
      </c>
      <c r="I1218">
        <f>VLOOKUP(C1218,[1]products!$A:$D,4,FALSE)</f>
        <v>5</v>
      </c>
      <c r="J1218" t="str">
        <f>VLOOKUP(I1218,[2]categories!$A$1:$B$8,2,FALSE)</f>
        <v>Electric Bikes</v>
      </c>
    </row>
    <row r="1219" customHeight="1" spans="1:10">
      <c r="A1219" s="1">
        <v>434</v>
      </c>
      <c r="B1219" s="1">
        <v>4</v>
      </c>
      <c r="C1219" s="1">
        <v>11</v>
      </c>
      <c r="D1219" s="1">
        <v>2</v>
      </c>
      <c r="E1219" s="1">
        <v>1680.99</v>
      </c>
      <c r="F1219" s="1">
        <v>0.07</v>
      </c>
      <c r="G1219">
        <f t="shared" ref="G1219:G1282" si="19">(E1219*D1219)-F1219</f>
        <v>3361.91</v>
      </c>
      <c r="H1219" t="str">
        <f>VLOOKUP(C1219,[1]products!$A:$B,2,FALSE)</f>
        <v>Surly Straggler 650b - 2016</v>
      </c>
      <c r="I1219">
        <f>VLOOKUP(C1219,[1]products!$A:$D,4,FALSE)</f>
        <v>4</v>
      </c>
      <c r="J1219" t="str">
        <f>VLOOKUP(I1219,[2]categories!$A$1:$B$8,2,FALSE)</f>
        <v>Cyclocross Bicycles</v>
      </c>
    </row>
    <row r="1220" customHeight="1" spans="1:10">
      <c r="A1220" s="1">
        <v>434</v>
      </c>
      <c r="B1220" s="1">
        <v>5</v>
      </c>
      <c r="C1220" s="1">
        <v>18</v>
      </c>
      <c r="D1220" s="1">
        <v>2</v>
      </c>
      <c r="E1220" s="1">
        <v>449</v>
      </c>
      <c r="F1220" s="1">
        <v>0.05</v>
      </c>
      <c r="G1220">
        <f t="shared" si="19"/>
        <v>897.95</v>
      </c>
      <c r="H1220" t="str">
        <f>VLOOKUP(C1220,[1]products!$A:$B,2,FALSE)</f>
        <v>Pure Cycles Western 3-Speed - Women's - 2015/2016</v>
      </c>
      <c r="I1220">
        <f>VLOOKUP(C1220,[1]products!$A:$D,4,FALSE)</f>
        <v>3</v>
      </c>
      <c r="J1220" t="str">
        <f>VLOOKUP(I1220,[2]categories!$A$1:$B$8,2,FALSE)</f>
        <v>Cruisers Bicycles</v>
      </c>
    </row>
    <row r="1221" customHeight="1" spans="1:10">
      <c r="A1221" s="1">
        <v>435</v>
      </c>
      <c r="B1221" s="1">
        <v>1</v>
      </c>
      <c r="C1221" s="1">
        <v>22</v>
      </c>
      <c r="D1221" s="1">
        <v>1</v>
      </c>
      <c r="E1221" s="1">
        <v>269.99</v>
      </c>
      <c r="F1221" s="1">
        <v>0.05</v>
      </c>
      <c r="G1221">
        <f t="shared" si="19"/>
        <v>269.94</v>
      </c>
      <c r="H1221" t="str">
        <f>VLOOKUP(C1221,[1]products!$A:$B,2,FALSE)</f>
        <v>Electra Girl's Hawaii 1 (16-inch) - 2015/2016</v>
      </c>
      <c r="I1221">
        <f>VLOOKUP(C1221,[1]products!$A:$D,4,FALSE)</f>
        <v>1</v>
      </c>
      <c r="J1221" t="str">
        <f>VLOOKUP(I1221,[2]categories!$A$1:$B$8,2,FALSE)</f>
        <v>Children Bicycles</v>
      </c>
    </row>
    <row r="1222" customHeight="1" spans="1:10">
      <c r="A1222" s="1">
        <v>435</v>
      </c>
      <c r="B1222" s="1">
        <v>2</v>
      </c>
      <c r="C1222" s="1">
        <v>9</v>
      </c>
      <c r="D1222" s="1">
        <v>1</v>
      </c>
      <c r="E1222" s="1">
        <v>2999.99</v>
      </c>
      <c r="F1222" s="1">
        <v>0.05</v>
      </c>
      <c r="G1222">
        <f t="shared" si="19"/>
        <v>2999.94</v>
      </c>
      <c r="H1222" t="str">
        <f>VLOOKUP(C1222,[1]products!$A:$B,2,FALSE)</f>
        <v>Trek Conduit+ - 2016</v>
      </c>
      <c r="I1222">
        <f>VLOOKUP(C1222,[1]products!$A:$D,4,FALSE)</f>
        <v>5</v>
      </c>
      <c r="J1222" t="str">
        <f>VLOOKUP(I1222,[2]categories!$A$1:$B$8,2,FALSE)</f>
        <v>Electric Bikes</v>
      </c>
    </row>
    <row r="1223" customHeight="1" spans="1:10">
      <c r="A1223" s="1">
        <v>435</v>
      </c>
      <c r="B1223" s="1">
        <v>3</v>
      </c>
      <c r="C1223" s="1">
        <v>18</v>
      </c>
      <c r="D1223" s="1">
        <v>1</v>
      </c>
      <c r="E1223" s="1">
        <v>449</v>
      </c>
      <c r="F1223" s="1">
        <v>0.05</v>
      </c>
      <c r="G1223">
        <f t="shared" si="19"/>
        <v>448.95</v>
      </c>
      <c r="H1223" t="str">
        <f>VLOOKUP(C1223,[1]products!$A:$B,2,FALSE)</f>
        <v>Pure Cycles Western 3-Speed - Women's - 2015/2016</v>
      </c>
      <c r="I1223">
        <f>VLOOKUP(C1223,[1]products!$A:$D,4,FALSE)</f>
        <v>3</v>
      </c>
      <c r="J1223" t="str">
        <f>VLOOKUP(I1223,[2]categories!$A$1:$B$8,2,FALSE)</f>
        <v>Cruisers Bicycles</v>
      </c>
    </row>
    <row r="1224" customHeight="1" spans="1:10">
      <c r="A1224" s="1">
        <v>436</v>
      </c>
      <c r="B1224" s="1">
        <v>1</v>
      </c>
      <c r="C1224" s="1">
        <v>3</v>
      </c>
      <c r="D1224" s="1">
        <v>1</v>
      </c>
      <c r="E1224" s="1">
        <v>999.99</v>
      </c>
      <c r="F1224" s="1">
        <v>0.05</v>
      </c>
      <c r="G1224">
        <f t="shared" si="19"/>
        <v>999.94</v>
      </c>
      <c r="H1224" t="str">
        <f>VLOOKUP(C1224,[1]products!$A:$B,2,FALSE)</f>
        <v>Surly Wednesday Frameset - 2016</v>
      </c>
      <c r="I1224">
        <f>VLOOKUP(C1224,[1]products!$A:$D,4,FALSE)</f>
        <v>6</v>
      </c>
      <c r="J1224" t="str">
        <f>VLOOKUP(I1224,[2]categories!$A$1:$B$8,2,FALSE)</f>
        <v>Mountain Bikes</v>
      </c>
    </row>
    <row r="1225" customHeight="1" spans="1:10">
      <c r="A1225" s="1">
        <v>436</v>
      </c>
      <c r="B1225" s="1">
        <v>2</v>
      </c>
      <c r="C1225" s="1">
        <v>23</v>
      </c>
      <c r="D1225" s="1">
        <v>1</v>
      </c>
      <c r="E1225" s="1">
        <v>299.99</v>
      </c>
      <c r="F1225" s="1">
        <v>0.2</v>
      </c>
      <c r="G1225">
        <f t="shared" si="19"/>
        <v>299.79</v>
      </c>
      <c r="H1225" t="str">
        <f>VLOOKUP(C1225,[1]products!$A:$B,2,FALSE)</f>
        <v>Electra Girl's Hawaii 1 (20-inch) - 2015/2016</v>
      </c>
      <c r="I1225">
        <f>VLOOKUP(C1225,[1]products!$A:$D,4,FALSE)</f>
        <v>1</v>
      </c>
      <c r="J1225" t="str">
        <f>VLOOKUP(I1225,[2]categories!$A$1:$B$8,2,FALSE)</f>
        <v>Children Bicycles</v>
      </c>
    </row>
    <row r="1226" customHeight="1" spans="1:10">
      <c r="A1226" s="1">
        <v>437</v>
      </c>
      <c r="B1226" s="1">
        <v>1</v>
      </c>
      <c r="C1226" s="1">
        <v>3</v>
      </c>
      <c r="D1226" s="1">
        <v>1</v>
      </c>
      <c r="E1226" s="1">
        <v>999.99</v>
      </c>
      <c r="F1226" s="1">
        <v>0.05</v>
      </c>
      <c r="G1226">
        <f t="shared" si="19"/>
        <v>999.94</v>
      </c>
      <c r="H1226" t="str">
        <f>VLOOKUP(C1226,[1]products!$A:$B,2,FALSE)</f>
        <v>Surly Wednesday Frameset - 2016</v>
      </c>
      <c r="I1226">
        <f>VLOOKUP(C1226,[1]products!$A:$D,4,FALSE)</f>
        <v>6</v>
      </c>
      <c r="J1226" t="str">
        <f>VLOOKUP(I1226,[2]categories!$A$1:$B$8,2,FALSE)</f>
        <v>Mountain Bikes</v>
      </c>
    </row>
    <row r="1227" customHeight="1" spans="1:10">
      <c r="A1227" s="1">
        <v>437</v>
      </c>
      <c r="B1227" s="1">
        <v>2</v>
      </c>
      <c r="C1227" s="1">
        <v>10</v>
      </c>
      <c r="D1227" s="1">
        <v>1</v>
      </c>
      <c r="E1227" s="1">
        <v>1549</v>
      </c>
      <c r="F1227" s="1">
        <v>0.05</v>
      </c>
      <c r="G1227">
        <f t="shared" si="19"/>
        <v>1548.95</v>
      </c>
      <c r="H1227" t="str">
        <f>VLOOKUP(C1227,[1]products!$A:$B,2,FALSE)</f>
        <v>Surly Straggler - 2016</v>
      </c>
      <c r="I1227">
        <f>VLOOKUP(C1227,[1]products!$A:$D,4,FALSE)</f>
        <v>4</v>
      </c>
      <c r="J1227" t="str">
        <f>VLOOKUP(I1227,[2]categories!$A$1:$B$8,2,FALSE)</f>
        <v>Cyclocross Bicycles</v>
      </c>
    </row>
    <row r="1228" customHeight="1" spans="1:10">
      <c r="A1228" s="1">
        <v>437</v>
      </c>
      <c r="B1228" s="1">
        <v>3</v>
      </c>
      <c r="C1228" s="1">
        <v>8</v>
      </c>
      <c r="D1228" s="1">
        <v>2</v>
      </c>
      <c r="E1228" s="1">
        <v>1799.99</v>
      </c>
      <c r="F1228" s="1">
        <v>0.05</v>
      </c>
      <c r="G1228">
        <f t="shared" si="19"/>
        <v>3599.93</v>
      </c>
      <c r="H1228" t="str">
        <f>VLOOKUP(C1228,[1]products!$A:$B,2,FALSE)</f>
        <v>Trek Remedy 29 Carbon Frameset - 2016</v>
      </c>
      <c r="I1228">
        <f>VLOOKUP(C1228,[1]products!$A:$D,4,FALSE)</f>
        <v>6</v>
      </c>
      <c r="J1228" t="str">
        <f>VLOOKUP(I1228,[2]categories!$A$1:$B$8,2,FALSE)</f>
        <v>Mountain Bikes</v>
      </c>
    </row>
    <row r="1229" customHeight="1" spans="1:10">
      <c r="A1229" s="1">
        <v>438</v>
      </c>
      <c r="B1229" s="1">
        <v>1</v>
      </c>
      <c r="C1229" s="1">
        <v>4</v>
      </c>
      <c r="D1229" s="1">
        <v>1</v>
      </c>
      <c r="E1229" s="1">
        <v>2899.99</v>
      </c>
      <c r="F1229" s="1">
        <v>0.07</v>
      </c>
      <c r="G1229">
        <f t="shared" si="19"/>
        <v>2899.92</v>
      </c>
      <c r="H1229" t="str">
        <f>VLOOKUP(C1229,[1]products!$A:$B,2,FALSE)</f>
        <v>Trek Fuel EX 8 29 - 2016</v>
      </c>
      <c r="I1229">
        <f>VLOOKUP(C1229,[1]products!$A:$D,4,FALSE)</f>
        <v>6</v>
      </c>
      <c r="J1229" t="str">
        <f>VLOOKUP(I1229,[2]categories!$A$1:$B$8,2,FALSE)</f>
        <v>Mountain Bikes</v>
      </c>
    </row>
    <row r="1230" customHeight="1" spans="1:10">
      <c r="A1230" s="1">
        <v>438</v>
      </c>
      <c r="B1230" s="1">
        <v>2</v>
      </c>
      <c r="C1230" s="1">
        <v>22</v>
      </c>
      <c r="D1230" s="1">
        <v>1</v>
      </c>
      <c r="E1230" s="1">
        <v>269.99</v>
      </c>
      <c r="F1230" s="1">
        <v>0.1</v>
      </c>
      <c r="G1230">
        <f t="shared" si="19"/>
        <v>269.89</v>
      </c>
      <c r="H1230" t="str">
        <f>VLOOKUP(C1230,[1]products!$A:$B,2,FALSE)</f>
        <v>Electra Girl's Hawaii 1 (16-inch) - 2015/2016</v>
      </c>
      <c r="I1230">
        <f>VLOOKUP(C1230,[1]products!$A:$D,4,FALSE)</f>
        <v>1</v>
      </c>
      <c r="J1230" t="str">
        <f>VLOOKUP(I1230,[2]categories!$A$1:$B$8,2,FALSE)</f>
        <v>Children Bicycles</v>
      </c>
    </row>
    <row r="1231" customHeight="1" spans="1:10">
      <c r="A1231" s="1">
        <v>438</v>
      </c>
      <c r="B1231" s="1">
        <v>3</v>
      </c>
      <c r="C1231" s="1">
        <v>8</v>
      </c>
      <c r="D1231" s="1">
        <v>2</v>
      </c>
      <c r="E1231" s="1">
        <v>1799.99</v>
      </c>
      <c r="F1231" s="1">
        <v>0.05</v>
      </c>
      <c r="G1231">
        <f t="shared" si="19"/>
        <v>3599.93</v>
      </c>
      <c r="H1231" t="str">
        <f>VLOOKUP(C1231,[1]products!$A:$B,2,FALSE)</f>
        <v>Trek Remedy 29 Carbon Frameset - 2016</v>
      </c>
      <c r="I1231">
        <f>VLOOKUP(C1231,[1]products!$A:$D,4,FALSE)</f>
        <v>6</v>
      </c>
      <c r="J1231" t="str">
        <f>VLOOKUP(I1231,[2]categories!$A$1:$B$8,2,FALSE)</f>
        <v>Mountain Bikes</v>
      </c>
    </row>
    <row r="1232" customHeight="1" spans="1:10">
      <c r="A1232" s="1">
        <v>438</v>
      </c>
      <c r="B1232" s="1">
        <v>4</v>
      </c>
      <c r="C1232" s="1">
        <v>13</v>
      </c>
      <c r="D1232" s="1">
        <v>2</v>
      </c>
      <c r="E1232" s="1">
        <v>269.99</v>
      </c>
      <c r="F1232" s="1">
        <v>0.05</v>
      </c>
      <c r="G1232">
        <f t="shared" si="19"/>
        <v>539.93</v>
      </c>
      <c r="H1232" t="str">
        <f>VLOOKUP(C1232,[1]products!$A:$B,2,FALSE)</f>
        <v>Electra Cruiser 1 (24-Inch) - 2016</v>
      </c>
      <c r="I1232">
        <f>VLOOKUP(C1232,[1]products!$A:$D,4,FALSE)</f>
        <v>3</v>
      </c>
      <c r="J1232" t="str">
        <f>VLOOKUP(I1232,[2]categories!$A$1:$B$8,2,FALSE)</f>
        <v>Cruisers Bicycles</v>
      </c>
    </row>
    <row r="1233" customHeight="1" spans="1:10">
      <c r="A1233" s="1">
        <v>439</v>
      </c>
      <c r="B1233" s="1">
        <v>1</v>
      </c>
      <c r="C1233" s="1">
        <v>6</v>
      </c>
      <c r="D1233" s="1">
        <v>2</v>
      </c>
      <c r="E1233" s="1">
        <v>469.99</v>
      </c>
      <c r="F1233" s="1">
        <v>0.07</v>
      </c>
      <c r="G1233">
        <f t="shared" si="19"/>
        <v>939.91</v>
      </c>
      <c r="H1233" t="str">
        <f>VLOOKUP(C1233,[1]products!$A:$B,2,FALSE)</f>
        <v>Surly Ice Cream Truck Frameset - 2016</v>
      </c>
      <c r="I1233">
        <f>VLOOKUP(C1233,[1]products!$A:$D,4,FALSE)</f>
        <v>6</v>
      </c>
      <c r="J1233" t="str">
        <f>VLOOKUP(I1233,[2]categories!$A$1:$B$8,2,FALSE)</f>
        <v>Mountain Bikes</v>
      </c>
    </row>
    <row r="1234" customHeight="1" spans="1:10">
      <c r="A1234" s="1">
        <v>439</v>
      </c>
      <c r="B1234" s="1">
        <v>2</v>
      </c>
      <c r="C1234" s="1">
        <v>7</v>
      </c>
      <c r="D1234" s="1">
        <v>2</v>
      </c>
      <c r="E1234" s="1">
        <v>3999.99</v>
      </c>
      <c r="F1234" s="1">
        <v>0.05</v>
      </c>
      <c r="G1234">
        <f t="shared" si="19"/>
        <v>7999.93</v>
      </c>
      <c r="H1234" t="str">
        <f>VLOOKUP(C1234,[1]products!$A:$B,2,FALSE)</f>
        <v>Trek Slash 8 27.5 - 2016</v>
      </c>
      <c r="I1234">
        <f>VLOOKUP(C1234,[1]products!$A:$D,4,FALSE)</f>
        <v>6</v>
      </c>
      <c r="J1234" t="str">
        <f>VLOOKUP(I1234,[2]categories!$A$1:$B$8,2,FALSE)</f>
        <v>Mountain Bikes</v>
      </c>
    </row>
    <row r="1235" customHeight="1" spans="1:10">
      <c r="A1235" s="1">
        <v>440</v>
      </c>
      <c r="B1235" s="1">
        <v>1</v>
      </c>
      <c r="C1235" s="1">
        <v>19</v>
      </c>
      <c r="D1235" s="1">
        <v>2</v>
      </c>
      <c r="E1235" s="1">
        <v>449</v>
      </c>
      <c r="F1235" s="1">
        <v>0.07</v>
      </c>
      <c r="G1235">
        <f t="shared" si="19"/>
        <v>897.93</v>
      </c>
      <c r="H1235" t="str">
        <f>VLOOKUP(C1235,[1]products!$A:$B,2,FALSE)</f>
        <v>Pure Cycles William 3-Speed - 2016</v>
      </c>
      <c r="I1235">
        <f>VLOOKUP(C1235,[1]products!$A:$D,4,FALSE)</f>
        <v>3</v>
      </c>
      <c r="J1235" t="str">
        <f>VLOOKUP(I1235,[2]categories!$A$1:$B$8,2,FALSE)</f>
        <v>Cruisers Bicycles</v>
      </c>
    </row>
    <row r="1236" customHeight="1" spans="1:10">
      <c r="A1236" s="1">
        <v>440</v>
      </c>
      <c r="B1236" s="1">
        <v>2</v>
      </c>
      <c r="C1236" s="1">
        <v>4</v>
      </c>
      <c r="D1236" s="1">
        <v>2</v>
      </c>
      <c r="E1236" s="1">
        <v>2899.99</v>
      </c>
      <c r="F1236" s="1">
        <v>0.07</v>
      </c>
      <c r="G1236">
        <f t="shared" si="19"/>
        <v>5799.91</v>
      </c>
      <c r="H1236" t="str">
        <f>VLOOKUP(C1236,[1]products!$A:$B,2,FALSE)</f>
        <v>Trek Fuel EX 8 29 - 2016</v>
      </c>
      <c r="I1236">
        <f>VLOOKUP(C1236,[1]products!$A:$D,4,FALSE)</f>
        <v>6</v>
      </c>
      <c r="J1236" t="str">
        <f>VLOOKUP(I1236,[2]categories!$A$1:$B$8,2,FALSE)</f>
        <v>Mountain Bikes</v>
      </c>
    </row>
    <row r="1237" customHeight="1" spans="1:10">
      <c r="A1237" s="1">
        <v>441</v>
      </c>
      <c r="B1237" s="1">
        <v>1</v>
      </c>
      <c r="C1237" s="1">
        <v>12</v>
      </c>
      <c r="D1237" s="1">
        <v>1</v>
      </c>
      <c r="E1237" s="1">
        <v>549.99</v>
      </c>
      <c r="F1237" s="1">
        <v>0.07</v>
      </c>
      <c r="G1237">
        <f t="shared" si="19"/>
        <v>549.92</v>
      </c>
      <c r="H1237" t="str">
        <f>VLOOKUP(C1237,[1]products!$A:$B,2,FALSE)</f>
        <v>Electra Townie Original 21D - 2016</v>
      </c>
      <c r="I1237">
        <f>VLOOKUP(C1237,[1]products!$A:$D,4,FALSE)</f>
        <v>3</v>
      </c>
      <c r="J1237" t="str">
        <f>VLOOKUP(I1237,[2]categories!$A$1:$B$8,2,FALSE)</f>
        <v>Cruisers Bicycles</v>
      </c>
    </row>
    <row r="1238" customHeight="1" spans="1:10">
      <c r="A1238" s="1">
        <v>441</v>
      </c>
      <c r="B1238" s="1">
        <v>2</v>
      </c>
      <c r="C1238" s="1">
        <v>15</v>
      </c>
      <c r="D1238" s="1">
        <v>1</v>
      </c>
      <c r="E1238" s="1">
        <v>529.99</v>
      </c>
      <c r="F1238" s="1">
        <v>0.1</v>
      </c>
      <c r="G1238">
        <f t="shared" si="19"/>
        <v>529.89</v>
      </c>
      <c r="H1238" t="str">
        <f>VLOOKUP(C1238,[1]products!$A:$B,2,FALSE)</f>
        <v>Electra Moto 1 - 2016</v>
      </c>
      <c r="I1238">
        <f>VLOOKUP(C1238,[1]products!$A:$D,4,FALSE)</f>
        <v>3</v>
      </c>
      <c r="J1238" t="str">
        <f>VLOOKUP(I1238,[2]categories!$A$1:$B$8,2,FALSE)</f>
        <v>Cruisers Bicycles</v>
      </c>
    </row>
    <row r="1239" customHeight="1" spans="1:10">
      <c r="A1239" s="1">
        <v>442</v>
      </c>
      <c r="B1239" s="1">
        <v>1</v>
      </c>
      <c r="C1239" s="1">
        <v>16</v>
      </c>
      <c r="D1239" s="1">
        <v>2</v>
      </c>
      <c r="E1239" s="1">
        <v>599.99</v>
      </c>
      <c r="F1239" s="1">
        <v>0.07</v>
      </c>
      <c r="G1239">
        <f t="shared" si="19"/>
        <v>1199.91</v>
      </c>
      <c r="H1239" t="str">
        <f>VLOOKUP(C1239,[1]products!$A:$B,2,FALSE)</f>
        <v>Electra Townie Original 7D EQ - 2016</v>
      </c>
      <c r="I1239">
        <f>VLOOKUP(C1239,[1]products!$A:$D,4,FALSE)</f>
        <v>3</v>
      </c>
      <c r="J1239" t="str">
        <f>VLOOKUP(I1239,[2]categories!$A$1:$B$8,2,FALSE)</f>
        <v>Cruisers Bicycles</v>
      </c>
    </row>
    <row r="1240" customHeight="1" spans="1:10">
      <c r="A1240" s="1">
        <v>442</v>
      </c>
      <c r="B1240" s="1">
        <v>2</v>
      </c>
      <c r="C1240" s="1">
        <v>26</v>
      </c>
      <c r="D1240" s="1">
        <v>2</v>
      </c>
      <c r="E1240" s="1">
        <v>599.99</v>
      </c>
      <c r="F1240" s="1">
        <v>0.2</v>
      </c>
      <c r="G1240">
        <f t="shared" si="19"/>
        <v>1199.78</v>
      </c>
      <c r="H1240" t="str">
        <f>VLOOKUP(C1240,[1]products!$A:$B,2,FALSE)</f>
        <v>Electra Townie Original 7D EQ - 2016</v>
      </c>
      <c r="I1240">
        <f>VLOOKUP(C1240,[1]products!$A:$D,4,FALSE)</f>
        <v>2</v>
      </c>
      <c r="J1240" t="str">
        <f>VLOOKUP(I1240,[2]categories!$A$1:$B$8,2,FALSE)</f>
        <v>Comfort Bicycles</v>
      </c>
    </row>
    <row r="1241" customHeight="1" spans="1:10">
      <c r="A1241" s="1">
        <v>442</v>
      </c>
      <c r="B1241" s="1">
        <v>3</v>
      </c>
      <c r="C1241" s="1">
        <v>6</v>
      </c>
      <c r="D1241" s="1">
        <v>2</v>
      </c>
      <c r="E1241" s="1">
        <v>469.99</v>
      </c>
      <c r="F1241" s="1">
        <v>0.2</v>
      </c>
      <c r="G1241">
        <f t="shared" si="19"/>
        <v>939.78</v>
      </c>
      <c r="H1241" t="str">
        <f>VLOOKUP(C1241,[1]products!$A:$B,2,FALSE)</f>
        <v>Surly Ice Cream Truck Frameset - 2016</v>
      </c>
      <c r="I1241">
        <f>VLOOKUP(C1241,[1]products!$A:$D,4,FALSE)</f>
        <v>6</v>
      </c>
      <c r="J1241" t="str">
        <f>VLOOKUP(I1241,[2]categories!$A$1:$B$8,2,FALSE)</f>
        <v>Mountain Bikes</v>
      </c>
    </row>
    <row r="1242" customHeight="1" spans="1:10">
      <c r="A1242" s="1">
        <v>443</v>
      </c>
      <c r="B1242" s="1">
        <v>1</v>
      </c>
      <c r="C1242" s="1">
        <v>5</v>
      </c>
      <c r="D1242" s="1">
        <v>1</v>
      </c>
      <c r="E1242" s="1">
        <v>1320.99</v>
      </c>
      <c r="F1242" s="1">
        <v>0.05</v>
      </c>
      <c r="G1242">
        <f t="shared" si="19"/>
        <v>1320.94</v>
      </c>
      <c r="H1242" t="str">
        <f>VLOOKUP(C1242,[1]products!$A:$B,2,FALSE)</f>
        <v>Heller Shagamaw Frame - 2016</v>
      </c>
      <c r="I1242">
        <f>VLOOKUP(C1242,[1]products!$A:$D,4,FALSE)</f>
        <v>6</v>
      </c>
      <c r="J1242" t="str">
        <f>VLOOKUP(I1242,[2]categories!$A$1:$B$8,2,FALSE)</f>
        <v>Mountain Bikes</v>
      </c>
    </row>
    <row r="1243" customHeight="1" spans="1:10">
      <c r="A1243" s="1">
        <v>443</v>
      </c>
      <c r="B1243" s="1">
        <v>2</v>
      </c>
      <c r="C1243" s="1">
        <v>26</v>
      </c>
      <c r="D1243" s="1">
        <v>1</v>
      </c>
      <c r="E1243" s="1">
        <v>599.99</v>
      </c>
      <c r="F1243" s="1">
        <v>0.2</v>
      </c>
      <c r="G1243">
        <f t="shared" si="19"/>
        <v>599.79</v>
      </c>
      <c r="H1243" t="str">
        <f>VLOOKUP(C1243,[1]products!$A:$B,2,FALSE)</f>
        <v>Electra Townie Original 7D EQ - 2016</v>
      </c>
      <c r="I1243">
        <f>VLOOKUP(C1243,[1]products!$A:$D,4,FALSE)</f>
        <v>2</v>
      </c>
      <c r="J1243" t="str">
        <f>VLOOKUP(I1243,[2]categories!$A$1:$B$8,2,FALSE)</f>
        <v>Comfort Bicycles</v>
      </c>
    </row>
    <row r="1244" customHeight="1" spans="1:10">
      <c r="A1244" s="1">
        <v>444</v>
      </c>
      <c r="B1244" s="1">
        <v>1</v>
      </c>
      <c r="C1244" s="1">
        <v>22</v>
      </c>
      <c r="D1244" s="1">
        <v>1</v>
      </c>
      <c r="E1244" s="1">
        <v>269.99</v>
      </c>
      <c r="F1244" s="1">
        <v>0.07</v>
      </c>
      <c r="G1244">
        <f t="shared" si="19"/>
        <v>269.92</v>
      </c>
      <c r="H1244" t="str">
        <f>VLOOKUP(C1244,[1]products!$A:$B,2,FALSE)</f>
        <v>Electra Girl's Hawaii 1 (16-inch) - 2015/2016</v>
      </c>
      <c r="I1244">
        <f>VLOOKUP(C1244,[1]products!$A:$D,4,FALSE)</f>
        <v>1</v>
      </c>
      <c r="J1244" t="str">
        <f>VLOOKUP(I1244,[2]categories!$A$1:$B$8,2,FALSE)</f>
        <v>Children Bicycles</v>
      </c>
    </row>
    <row r="1245" customHeight="1" spans="1:10">
      <c r="A1245" s="1">
        <v>444</v>
      </c>
      <c r="B1245" s="1">
        <v>2</v>
      </c>
      <c r="C1245" s="1">
        <v>15</v>
      </c>
      <c r="D1245" s="1">
        <v>2</v>
      </c>
      <c r="E1245" s="1">
        <v>529.99</v>
      </c>
      <c r="F1245" s="1">
        <v>0.07</v>
      </c>
      <c r="G1245">
        <f t="shared" si="19"/>
        <v>1059.91</v>
      </c>
      <c r="H1245" t="str">
        <f>VLOOKUP(C1245,[1]products!$A:$B,2,FALSE)</f>
        <v>Electra Moto 1 - 2016</v>
      </c>
      <c r="I1245">
        <f>VLOOKUP(C1245,[1]products!$A:$D,4,FALSE)</f>
        <v>3</v>
      </c>
      <c r="J1245" t="str">
        <f>VLOOKUP(I1245,[2]categories!$A$1:$B$8,2,FALSE)</f>
        <v>Cruisers Bicycles</v>
      </c>
    </row>
    <row r="1246" customHeight="1" spans="1:10">
      <c r="A1246" s="1">
        <v>444</v>
      </c>
      <c r="B1246" s="1">
        <v>3</v>
      </c>
      <c r="C1246" s="1">
        <v>20</v>
      </c>
      <c r="D1246" s="1">
        <v>2</v>
      </c>
      <c r="E1246" s="1">
        <v>599.99</v>
      </c>
      <c r="F1246" s="1">
        <v>0.05</v>
      </c>
      <c r="G1246">
        <f t="shared" si="19"/>
        <v>1199.93</v>
      </c>
      <c r="H1246" t="str">
        <f>VLOOKUP(C1246,[1]products!$A:$B,2,FALSE)</f>
        <v>Electra Townie Original 7D EQ - Women's - 2016</v>
      </c>
      <c r="I1246">
        <f>VLOOKUP(C1246,[1]products!$A:$D,4,FALSE)</f>
        <v>3</v>
      </c>
      <c r="J1246" t="str">
        <f>VLOOKUP(I1246,[2]categories!$A$1:$B$8,2,FALSE)</f>
        <v>Cruisers Bicycles</v>
      </c>
    </row>
    <row r="1247" customHeight="1" spans="1:10">
      <c r="A1247" s="1">
        <v>444</v>
      </c>
      <c r="B1247" s="1">
        <v>4</v>
      </c>
      <c r="C1247" s="1">
        <v>16</v>
      </c>
      <c r="D1247" s="1">
        <v>1</v>
      </c>
      <c r="E1247" s="1">
        <v>599.99</v>
      </c>
      <c r="F1247" s="1">
        <v>0.1</v>
      </c>
      <c r="G1247">
        <f t="shared" si="19"/>
        <v>599.89</v>
      </c>
      <c r="H1247" t="str">
        <f>VLOOKUP(C1247,[1]products!$A:$B,2,FALSE)</f>
        <v>Electra Townie Original 7D EQ - 2016</v>
      </c>
      <c r="I1247">
        <f>VLOOKUP(C1247,[1]products!$A:$D,4,FALSE)</f>
        <v>3</v>
      </c>
      <c r="J1247" t="str">
        <f>VLOOKUP(I1247,[2]categories!$A$1:$B$8,2,FALSE)</f>
        <v>Cruisers Bicycles</v>
      </c>
    </row>
    <row r="1248" customHeight="1" spans="1:10">
      <c r="A1248" s="1">
        <v>444</v>
      </c>
      <c r="B1248" s="1">
        <v>5</v>
      </c>
      <c r="C1248" s="1">
        <v>10</v>
      </c>
      <c r="D1248" s="1">
        <v>2</v>
      </c>
      <c r="E1248" s="1">
        <v>1549</v>
      </c>
      <c r="F1248" s="1">
        <v>0.2</v>
      </c>
      <c r="G1248">
        <f t="shared" si="19"/>
        <v>3097.8</v>
      </c>
      <c r="H1248" t="str">
        <f>VLOOKUP(C1248,[1]products!$A:$B,2,FALSE)</f>
        <v>Surly Straggler - 2016</v>
      </c>
      <c r="I1248">
        <f>VLOOKUP(C1248,[1]products!$A:$D,4,FALSE)</f>
        <v>4</v>
      </c>
      <c r="J1248" t="str">
        <f>VLOOKUP(I1248,[2]categories!$A$1:$B$8,2,FALSE)</f>
        <v>Cyclocross Bicycles</v>
      </c>
    </row>
    <row r="1249" customHeight="1" spans="1:10">
      <c r="A1249" s="1">
        <v>445</v>
      </c>
      <c r="B1249" s="1">
        <v>1</v>
      </c>
      <c r="C1249" s="1">
        <v>7</v>
      </c>
      <c r="D1249" s="1">
        <v>1</v>
      </c>
      <c r="E1249" s="1">
        <v>3999.99</v>
      </c>
      <c r="F1249" s="1">
        <v>0.2</v>
      </c>
      <c r="G1249">
        <f t="shared" si="19"/>
        <v>3999.79</v>
      </c>
      <c r="H1249" t="str">
        <f>VLOOKUP(C1249,[1]products!$A:$B,2,FALSE)</f>
        <v>Trek Slash 8 27.5 - 2016</v>
      </c>
      <c r="I1249">
        <f>VLOOKUP(C1249,[1]products!$A:$D,4,FALSE)</f>
        <v>6</v>
      </c>
      <c r="J1249" t="str">
        <f>VLOOKUP(I1249,[2]categories!$A$1:$B$8,2,FALSE)</f>
        <v>Mountain Bikes</v>
      </c>
    </row>
    <row r="1250" customHeight="1" spans="1:10">
      <c r="A1250" s="1">
        <v>445</v>
      </c>
      <c r="B1250" s="1">
        <v>2</v>
      </c>
      <c r="C1250" s="1">
        <v>16</v>
      </c>
      <c r="D1250" s="1">
        <v>1</v>
      </c>
      <c r="E1250" s="1">
        <v>599.99</v>
      </c>
      <c r="F1250" s="1">
        <v>0.07</v>
      </c>
      <c r="G1250">
        <f t="shared" si="19"/>
        <v>599.92</v>
      </c>
      <c r="H1250" t="str">
        <f>VLOOKUP(C1250,[1]products!$A:$B,2,FALSE)</f>
        <v>Electra Townie Original 7D EQ - 2016</v>
      </c>
      <c r="I1250">
        <f>VLOOKUP(C1250,[1]products!$A:$D,4,FALSE)</f>
        <v>3</v>
      </c>
      <c r="J1250" t="str">
        <f>VLOOKUP(I1250,[2]categories!$A$1:$B$8,2,FALSE)</f>
        <v>Cruisers Bicycles</v>
      </c>
    </row>
    <row r="1251" customHeight="1" spans="1:10">
      <c r="A1251" s="1">
        <v>445</v>
      </c>
      <c r="B1251" s="1">
        <v>3</v>
      </c>
      <c r="C1251" s="1">
        <v>23</v>
      </c>
      <c r="D1251" s="1">
        <v>1</v>
      </c>
      <c r="E1251" s="1">
        <v>299.99</v>
      </c>
      <c r="F1251" s="1">
        <v>0.2</v>
      </c>
      <c r="G1251">
        <f t="shared" si="19"/>
        <v>299.79</v>
      </c>
      <c r="H1251" t="str">
        <f>VLOOKUP(C1251,[1]products!$A:$B,2,FALSE)</f>
        <v>Electra Girl's Hawaii 1 (20-inch) - 2015/2016</v>
      </c>
      <c r="I1251">
        <f>VLOOKUP(C1251,[1]products!$A:$D,4,FALSE)</f>
        <v>1</v>
      </c>
      <c r="J1251" t="str">
        <f>VLOOKUP(I1251,[2]categories!$A$1:$B$8,2,FALSE)</f>
        <v>Children Bicycles</v>
      </c>
    </row>
    <row r="1252" customHeight="1" spans="1:10">
      <c r="A1252" s="1">
        <v>446</v>
      </c>
      <c r="B1252" s="1">
        <v>1</v>
      </c>
      <c r="C1252" s="1">
        <v>22</v>
      </c>
      <c r="D1252" s="1">
        <v>1</v>
      </c>
      <c r="E1252" s="1">
        <v>269.99</v>
      </c>
      <c r="F1252" s="1">
        <v>0.2</v>
      </c>
      <c r="G1252">
        <f t="shared" si="19"/>
        <v>269.79</v>
      </c>
      <c r="H1252" t="str">
        <f>VLOOKUP(C1252,[1]products!$A:$B,2,FALSE)</f>
        <v>Electra Girl's Hawaii 1 (16-inch) - 2015/2016</v>
      </c>
      <c r="I1252">
        <f>VLOOKUP(C1252,[1]products!$A:$D,4,FALSE)</f>
        <v>1</v>
      </c>
      <c r="J1252" t="str">
        <f>VLOOKUP(I1252,[2]categories!$A$1:$B$8,2,FALSE)</f>
        <v>Children Bicycles</v>
      </c>
    </row>
    <row r="1253" customHeight="1" spans="1:10">
      <c r="A1253" s="1">
        <v>446</v>
      </c>
      <c r="B1253" s="1">
        <v>2</v>
      </c>
      <c r="C1253" s="1">
        <v>16</v>
      </c>
      <c r="D1253" s="1">
        <v>2</v>
      </c>
      <c r="E1253" s="1">
        <v>599.99</v>
      </c>
      <c r="F1253" s="1">
        <v>0.07</v>
      </c>
      <c r="G1253">
        <f t="shared" si="19"/>
        <v>1199.91</v>
      </c>
      <c r="H1253" t="str">
        <f>VLOOKUP(C1253,[1]products!$A:$B,2,FALSE)</f>
        <v>Electra Townie Original 7D EQ - 2016</v>
      </c>
      <c r="I1253">
        <f>VLOOKUP(C1253,[1]products!$A:$D,4,FALSE)</f>
        <v>3</v>
      </c>
      <c r="J1253" t="str">
        <f>VLOOKUP(I1253,[2]categories!$A$1:$B$8,2,FALSE)</f>
        <v>Cruisers Bicycles</v>
      </c>
    </row>
    <row r="1254" customHeight="1" spans="1:10">
      <c r="A1254" s="1">
        <v>447</v>
      </c>
      <c r="B1254" s="1">
        <v>1</v>
      </c>
      <c r="C1254" s="1">
        <v>4</v>
      </c>
      <c r="D1254" s="1">
        <v>2</v>
      </c>
      <c r="E1254" s="1">
        <v>2899.99</v>
      </c>
      <c r="F1254" s="1">
        <v>0.05</v>
      </c>
      <c r="G1254">
        <f t="shared" si="19"/>
        <v>5799.93</v>
      </c>
      <c r="H1254" t="str">
        <f>VLOOKUP(C1254,[1]products!$A:$B,2,FALSE)</f>
        <v>Trek Fuel EX 8 29 - 2016</v>
      </c>
      <c r="I1254">
        <f>VLOOKUP(C1254,[1]products!$A:$D,4,FALSE)</f>
        <v>6</v>
      </c>
      <c r="J1254" t="str">
        <f>VLOOKUP(I1254,[2]categories!$A$1:$B$8,2,FALSE)</f>
        <v>Mountain Bikes</v>
      </c>
    </row>
    <row r="1255" customHeight="1" spans="1:10">
      <c r="A1255" s="1">
        <v>447</v>
      </c>
      <c r="B1255" s="1">
        <v>2</v>
      </c>
      <c r="C1255" s="1">
        <v>3</v>
      </c>
      <c r="D1255" s="1">
        <v>1</v>
      </c>
      <c r="E1255" s="1">
        <v>999.99</v>
      </c>
      <c r="F1255" s="1">
        <v>0.1</v>
      </c>
      <c r="G1255">
        <f t="shared" si="19"/>
        <v>999.89</v>
      </c>
      <c r="H1255" t="str">
        <f>VLOOKUP(C1255,[1]products!$A:$B,2,FALSE)</f>
        <v>Surly Wednesday Frameset - 2016</v>
      </c>
      <c r="I1255">
        <f>VLOOKUP(C1255,[1]products!$A:$D,4,FALSE)</f>
        <v>6</v>
      </c>
      <c r="J1255" t="str">
        <f>VLOOKUP(I1255,[2]categories!$A$1:$B$8,2,FALSE)</f>
        <v>Mountain Bikes</v>
      </c>
    </row>
    <row r="1256" customHeight="1" spans="1:10">
      <c r="A1256" s="1">
        <v>447</v>
      </c>
      <c r="B1256" s="1">
        <v>3</v>
      </c>
      <c r="C1256" s="1">
        <v>8</v>
      </c>
      <c r="D1256" s="1">
        <v>1</v>
      </c>
      <c r="E1256" s="1">
        <v>1799.99</v>
      </c>
      <c r="F1256" s="1">
        <v>0.07</v>
      </c>
      <c r="G1256">
        <f t="shared" si="19"/>
        <v>1799.92</v>
      </c>
      <c r="H1256" t="str">
        <f>VLOOKUP(C1256,[1]products!$A:$B,2,FALSE)</f>
        <v>Trek Remedy 29 Carbon Frameset - 2016</v>
      </c>
      <c r="I1256">
        <f>VLOOKUP(C1256,[1]products!$A:$D,4,FALSE)</f>
        <v>6</v>
      </c>
      <c r="J1256" t="str">
        <f>VLOOKUP(I1256,[2]categories!$A$1:$B$8,2,FALSE)</f>
        <v>Mountain Bikes</v>
      </c>
    </row>
    <row r="1257" customHeight="1" spans="1:10">
      <c r="A1257" s="1">
        <v>448</v>
      </c>
      <c r="B1257" s="1">
        <v>1</v>
      </c>
      <c r="C1257" s="1">
        <v>13</v>
      </c>
      <c r="D1257" s="1">
        <v>2</v>
      </c>
      <c r="E1257" s="1">
        <v>269.99</v>
      </c>
      <c r="F1257" s="1">
        <v>0.05</v>
      </c>
      <c r="G1257">
        <f t="shared" si="19"/>
        <v>539.93</v>
      </c>
      <c r="H1257" t="str">
        <f>VLOOKUP(C1257,[1]products!$A:$B,2,FALSE)</f>
        <v>Electra Cruiser 1 (24-Inch) - 2016</v>
      </c>
      <c r="I1257">
        <f>VLOOKUP(C1257,[1]products!$A:$D,4,FALSE)</f>
        <v>3</v>
      </c>
      <c r="J1257" t="str">
        <f>VLOOKUP(I1257,[2]categories!$A$1:$B$8,2,FALSE)</f>
        <v>Cruisers Bicycles</v>
      </c>
    </row>
    <row r="1258" customHeight="1" spans="1:10">
      <c r="A1258" s="1">
        <v>448</v>
      </c>
      <c r="B1258" s="1">
        <v>2</v>
      </c>
      <c r="C1258" s="1">
        <v>6</v>
      </c>
      <c r="D1258" s="1">
        <v>2</v>
      </c>
      <c r="E1258" s="1">
        <v>469.99</v>
      </c>
      <c r="F1258" s="1">
        <v>0.05</v>
      </c>
      <c r="G1258">
        <f t="shared" si="19"/>
        <v>939.93</v>
      </c>
      <c r="H1258" t="str">
        <f>VLOOKUP(C1258,[1]products!$A:$B,2,FALSE)</f>
        <v>Surly Ice Cream Truck Frameset - 2016</v>
      </c>
      <c r="I1258">
        <f>VLOOKUP(C1258,[1]products!$A:$D,4,FALSE)</f>
        <v>6</v>
      </c>
      <c r="J1258" t="str">
        <f>VLOOKUP(I1258,[2]categories!$A$1:$B$8,2,FALSE)</f>
        <v>Mountain Bikes</v>
      </c>
    </row>
    <row r="1259" customHeight="1" spans="1:10">
      <c r="A1259" s="1">
        <v>449</v>
      </c>
      <c r="B1259" s="1">
        <v>1</v>
      </c>
      <c r="C1259" s="1">
        <v>17</v>
      </c>
      <c r="D1259" s="1">
        <v>2</v>
      </c>
      <c r="E1259" s="1">
        <v>429</v>
      </c>
      <c r="F1259" s="1">
        <v>0.05</v>
      </c>
      <c r="G1259">
        <f t="shared" si="19"/>
        <v>857.95</v>
      </c>
      <c r="H1259" t="str">
        <f>VLOOKUP(C1259,[1]products!$A:$B,2,FALSE)</f>
        <v>Pure Cycles Vine 8-Speed - 2016</v>
      </c>
      <c r="I1259">
        <f>VLOOKUP(C1259,[1]products!$A:$D,4,FALSE)</f>
        <v>3</v>
      </c>
      <c r="J1259" t="str">
        <f>VLOOKUP(I1259,[2]categories!$A$1:$B$8,2,FALSE)</f>
        <v>Cruisers Bicycles</v>
      </c>
    </row>
    <row r="1260" customHeight="1" spans="1:10">
      <c r="A1260" s="1">
        <v>449</v>
      </c>
      <c r="B1260" s="1">
        <v>2</v>
      </c>
      <c r="C1260" s="1">
        <v>2</v>
      </c>
      <c r="D1260" s="1">
        <v>1</v>
      </c>
      <c r="E1260" s="1">
        <v>749.99</v>
      </c>
      <c r="F1260" s="1">
        <v>0.05</v>
      </c>
      <c r="G1260">
        <f t="shared" si="19"/>
        <v>749.94</v>
      </c>
      <c r="H1260" t="str">
        <f>VLOOKUP(C1260,[1]products!$A:$B,2,FALSE)</f>
        <v>Ritchey Timberwolf Frameset - 2016</v>
      </c>
      <c r="I1260">
        <f>VLOOKUP(C1260,[1]products!$A:$D,4,FALSE)</f>
        <v>6</v>
      </c>
      <c r="J1260" t="str">
        <f>VLOOKUP(I1260,[2]categories!$A$1:$B$8,2,FALSE)</f>
        <v>Mountain Bikes</v>
      </c>
    </row>
    <row r="1261" customHeight="1" spans="1:10">
      <c r="A1261" s="1">
        <v>449</v>
      </c>
      <c r="B1261" s="1">
        <v>3</v>
      </c>
      <c r="C1261" s="1">
        <v>7</v>
      </c>
      <c r="D1261" s="1">
        <v>2</v>
      </c>
      <c r="E1261" s="1">
        <v>3999.99</v>
      </c>
      <c r="F1261" s="1">
        <v>0.07</v>
      </c>
      <c r="G1261">
        <f t="shared" si="19"/>
        <v>7999.91</v>
      </c>
      <c r="H1261" t="str">
        <f>VLOOKUP(C1261,[1]products!$A:$B,2,FALSE)</f>
        <v>Trek Slash 8 27.5 - 2016</v>
      </c>
      <c r="I1261">
        <f>VLOOKUP(C1261,[1]products!$A:$D,4,FALSE)</f>
        <v>6</v>
      </c>
      <c r="J1261" t="str">
        <f>VLOOKUP(I1261,[2]categories!$A$1:$B$8,2,FALSE)</f>
        <v>Mountain Bikes</v>
      </c>
    </row>
    <row r="1262" customHeight="1" spans="1:10">
      <c r="A1262" s="1">
        <v>449</v>
      </c>
      <c r="B1262" s="1">
        <v>4</v>
      </c>
      <c r="C1262" s="1">
        <v>26</v>
      </c>
      <c r="D1262" s="1">
        <v>2</v>
      </c>
      <c r="E1262" s="1">
        <v>599.99</v>
      </c>
      <c r="F1262" s="1">
        <v>0.2</v>
      </c>
      <c r="G1262">
        <f t="shared" si="19"/>
        <v>1199.78</v>
      </c>
      <c r="H1262" t="str">
        <f>VLOOKUP(C1262,[1]products!$A:$B,2,FALSE)</f>
        <v>Electra Townie Original 7D EQ - 2016</v>
      </c>
      <c r="I1262">
        <f>VLOOKUP(C1262,[1]products!$A:$D,4,FALSE)</f>
        <v>2</v>
      </c>
      <c r="J1262" t="str">
        <f>VLOOKUP(I1262,[2]categories!$A$1:$B$8,2,FALSE)</f>
        <v>Comfort Bicycles</v>
      </c>
    </row>
    <row r="1263" customHeight="1" spans="1:10">
      <c r="A1263" s="1">
        <v>450</v>
      </c>
      <c r="B1263" s="1">
        <v>1</v>
      </c>
      <c r="C1263" s="1">
        <v>24</v>
      </c>
      <c r="D1263" s="1">
        <v>1</v>
      </c>
      <c r="E1263" s="1">
        <v>549.99</v>
      </c>
      <c r="F1263" s="1">
        <v>0.05</v>
      </c>
      <c r="G1263">
        <f t="shared" si="19"/>
        <v>549.94</v>
      </c>
      <c r="H1263" t="str">
        <f>VLOOKUP(C1263,[1]products!$A:$B,2,FALSE)</f>
        <v>Electra Townie Original 21D - 2016</v>
      </c>
      <c r="I1263">
        <f>VLOOKUP(C1263,[1]products!$A:$D,4,FALSE)</f>
        <v>2</v>
      </c>
      <c r="J1263" t="str">
        <f>VLOOKUP(I1263,[2]categories!$A$1:$B$8,2,FALSE)</f>
        <v>Comfort Bicycles</v>
      </c>
    </row>
    <row r="1264" customHeight="1" spans="1:10">
      <c r="A1264" s="1">
        <v>450</v>
      </c>
      <c r="B1264" s="1">
        <v>2</v>
      </c>
      <c r="C1264" s="1">
        <v>12</v>
      </c>
      <c r="D1264" s="1">
        <v>1</v>
      </c>
      <c r="E1264" s="1">
        <v>549.99</v>
      </c>
      <c r="F1264" s="1">
        <v>0.07</v>
      </c>
      <c r="G1264">
        <f t="shared" si="19"/>
        <v>549.92</v>
      </c>
      <c r="H1264" t="str">
        <f>VLOOKUP(C1264,[1]products!$A:$B,2,FALSE)</f>
        <v>Electra Townie Original 21D - 2016</v>
      </c>
      <c r="I1264">
        <f>VLOOKUP(C1264,[1]products!$A:$D,4,FALSE)</f>
        <v>3</v>
      </c>
      <c r="J1264" t="str">
        <f>VLOOKUP(I1264,[2]categories!$A$1:$B$8,2,FALSE)</f>
        <v>Cruisers Bicycles</v>
      </c>
    </row>
    <row r="1265" customHeight="1" spans="1:10">
      <c r="A1265" s="1">
        <v>450</v>
      </c>
      <c r="B1265" s="1">
        <v>3</v>
      </c>
      <c r="C1265" s="1">
        <v>5</v>
      </c>
      <c r="D1265" s="1">
        <v>1</v>
      </c>
      <c r="E1265" s="1">
        <v>1320.99</v>
      </c>
      <c r="F1265" s="1">
        <v>0.1</v>
      </c>
      <c r="G1265">
        <f t="shared" si="19"/>
        <v>1320.89</v>
      </c>
      <c r="H1265" t="str">
        <f>VLOOKUP(C1265,[1]products!$A:$B,2,FALSE)</f>
        <v>Heller Shagamaw Frame - 2016</v>
      </c>
      <c r="I1265">
        <f>VLOOKUP(C1265,[1]products!$A:$D,4,FALSE)</f>
        <v>6</v>
      </c>
      <c r="J1265" t="str">
        <f>VLOOKUP(I1265,[2]categories!$A$1:$B$8,2,FALSE)</f>
        <v>Mountain Bikes</v>
      </c>
    </row>
    <row r="1266" customHeight="1" spans="1:10">
      <c r="A1266" s="1">
        <v>451</v>
      </c>
      <c r="B1266" s="1">
        <v>1</v>
      </c>
      <c r="C1266" s="1">
        <v>14</v>
      </c>
      <c r="D1266" s="1">
        <v>2</v>
      </c>
      <c r="E1266" s="1">
        <v>269.99</v>
      </c>
      <c r="F1266" s="1">
        <v>0.05</v>
      </c>
      <c r="G1266">
        <f t="shared" si="19"/>
        <v>539.93</v>
      </c>
      <c r="H1266" t="str">
        <f>VLOOKUP(C1266,[1]products!$A:$B,2,FALSE)</f>
        <v>Electra Girl's Hawaii 1 (16-inch) - 2015/2016</v>
      </c>
      <c r="I1266">
        <f>VLOOKUP(C1266,[1]products!$A:$D,4,FALSE)</f>
        <v>3</v>
      </c>
      <c r="J1266" t="str">
        <f>VLOOKUP(I1266,[2]categories!$A$1:$B$8,2,FALSE)</f>
        <v>Cruisers Bicycles</v>
      </c>
    </row>
    <row r="1267" customHeight="1" spans="1:10">
      <c r="A1267" s="1">
        <v>452</v>
      </c>
      <c r="B1267" s="1">
        <v>1</v>
      </c>
      <c r="C1267" s="1">
        <v>11</v>
      </c>
      <c r="D1267" s="1">
        <v>1</v>
      </c>
      <c r="E1267" s="1">
        <v>1680.99</v>
      </c>
      <c r="F1267" s="1">
        <v>0.05</v>
      </c>
      <c r="G1267">
        <f t="shared" si="19"/>
        <v>1680.94</v>
      </c>
      <c r="H1267" t="str">
        <f>VLOOKUP(C1267,[1]products!$A:$B,2,FALSE)</f>
        <v>Surly Straggler 650b - 2016</v>
      </c>
      <c r="I1267">
        <f>VLOOKUP(C1267,[1]products!$A:$D,4,FALSE)</f>
        <v>4</v>
      </c>
      <c r="J1267" t="str">
        <f>VLOOKUP(I1267,[2]categories!$A$1:$B$8,2,FALSE)</f>
        <v>Cyclocross Bicycles</v>
      </c>
    </row>
    <row r="1268" customHeight="1" spans="1:10">
      <c r="A1268" s="1">
        <v>452</v>
      </c>
      <c r="B1268" s="1">
        <v>2</v>
      </c>
      <c r="C1268" s="1">
        <v>16</v>
      </c>
      <c r="D1268" s="1">
        <v>1</v>
      </c>
      <c r="E1268" s="1">
        <v>599.99</v>
      </c>
      <c r="F1268" s="1">
        <v>0.05</v>
      </c>
      <c r="G1268">
        <f t="shared" si="19"/>
        <v>599.94</v>
      </c>
      <c r="H1268" t="str">
        <f>VLOOKUP(C1268,[1]products!$A:$B,2,FALSE)</f>
        <v>Electra Townie Original 7D EQ - 2016</v>
      </c>
      <c r="I1268">
        <f>VLOOKUP(C1268,[1]products!$A:$D,4,FALSE)</f>
        <v>3</v>
      </c>
      <c r="J1268" t="str">
        <f>VLOOKUP(I1268,[2]categories!$A$1:$B$8,2,FALSE)</f>
        <v>Cruisers Bicycles</v>
      </c>
    </row>
    <row r="1269" customHeight="1" spans="1:10">
      <c r="A1269" s="1">
        <v>452</v>
      </c>
      <c r="B1269" s="1">
        <v>3</v>
      </c>
      <c r="C1269" s="1">
        <v>7</v>
      </c>
      <c r="D1269" s="1">
        <v>2</v>
      </c>
      <c r="E1269" s="1">
        <v>3999.99</v>
      </c>
      <c r="F1269" s="1">
        <v>0.1</v>
      </c>
      <c r="G1269">
        <f t="shared" si="19"/>
        <v>7999.88</v>
      </c>
      <c r="H1269" t="str">
        <f>VLOOKUP(C1269,[1]products!$A:$B,2,FALSE)</f>
        <v>Trek Slash 8 27.5 - 2016</v>
      </c>
      <c r="I1269">
        <f>VLOOKUP(C1269,[1]products!$A:$D,4,FALSE)</f>
        <v>6</v>
      </c>
      <c r="J1269" t="str">
        <f>VLOOKUP(I1269,[2]categories!$A$1:$B$8,2,FALSE)</f>
        <v>Mountain Bikes</v>
      </c>
    </row>
    <row r="1270" customHeight="1" spans="1:10">
      <c r="A1270" s="1">
        <v>452</v>
      </c>
      <c r="B1270" s="1">
        <v>4</v>
      </c>
      <c r="C1270" s="1">
        <v>8</v>
      </c>
      <c r="D1270" s="1">
        <v>1</v>
      </c>
      <c r="E1270" s="1">
        <v>1799.99</v>
      </c>
      <c r="F1270" s="1">
        <v>0.1</v>
      </c>
      <c r="G1270">
        <f t="shared" si="19"/>
        <v>1799.89</v>
      </c>
      <c r="H1270" t="str">
        <f>VLOOKUP(C1270,[1]products!$A:$B,2,FALSE)</f>
        <v>Trek Remedy 29 Carbon Frameset - 2016</v>
      </c>
      <c r="I1270">
        <f>VLOOKUP(C1270,[1]products!$A:$D,4,FALSE)</f>
        <v>6</v>
      </c>
      <c r="J1270" t="str">
        <f>VLOOKUP(I1270,[2]categories!$A$1:$B$8,2,FALSE)</f>
        <v>Mountain Bikes</v>
      </c>
    </row>
    <row r="1271" customHeight="1" spans="1:10">
      <c r="A1271" s="1">
        <v>453</v>
      </c>
      <c r="B1271" s="1">
        <v>1</v>
      </c>
      <c r="C1271" s="1">
        <v>23</v>
      </c>
      <c r="D1271" s="1">
        <v>1</v>
      </c>
      <c r="E1271" s="1">
        <v>299.99</v>
      </c>
      <c r="F1271" s="1">
        <v>0.05</v>
      </c>
      <c r="G1271">
        <f t="shared" si="19"/>
        <v>299.94</v>
      </c>
      <c r="H1271" t="str">
        <f>VLOOKUP(C1271,[1]products!$A:$B,2,FALSE)</f>
        <v>Electra Girl's Hawaii 1 (20-inch) - 2015/2016</v>
      </c>
      <c r="I1271">
        <f>VLOOKUP(C1271,[1]products!$A:$D,4,FALSE)</f>
        <v>1</v>
      </c>
      <c r="J1271" t="str">
        <f>VLOOKUP(I1271,[2]categories!$A$1:$B$8,2,FALSE)</f>
        <v>Children Bicycles</v>
      </c>
    </row>
    <row r="1272" customHeight="1" spans="1:10">
      <c r="A1272" s="1">
        <v>453</v>
      </c>
      <c r="B1272" s="1">
        <v>2</v>
      </c>
      <c r="C1272" s="1">
        <v>20</v>
      </c>
      <c r="D1272" s="1">
        <v>2</v>
      </c>
      <c r="E1272" s="1">
        <v>599.99</v>
      </c>
      <c r="F1272" s="1">
        <v>0.2</v>
      </c>
      <c r="G1272">
        <f t="shared" si="19"/>
        <v>1199.78</v>
      </c>
      <c r="H1272" t="str">
        <f>VLOOKUP(C1272,[1]products!$A:$B,2,FALSE)</f>
        <v>Electra Townie Original 7D EQ - Women's - 2016</v>
      </c>
      <c r="I1272">
        <f>VLOOKUP(C1272,[1]products!$A:$D,4,FALSE)</f>
        <v>3</v>
      </c>
      <c r="J1272" t="str">
        <f>VLOOKUP(I1272,[2]categories!$A$1:$B$8,2,FALSE)</f>
        <v>Cruisers Bicycles</v>
      </c>
    </row>
    <row r="1273" customHeight="1" spans="1:10">
      <c r="A1273" s="1">
        <v>453</v>
      </c>
      <c r="B1273" s="1">
        <v>3</v>
      </c>
      <c r="C1273" s="1">
        <v>4</v>
      </c>
      <c r="D1273" s="1">
        <v>1</v>
      </c>
      <c r="E1273" s="1">
        <v>2899.99</v>
      </c>
      <c r="F1273" s="1">
        <v>0.2</v>
      </c>
      <c r="G1273">
        <f t="shared" si="19"/>
        <v>2899.79</v>
      </c>
      <c r="H1273" t="str">
        <f>VLOOKUP(C1273,[1]products!$A:$B,2,FALSE)</f>
        <v>Trek Fuel EX 8 29 - 2016</v>
      </c>
      <c r="I1273">
        <f>VLOOKUP(C1273,[1]products!$A:$D,4,FALSE)</f>
        <v>6</v>
      </c>
      <c r="J1273" t="str">
        <f>VLOOKUP(I1273,[2]categories!$A$1:$B$8,2,FALSE)</f>
        <v>Mountain Bikes</v>
      </c>
    </row>
    <row r="1274" customHeight="1" spans="1:10">
      <c r="A1274" s="1">
        <v>454</v>
      </c>
      <c r="B1274" s="1">
        <v>1</v>
      </c>
      <c r="C1274" s="1">
        <v>25</v>
      </c>
      <c r="D1274" s="1">
        <v>2</v>
      </c>
      <c r="E1274" s="1">
        <v>499.99</v>
      </c>
      <c r="F1274" s="1">
        <v>0.07</v>
      </c>
      <c r="G1274">
        <f t="shared" si="19"/>
        <v>999.91</v>
      </c>
      <c r="H1274" t="str">
        <f>VLOOKUP(C1274,[1]products!$A:$B,2,FALSE)</f>
        <v>Electra Townie Original 7D - 2015/2016</v>
      </c>
      <c r="I1274">
        <f>VLOOKUP(C1274,[1]products!$A:$D,4,FALSE)</f>
        <v>2</v>
      </c>
      <c r="J1274" t="str">
        <f>VLOOKUP(I1274,[2]categories!$A$1:$B$8,2,FALSE)</f>
        <v>Comfort Bicycles</v>
      </c>
    </row>
    <row r="1275" customHeight="1" spans="1:10">
      <c r="A1275" s="1">
        <v>454</v>
      </c>
      <c r="B1275" s="1">
        <v>2</v>
      </c>
      <c r="C1275" s="1">
        <v>13</v>
      </c>
      <c r="D1275" s="1">
        <v>2</v>
      </c>
      <c r="E1275" s="1">
        <v>269.99</v>
      </c>
      <c r="F1275" s="1">
        <v>0.05</v>
      </c>
      <c r="G1275">
        <f t="shared" si="19"/>
        <v>539.93</v>
      </c>
      <c r="H1275" t="str">
        <f>VLOOKUP(C1275,[1]products!$A:$B,2,FALSE)</f>
        <v>Electra Cruiser 1 (24-Inch) - 2016</v>
      </c>
      <c r="I1275">
        <f>VLOOKUP(C1275,[1]products!$A:$D,4,FALSE)</f>
        <v>3</v>
      </c>
      <c r="J1275" t="str">
        <f>VLOOKUP(I1275,[2]categories!$A$1:$B$8,2,FALSE)</f>
        <v>Cruisers Bicycles</v>
      </c>
    </row>
    <row r="1276" customHeight="1" spans="1:10">
      <c r="A1276" s="1">
        <v>454</v>
      </c>
      <c r="B1276" s="1">
        <v>3</v>
      </c>
      <c r="C1276" s="1">
        <v>24</v>
      </c>
      <c r="D1276" s="1">
        <v>2</v>
      </c>
      <c r="E1276" s="1">
        <v>549.99</v>
      </c>
      <c r="F1276" s="1">
        <v>0.1</v>
      </c>
      <c r="G1276">
        <f t="shared" si="19"/>
        <v>1099.88</v>
      </c>
      <c r="H1276" t="str">
        <f>VLOOKUP(C1276,[1]products!$A:$B,2,FALSE)</f>
        <v>Electra Townie Original 21D - 2016</v>
      </c>
      <c r="I1276">
        <f>VLOOKUP(C1276,[1]products!$A:$D,4,FALSE)</f>
        <v>2</v>
      </c>
      <c r="J1276" t="str">
        <f>VLOOKUP(I1276,[2]categories!$A$1:$B$8,2,FALSE)</f>
        <v>Comfort Bicycles</v>
      </c>
    </row>
    <row r="1277" customHeight="1" spans="1:10">
      <c r="A1277" s="1">
        <v>455</v>
      </c>
      <c r="B1277" s="1">
        <v>1</v>
      </c>
      <c r="C1277" s="1">
        <v>9</v>
      </c>
      <c r="D1277" s="1">
        <v>1</v>
      </c>
      <c r="E1277" s="1">
        <v>2999.99</v>
      </c>
      <c r="F1277" s="1">
        <v>0.05</v>
      </c>
      <c r="G1277">
        <f t="shared" si="19"/>
        <v>2999.94</v>
      </c>
      <c r="H1277" t="str">
        <f>VLOOKUP(C1277,[1]products!$A:$B,2,FALSE)</f>
        <v>Trek Conduit+ - 2016</v>
      </c>
      <c r="I1277">
        <f>VLOOKUP(C1277,[1]products!$A:$D,4,FALSE)</f>
        <v>5</v>
      </c>
      <c r="J1277" t="str">
        <f>VLOOKUP(I1277,[2]categories!$A$1:$B$8,2,FALSE)</f>
        <v>Electric Bikes</v>
      </c>
    </row>
    <row r="1278" customHeight="1" spans="1:10">
      <c r="A1278" s="1">
        <v>456</v>
      </c>
      <c r="B1278" s="1">
        <v>1</v>
      </c>
      <c r="C1278" s="1">
        <v>17</v>
      </c>
      <c r="D1278" s="1">
        <v>2</v>
      </c>
      <c r="E1278" s="1">
        <v>429</v>
      </c>
      <c r="F1278" s="1">
        <v>0.07</v>
      </c>
      <c r="G1278">
        <f t="shared" si="19"/>
        <v>857.93</v>
      </c>
      <c r="H1278" t="str">
        <f>VLOOKUP(C1278,[1]products!$A:$B,2,FALSE)</f>
        <v>Pure Cycles Vine 8-Speed - 2016</v>
      </c>
      <c r="I1278">
        <f>VLOOKUP(C1278,[1]products!$A:$D,4,FALSE)</f>
        <v>3</v>
      </c>
      <c r="J1278" t="str">
        <f>VLOOKUP(I1278,[2]categories!$A$1:$B$8,2,FALSE)</f>
        <v>Cruisers Bicycles</v>
      </c>
    </row>
    <row r="1279" customHeight="1" spans="1:10">
      <c r="A1279" s="1">
        <v>456</v>
      </c>
      <c r="B1279" s="1">
        <v>2</v>
      </c>
      <c r="C1279" s="1">
        <v>23</v>
      </c>
      <c r="D1279" s="1">
        <v>1</v>
      </c>
      <c r="E1279" s="1">
        <v>299.99</v>
      </c>
      <c r="F1279" s="1">
        <v>0.07</v>
      </c>
      <c r="G1279">
        <f t="shared" si="19"/>
        <v>299.92</v>
      </c>
      <c r="H1279" t="str">
        <f>VLOOKUP(C1279,[1]products!$A:$B,2,FALSE)</f>
        <v>Electra Girl's Hawaii 1 (20-inch) - 2015/2016</v>
      </c>
      <c r="I1279">
        <f>VLOOKUP(C1279,[1]products!$A:$D,4,FALSE)</f>
        <v>1</v>
      </c>
      <c r="J1279" t="str">
        <f>VLOOKUP(I1279,[2]categories!$A$1:$B$8,2,FALSE)</f>
        <v>Children Bicycles</v>
      </c>
    </row>
    <row r="1280" customHeight="1" spans="1:10">
      <c r="A1280" s="1">
        <v>457</v>
      </c>
      <c r="B1280" s="1">
        <v>1</v>
      </c>
      <c r="C1280" s="1">
        <v>24</v>
      </c>
      <c r="D1280" s="1">
        <v>2</v>
      </c>
      <c r="E1280" s="1">
        <v>549.99</v>
      </c>
      <c r="F1280" s="1">
        <v>0.07</v>
      </c>
      <c r="G1280">
        <f t="shared" si="19"/>
        <v>1099.91</v>
      </c>
      <c r="H1280" t="str">
        <f>VLOOKUP(C1280,[1]products!$A:$B,2,FALSE)</f>
        <v>Electra Townie Original 21D - 2016</v>
      </c>
      <c r="I1280">
        <f>VLOOKUP(C1280,[1]products!$A:$D,4,FALSE)</f>
        <v>2</v>
      </c>
      <c r="J1280" t="str">
        <f>VLOOKUP(I1280,[2]categories!$A$1:$B$8,2,FALSE)</f>
        <v>Comfort Bicycles</v>
      </c>
    </row>
    <row r="1281" customHeight="1" spans="1:10">
      <c r="A1281" s="1">
        <v>457</v>
      </c>
      <c r="B1281" s="1">
        <v>2</v>
      </c>
      <c r="C1281" s="1">
        <v>2</v>
      </c>
      <c r="D1281" s="1">
        <v>1</v>
      </c>
      <c r="E1281" s="1">
        <v>749.99</v>
      </c>
      <c r="F1281" s="1">
        <v>0.05</v>
      </c>
      <c r="G1281">
        <f t="shared" si="19"/>
        <v>749.94</v>
      </c>
      <c r="H1281" t="str">
        <f>VLOOKUP(C1281,[1]products!$A:$B,2,FALSE)</f>
        <v>Ritchey Timberwolf Frameset - 2016</v>
      </c>
      <c r="I1281">
        <f>VLOOKUP(C1281,[1]products!$A:$D,4,FALSE)</f>
        <v>6</v>
      </c>
      <c r="J1281" t="str">
        <f>VLOOKUP(I1281,[2]categories!$A$1:$B$8,2,FALSE)</f>
        <v>Mountain Bikes</v>
      </c>
    </row>
    <row r="1282" customHeight="1" spans="1:10">
      <c r="A1282" s="1">
        <v>457</v>
      </c>
      <c r="B1282" s="1">
        <v>3</v>
      </c>
      <c r="C1282" s="1">
        <v>7</v>
      </c>
      <c r="D1282" s="1">
        <v>2</v>
      </c>
      <c r="E1282" s="1">
        <v>3999.99</v>
      </c>
      <c r="F1282" s="1">
        <v>0.1</v>
      </c>
      <c r="G1282">
        <f t="shared" si="19"/>
        <v>7999.88</v>
      </c>
      <c r="H1282" t="str">
        <f>VLOOKUP(C1282,[1]products!$A:$B,2,FALSE)</f>
        <v>Trek Slash 8 27.5 - 2016</v>
      </c>
      <c r="I1282">
        <f>VLOOKUP(C1282,[1]products!$A:$D,4,FALSE)</f>
        <v>6</v>
      </c>
      <c r="J1282" t="str">
        <f>VLOOKUP(I1282,[2]categories!$A$1:$B$8,2,FALSE)</f>
        <v>Mountain Bikes</v>
      </c>
    </row>
    <row r="1283" customHeight="1" spans="1:10">
      <c r="A1283" s="1">
        <v>457</v>
      </c>
      <c r="B1283" s="1">
        <v>4</v>
      </c>
      <c r="C1283" s="1">
        <v>17</v>
      </c>
      <c r="D1283" s="1">
        <v>1</v>
      </c>
      <c r="E1283" s="1">
        <v>429</v>
      </c>
      <c r="F1283" s="1">
        <v>0.2</v>
      </c>
      <c r="G1283">
        <f t="shared" ref="G1283:G1346" si="20">(E1283*D1283)-F1283</f>
        <v>428.8</v>
      </c>
      <c r="H1283" t="str">
        <f>VLOOKUP(C1283,[1]products!$A:$B,2,FALSE)</f>
        <v>Pure Cycles Vine 8-Speed - 2016</v>
      </c>
      <c r="I1283">
        <f>VLOOKUP(C1283,[1]products!$A:$D,4,FALSE)</f>
        <v>3</v>
      </c>
      <c r="J1283" t="str">
        <f>VLOOKUP(I1283,[2]categories!$A$1:$B$8,2,FALSE)</f>
        <v>Cruisers Bicycles</v>
      </c>
    </row>
    <row r="1284" customHeight="1" spans="1:10">
      <c r="A1284" s="1">
        <v>458</v>
      </c>
      <c r="B1284" s="1">
        <v>1</v>
      </c>
      <c r="C1284" s="1">
        <v>2</v>
      </c>
      <c r="D1284" s="1">
        <v>1</v>
      </c>
      <c r="E1284" s="1">
        <v>749.99</v>
      </c>
      <c r="F1284" s="1">
        <v>0.2</v>
      </c>
      <c r="G1284">
        <f t="shared" si="20"/>
        <v>749.79</v>
      </c>
      <c r="H1284" t="str">
        <f>VLOOKUP(C1284,[1]products!$A:$B,2,FALSE)</f>
        <v>Ritchey Timberwolf Frameset - 2016</v>
      </c>
      <c r="I1284">
        <f>VLOOKUP(C1284,[1]products!$A:$D,4,FALSE)</f>
        <v>6</v>
      </c>
      <c r="J1284" t="str">
        <f>VLOOKUP(I1284,[2]categories!$A$1:$B$8,2,FALSE)</f>
        <v>Mountain Bikes</v>
      </c>
    </row>
    <row r="1285" customHeight="1" spans="1:10">
      <c r="A1285" s="1">
        <v>458</v>
      </c>
      <c r="B1285" s="1">
        <v>2</v>
      </c>
      <c r="C1285" s="1">
        <v>21</v>
      </c>
      <c r="D1285" s="1">
        <v>2</v>
      </c>
      <c r="E1285" s="1">
        <v>269.99</v>
      </c>
      <c r="F1285" s="1">
        <v>0.07</v>
      </c>
      <c r="G1285">
        <f t="shared" si="20"/>
        <v>539.91</v>
      </c>
      <c r="H1285" t="str">
        <f>VLOOKUP(C1285,[1]products!$A:$B,2,FALSE)</f>
        <v>Electra Cruiser 1 (24-Inch) - 2016</v>
      </c>
      <c r="I1285">
        <f>VLOOKUP(C1285,[1]products!$A:$D,4,FALSE)</f>
        <v>1</v>
      </c>
      <c r="J1285" t="str">
        <f>VLOOKUP(I1285,[2]categories!$A$1:$B$8,2,FALSE)</f>
        <v>Children Bicycles</v>
      </c>
    </row>
    <row r="1286" customHeight="1" spans="1:10">
      <c r="A1286" s="1">
        <v>458</v>
      </c>
      <c r="B1286" s="1">
        <v>3</v>
      </c>
      <c r="C1286" s="1">
        <v>11</v>
      </c>
      <c r="D1286" s="1">
        <v>1</v>
      </c>
      <c r="E1286" s="1">
        <v>1680.99</v>
      </c>
      <c r="F1286" s="1">
        <v>0.1</v>
      </c>
      <c r="G1286">
        <f t="shared" si="20"/>
        <v>1680.89</v>
      </c>
      <c r="H1286" t="str">
        <f>VLOOKUP(C1286,[1]products!$A:$B,2,FALSE)</f>
        <v>Surly Straggler 650b - 2016</v>
      </c>
      <c r="I1286">
        <f>VLOOKUP(C1286,[1]products!$A:$D,4,FALSE)</f>
        <v>4</v>
      </c>
      <c r="J1286" t="str">
        <f>VLOOKUP(I1286,[2]categories!$A$1:$B$8,2,FALSE)</f>
        <v>Cyclocross Bicycles</v>
      </c>
    </row>
    <row r="1287" customHeight="1" spans="1:10">
      <c r="A1287" s="1">
        <v>458</v>
      </c>
      <c r="B1287" s="1">
        <v>4</v>
      </c>
      <c r="C1287" s="1">
        <v>24</v>
      </c>
      <c r="D1287" s="1">
        <v>1</v>
      </c>
      <c r="E1287" s="1">
        <v>549.99</v>
      </c>
      <c r="F1287" s="1">
        <v>0.2</v>
      </c>
      <c r="G1287">
        <f t="shared" si="20"/>
        <v>549.79</v>
      </c>
      <c r="H1287" t="str">
        <f>VLOOKUP(C1287,[1]products!$A:$B,2,FALSE)</f>
        <v>Electra Townie Original 21D - 2016</v>
      </c>
      <c r="I1287">
        <f>VLOOKUP(C1287,[1]products!$A:$D,4,FALSE)</f>
        <v>2</v>
      </c>
      <c r="J1287" t="str">
        <f>VLOOKUP(I1287,[2]categories!$A$1:$B$8,2,FALSE)</f>
        <v>Comfort Bicycles</v>
      </c>
    </row>
    <row r="1288" customHeight="1" spans="1:10">
      <c r="A1288" s="1">
        <v>458</v>
      </c>
      <c r="B1288" s="1">
        <v>5</v>
      </c>
      <c r="C1288" s="1">
        <v>3</v>
      </c>
      <c r="D1288" s="1">
        <v>2</v>
      </c>
      <c r="E1288" s="1">
        <v>999.99</v>
      </c>
      <c r="F1288" s="1">
        <v>0.2</v>
      </c>
      <c r="G1288">
        <f t="shared" si="20"/>
        <v>1999.78</v>
      </c>
      <c r="H1288" t="str">
        <f>VLOOKUP(C1288,[1]products!$A:$B,2,FALSE)</f>
        <v>Surly Wednesday Frameset - 2016</v>
      </c>
      <c r="I1288">
        <f>VLOOKUP(C1288,[1]products!$A:$D,4,FALSE)</f>
        <v>6</v>
      </c>
      <c r="J1288" t="str">
        <f>VLOOKUP(I1288,[2]categories!$A$1:$B$8,2,FALSE)</f>
        <v>Mountain Bikes</v>
      </c>
    </row>
    <row r="1289" customHeight="1" spans="1:10">
      <c r="A1289" s="1">
        <v>459</v>
      </c>
      <c r="B1289" s="1">
        <v>1</v>
      </c>
      <c r="C1289" s="1">
        <v>11</v>
      </c>
      <c r="D1289" s="1">
        <v>1</v>
      </c>
      <c r="E1289" s="1">
        <v>1680.99</v>
      </c>
      <c r="F1289" s="1">
        <v>0.2</v>
      </c>
      <c r="G1289">
        <f t="shared" si="20"/>
        <v>1680.79</v>
      </c>
      <c r="H1289" t="str">
        <f>VLOOKUP(C1289,[1]products!$A:$B,2,FALSE)</f>
        <v>Surly Straggler 650b - 2016</v>
      </c>
      <c r="I1289">
        <f>VLOOKUP(C1289,[1]products!$A:$D,4,FALSE)</f>
        <v>4</v>
      </c>
      <c r="J1289" t="str">
        <f>VLOOKUP(I1289,[2]categories!$A$1:$B$8,2,FALSE)</f>
        <v>Cyclocross Bicycles</v>
      </c>
    </row>
    <row r="1290" customHeight="1" spans="1:10">
      <c r="A1290" s="1">
        <v>460</v>
      </c>
      <c r="B1290" s="1">
        <v>1</v>
      </c>
      <c r="C1290" s="1">
        <v>19</v>
      </c>
      <c r="D1290" s="1">
        <v>1</v>
      </c>
      <c r="E1290" s="1">
        <v>449</v>
      </c>
      <c r="F1290" s="1">
        <v>0.05</v>
      </c>
      <c r="G1290">
        <f t="shared" si="20"/>
        <v>448.95</v>
      </c>
      <c r="H1290" t="str">
        <f>VLOOKUP(C1290,[1]products!$A:$B,2,FALSE)</f>
        <v>Pure Cycles William 3-Speed - 2016</v>
      </c>
      <c r="I1290">
        <f>VLOOKUP(C1290,[1]products!$A:$D,4,FALSE)</f>
        <v>3</v>
      </c>
      <c r="J1290" t="str">
        <f>VLOOKUP(I1290,[2]categories!$A$1:$B$8,2,FALSE)</f>
        <v>Cruisers Bicycles</v>
      </c>
    </row>
    <row r="1291" customHeight="1" spans="1:10">
      <c r="A1291" s="1">
        <v>460</v>
      </c>
      <c r="B1291" s="1">
        <v>2</v>
      </c>
      <c r="C1291" s="1">
        <v>18</v>
      </c>
      <c r="D1291" s="1">
        <v>2</v>
      </c>
      <c r="E1291" s="1">
        <v>449</v>
      </c>
      <c r="F1291" s="1">
        <v>0.07</v>
      </c>
      <c r="G1291">
        <f t="shared" si="20"/>
        <v>897.93</v>
      </c>
      <c r="H1291" t="str">
        <f>VLOOKUP(C1291,[1]products!$A:$B,2,FALSE)</f>
        <v>Pure Cycles Western 3-Speed - Women's - 2015/2016</v>
      </c>
      <c r="I1291">
        <f>VLOOKUP(C1291,[1]products!$A:$D,4,FALSE)</f>
        <v>3</v>
      </c>
      <c r="J1291" t="str">
        <f>VLOOKUP(I1291,[2]categories!$A$1:$B$8,2,FALSE)</f>
        <v>Cruisers Bicycles</v>
      </c>
    </row>
    <row r="1292" customHeight="1" spans="1:10">
      <c r="A1292" s="1">
        <v>460</v>
      </c>
      <c r="B1292" s="1">
        <v>3</v>
      </c>
      <c r="C1292" s="1">
        <v>4</v>
      </c>
      <c r="D1292" s="1">
        <v>1</v>
      </c>
      <c r="E1292" s="1">
        <v>2899.99</v>
      </c>
      <c r="F1292" s="1">
        <v>0.2</v>
      </c>
      <c r="G1292">
        <f t="shared" si="20"/>
        <v>2899.79</v>
      </c>
      <c r="H1292" t="str">
        <f>VLOOKUP(C1292,[1]products!$A:$B,2,FALSE)</f>
        <v>Trek Fuel EX 8 29 - 2016</v>
      </c>
      <c r="I1292">
        <f>VLOOKUP(C1292,[1]products!$A:$D,4,FALSE)</f>
        <v>6</v>
      </c>
      <c r="J1292" t="str">
        <f>VLOOKUP(I1292,[2]categories!$A$1:$B$8,2,FALSE)</f>
        <v>Mountain Bikes</v>
      </c>
    </row>
    <row r="1293" customHeight="1" spans="1:10">
      <c r="A1293" s="1">
        <v>460</v>
      </c>
      <c r="B1293" s="1">
        <v>4</v>
      </c>
      <c r="C1293" s="1">
        <v>22</v>
      </c>
      <c r="D1293" s="1">
        <v>2</v>
      </c>
      <c r="E1293" s="1">
        <v>269.99</v>
      </c>
      <c r="F1293" s="1">
        <v>0.1</v>
      </c>
      <c r="G1293">
        <f t="shared" si="20"/>
        <v>539.88</v>
      </c>
      <c r="H1293" t="str">
        <f>VLOOKUP(C1293,[1]products!$A:$B,2,FALSE)</f>
        <v>Electra Girl's Hawaii 1 (16-inch) - 2015/2016</v>
      </c>
      <c r="I1293">
        <f>VLOOKUP(C1293,[1]products!$A:$D,4,FALSE)</f>
        <v>1</v>
      </c>
      <c r="J1293" t="str">
        <f>VLOOKUP(I1293,[2]categories!$A$1:$B$8,2,FALSE)</f>
        <v>Children Bicycles</v>
      </c>
    </row>
    <row r="1294" customHeight="1" spans="1:10">
      <c r="A1294" s="1">
        <v>461</v>
      </c>
      <c r="B1294" s="1">
        <v>1</v>
      </c>
      <c r="C1294" s="1">
        <v>16</v>
      </c>
      <c r="D1294" s="1">
        <v>1</v>
      </c>
      <c r="E1294" s="1">
        <v>599.99</v>
      </c>
      <c r="F1294" s="1">
        <v>0.07</v>
      </c>
      <c r="G1294">
        <f t="shared" si="20"/>
        <v>599.92</v>
      </c>
      <c r="H1294" t="str">
        <f>VLOOKUP(C1294,[1]products!$A:$B,2,FALSE)</f>
        <v>Electra Townie Original 7D EQ - 2016</v>
      </c>
      <c r="I1294">
        <f>VLOOKUP(C1294,[1]products!$A:$D,4,FALSE)</f>
        <v>3</v>
      </c>
      <c r="J1294" t="str">
        <f>VLOOKUP(I1294,[2]categories!$A$1:$B$8,2,FALSE)</f>
        <v>Cruisers Bicycles</v>
      </c>
    </row>
    <row r="1295" customHeight="1" spans="1:10">
      <c r="A1295" s="1">
        <v>461</v>
      </c>
      <c r="B1295" s="1">
        <v>2</v>
      </c>
      <c r="C1295" s="1">
        <v>4</v>
      </c>
      <c r="D1295" s="1">
        <v>1</v>
      </c>
      <c r="E1295" s="1">
        <v>2899.99</v>
      </c>
      <c r="F1295" s="1">
        <v>0.2</v>
      </c>
      <c r="G1295">
        <f t="shared" si="20"/>
        <v>2899.79</v>
      </c>
      <c r="H1295" t="str">
        <f>VLOOKUP(C1295,[1]products!$A:$B,2,FALSE)</f>
        <v>Trek Fuel EX 8 29 - 2016</v>
      </c>
      <c r="I1295">
        <f>VLOOKUP(C1295,[1]products!$A:$D,4,FALSE)</f>
        <v>6</v>
      </c>
      <c r="J1295" t="str">
        <f>VLOOKUP(I1295,[2]categories!$A$1:$B$8,2,FALSE)</f>
        <v>Mountain Bikes</v>
      </c>
    </row>
    <row r="1296" customHeight="1" spans="1:10">
      <c r="A1296" s="1">
        <v>461</v>
      </c>
      <c r="B1296" s="1">
        <v>3</v>
      </c>
      <c r="C1296" s="1">
        <v>8</v>
      </c>
      <c r="D1296" s="1">
        <v>2</v>
      </c>
      <c r="E1296" s="1">
        <v>1799.99</v>
      </c>
      <c r="F1296" s="1">
        <v>0.05</v>
      </c>
      <c r="G1296">
        <f t="shared" si="20"/>
        <v>3599.93</v>
      </c>
      <c r="H1296" t="str">
        <f>VLOOKUP(C1296,[1]products!$A:$B,2,FALSE)</f>
        <v>Trek Remedy 29 Carbon Frameset - 2016</v>
      </c>
      <c r="I1296">
        <f>VLOOKUP(C1296,[1]products!$A:$D,4,FALSE)</f>
        <v>6</v>
      </c>
      <c r="J1296" t="str">
        <f>VLOOKUP(I1296,[2]categories!$A$1:$B$8,2,FALSE)</f>
        <v>Mountain Bikes</v>
      </c>
    </row>
    <row r="1297" customHeight="1" spans="1:10">
      <c r="A1297" s="1">
        <v>461</v>
      </c>
      <c r="B1297" s="1">
        <v>4</v>
      </c>
      <c r="C1297" s="1">
        <v>24</v>
      </c>
      <c r="D1297" s="1">
        <v>1</v>
      </c>
      <c r="E1297" s="1">
        <v>549.99</v>
      </c>
      <c r="F1297" s="1">
        <v>0.1</v>
      </c>
      <c r="G1297">
        <f t="shared" si="20"/>
        <v>549.89</v>
      </c>
      <c r="H1297" t="str">
        <f>VLOOKUP(C1297,[1]products!$A:$B,2,FALSE)</f>
        <v>Electra Townie Original 21D - 2016</v>
      </c>
      <c r="I1297">
        <f>VLOOKUP(C1297,[1]products!$A:$D,4,FALSE)</f>
        <v>2</v>
      </c>
      <c r="J1297" t="str">
        <f>VLOOKUP(I1297,[2]categories!$A$1:$B$8,2,FALSE)</f>
        <v>Comfort Bicycles</v>
      </c>
    </row>
    <row r="1298" customHeight="1" spans="1:10">
      <c r="A1298" s="1">
        <v>461</v>
      </c>
      <c r="B1298" s="1">
        <v>5</v>
      </c>
      <c r="C1298" s="1">
        <v>18</v>
      </c>
      <c r="D1298" s="1">
        <v>2</v>
      </c>
      <c r="E1298" s="1">
        <v>449</v>
      </c>
      <c r="F1298" s="1">
        <v>0.1</v>
      </c>
      <c r="G1298">
        <f t="shared" si="20"/>
        <v>897.9</v>
      </c>
      <c r="H1298" t="str">
        <f>VLOOKUP(C1298,[1]products!$A:$B,2,FALSE)</f>
        <v>Pure Cycles Western 3-Speed - Women's - 2015/2016</v>
      </c>
      <c r="I1298">
        <f>VLOOKUP(C1298,[1]products!$A:$D,4,FALSE)</f>
        <v>3</v>
      </c>
      <c r="J1298" t="str">
        <f>VLOOKUP(I1298,[2]categories!$A$1:$B$8,2,FALSE)</f>
        <v>Cruisers Bicycles</v>
      </c>
    </row>
    <row r="1299" customHeight="1" spans="1:10">
      <c r="A1299" s="1">
        <v>462</v>
      </c>
      <c r="B1299" s="1">
        <v>1</v>
      </c>
      <c r="C1299" s="1">
        <v>12</v>
      </c>
      <c r="D1299" s="1">
        <v>2</v>
      </c>
      <c r="E1299" s="1">
        <v>549.99</v>
      </c>
      <c r="F1299" s="1">
        <v>0.1</v>
      </c>
      <c r="G1299">
        <f t="shared" si="20"/>
        <v>1099.88</v>
      </c>
      <c r="H1299" t="str">
        <f>VLOOKUP(C1299,[1]products!$A:$B,2,FALSE)</f>
        <v>Electra Townie Original 21D - 2016</v>
      </c>
      <c r="I1299">
        <f>VLOOKUP(C1299,[1]products!$A:$D,4,FALSE)</f>
        <v>3</v>
      </c>
      <c r="J1299" t="str">
        <f>VLOOKUP(I1299,[2]categories!$A$1:$B$8,2,FALSE)</f>
        <v>Cruisers Bicycles</v>
      </c>
    </row>
    <row r="1300" customHeight="1" spans="1:10">
      <c r="A1300" s="1">
        <v>463</v>
      </c>
      <c r="B1300" s="1">
        <v>1</v>
      </c>
      <c r="C1300" s="1">
        <v>13</v>
      </c>
      <c r="D1300" s="1">
        <v>2</v>
      </c>
      <c r="E1300" s="1">
        <v>269.99</v>
      </c>
      <c r="F1300" s="1">
        <v>0.07</v>
      </c>
      <c r="G1300">
        <f t="shared" si="20"/>
        <v>539.91</v>
      </c>
      <c r="H1300" t="str">
        <f>VLOOKUP(C1300,[1]products!$A:$B,2,FALSE)</f>
        <v>Electra Cruiser 1 (24-Inch) - 2016</v>
      </c>
      <c r="I1300">
        <f>VLOOKUP(C1300,[1]products!$A:$D,4,FALSE)</f>
        <v>3</v>
      </c>
      <c r="J1300" t="str">
        <f>VLOOKUP(I1300,[2]categories!$A$1:$B$8,2,FALSE)</f>
        <v>Cruisers Bicycles</v>
      </c>
    </row>
    <row r="1301" customHeight="1" spans="1:10">
      <c r="A1301" s="1">
        <v>464</v>
      </c>
      <c r="B1301" s="1">
        <v>1</v>
      </c>
      <c r="C1301" s="1">
        <v>7</v>
      </c>
      <c r="D1301" s="1">
        <v>1</v>
      </c>
      <c r="E1301" s="1">
        <v>3999.99</v>
      </c>
      <c r="F1301" s="1">
        <v>0.1</v>
      </c>
      <c r="G1301">
        <f t="shared" si="20"/>
        <v>3999.89</v>
      </c>
      <c r="H1301" t="str">
        <f>VLOOKUP(C1301,[1]products!$A:$B,2,FALSE)</f>
        <v>Trek Slash 8 27.5 - 2016</v>
      </c>
      <c r="I1301">
        <f>VLOOKUP(C1301,[1]products!$A:$D,4,FALSE)</f>
        <v>6</v>
      </c>
      <c r="J1301" t="str">
        <f>VLOOKUP(I1301,[2]categories!$A$1:$B$8,2,FALSE)</f>
        <v>Mountain Bikes</v>
      </c>
    </row>
    <row r="1302" customHeight="1" spans="1:10">
      <c r="A1302" s="1">
        <v>465</v>
      </c>
      <c r="B1302" s="1">
        <v>1</v>
      </c>
      <c r="C1302" s="1">
        <v>6</v>
      </c>
      <c r="D1302" s="1">
        <v>2</v>
      </c>
      <c r="E1302" s="1">
        <v>469.99</v>
      </c>
      <c r="F1302" s="1">
        <v>0.1</v>
      </c>
      <c r="G1302">
        <f t="shared" si="20"/>
        <v>939.88</v>
      </c>
      <c r="H1302" t="str">
        <f>VLOOKUP(C1302,[1]products!$A:$B,2,FALSE)</f>
        <v>Surly Ice Cream Truck Frameset - 2016</v>
      </c>
      <c r="I1302">
        <f>VLOOKUP(C1302,[1]products!$A:$D,4,FALSE)</f>
        <v>6</v>
      </c>
      <c r="J1302" t="str">
        <f>VLOOKUP(I1302,[2]categories!$A$1:$B$8,2,FALSE)</f>
        <v>Mountain Bikes</v>
      </c>
    </row>
    <row r="1303" customHeight="1" spans="1:10">
      <c r="A1303" s="1">
        <v>465</v>
      </c>
      <c r="B1303" s="1">
        <v>2</v>
      </c>
      <c r="C1303" s="1">
        <v>25</v>
      </c>
      <c r="D1303" s="1">
        <v>2</v>
      </c>
      <c r="E1303" s="1">
        <v>499.99</v>
      </c>
      <c r="F1303" s="1">
        <v>0.1</v>
      </c>
      <c r="G1303">
        <f t="shared" si="20"/>
        <v>999.88</v>
      </c>
      <c r="H1303" t="str">
        <f>VLOOKUP(C1303,[1]products!$A:$B,2,FALSE)</f>
        <v>Electra Townie Original 7D - 2015/2016</v>
      </c>
      <c r="I1303">
        <f>VLOOKUP(C1303,[1]products!$A:$D,4,FALSE)</f>
        <v>2</v>
      </c>
      <c r="J1303" t="str">
        <f>VLOOKUP(I1303,[2]categories!$A$1:$B$8,2,FALSE)</f>
        <v>Comfort Bicycles</v>
      </c>
    </row>
    <row r="1304" customHeight="1" spans="1:10">
      <c r="A1304" s="1">
        <v>466</v>
      </c>
      <c r="B1304" s="1">
        <v>1</v>
      </c>
      <c r="C1304" s="1">
        <v>19</v>
      </c>
      <c r="D1304" s="1">
        <v>2</v>
      </c>
      <c r="E1304" s="1">
        <v>449</v>
      </c>
      <c r="F1304" s="1">
        <v>0.2</v>
      </c>
      <c r="G1304">
        <f t="shared" si="20"/>
        <v>897.8</v>
      </c>
      <c r="H1304" t="str">
        <f>VLOOKUP(C1304,[1]products!$A:$B,2,FALSE)</f>
        <v>Pure Cycles William 3-Speed - 2016</v>
      </c>
      <c r="I1304">
        <f>VLOOKUP(C1304,[1]products!$A:$D,4,FALSE)</f>
        <v>3</v>
      </c>
      <c r="J1304" t="str">
        <f>VLOOKUP(I1304,[2]categories!$A$1:$B$8,2,FALSE)</f>
        <v>Cruisers Bicycles</v>
      </c>
    </row>
    <row r="1305" customHeight="1" spans="1:10">
      <c r="A1305" s="1">
        <v>466</v>
      </c>
      <c r="B1305" s="1">
        <v>2</v>
      </c>
      <c r="C1305" s="1">
        <v>6</v>
      </c>
      <c r="D1305" s="1">
        <v>1</v>
      </c>
      <c r="E1305" s="1">
        <v>469.99</v>
      </c>
      <c r="F1305" s="1">
        <v>0.2</v>
      </c>
      <c r="G1305">
        <f t="shared" si="20"/>
        <v>469.79</v>
      </c>
      <c r="H1305" t="str">
        <f>VLOOKUP(C1305,[1]products!$A:$B,2,FALSE)</f>
        <v>Surly Ice Cream Truck Frameset - 2016</v>
      </c>
      <c r="I1305">
        <f>VLOOKUP(C1305,[1]products!$A:$D,4,FALSE)</f>
        <v>6</v>
      </c>
      <c r="J1305" t="str">
        <f>VLOOKUP(I1305,[2]categories!$A$1:$B$8,2,FALSE)</f>
        <v>Mountain Bikes</v>
      </c>
    </row>
    <row r="1306" customHeight="1" spans="1:10">
      <c r="A1306" s="1">
        <v>466</v>
      </c>
      <c r="B1306" s="1">
        <v>3</v>
      </c>
      <c r="C1306" s="1">
        <v>7</v>
      </c>
      <c r="D1306" s="1">
        <v>2</v>
      </c>
      <c r="E1306" s="1">
        <v>3999.99</v>
      </c>
      <c r="F1306" s="1">
        <v>0.05</v>
      </c>
      <c r="G1306">
        <f t="shared" si="20"/>
        <v>7999.93</v>
      </c>
      <c r="H1306" t="str">
        <f>VLOOKUP(C1306,[1]products!$A:$B,2,FALSE)</f>
        <v>Trek Slash 8 27.5 - 2016</v>
      </c>
      <c r="I1306">
        <f>VLOOKUP(C1306,[1]products!$A:$D,4,FALSE)</f>
        <v>6</v>
      </c>
      <c r="J1306" t="str">
        <f>VLOOKUP(I1306,[2]categories!$A$1:$B$8,2,FALSE)</f>
        <v>Mountain Bikes</v>
      </c>
    </row>
    <row r="1307" customHeight="1" spans="1:10">
      <c r="A1307" s="1">
        <v>466</v>
      </c>
      <c r="B1307" s="1">
        <v>4</v>
      </c>
      <c r="C1307" s="1">
        <v>15</v>
      </c>
      <c r="D1307" s="1">
        <v>1</v>
      </c>
      <c r="E1307" s="1">
        <v>529.99</v>
      </c>
      <c r="F1307" s="1">
        <v>0.1</v>
      </c>
      <c r="G1307">
        <f t="shared" si="20"/>
        <v>529.89</v>
      </c>
      <c r="H1307" t="str">
        <f>VLOOKUP(C1307,[1]products!$A:$B,2,FALSE)</f>
        <v>Electra Moto 1 - 2016</v>
      </c>
      <c r="I1307">
        <f>VLOOKUP(C1307,[1]products!$A:$D,4,FALSE)</f>
        <v>3</v>
      </c>
      <c r="J1307" t="str">
        <f>VLOOKUP(I1307,[2]categories!$A$1:$B$8,2,FALSE)</f>
        <v>Cruisers Bicycles</v>
      </c>
    </row>
    <row r="1308" customHeight="1" spans="1:10">
      <c r="A1308" s="1">
        <v>466</v>
      </c>
      <c r="B1308" s="1">
        <v>5</v>
      </c>
      <c r="C1308" s="1">
        <v>5</v>
      </c>
      <c r="D1308" s="1">
        <v>1</v>
      </c>
      <c r="E1308" s="1">
        <v>1320.99</v>
      </c>
      <c r="F1308" s="1">
        <v>0.1</v>
      </c>
      <c r="G1308">
        <f t="shared" si="20"/>
        <v>1320.89</v>
      </c>
      <c r="H1308" t="str">
        <f>VLOOKUP(C1308,[1]products!$A:$B,2,FALSE)</f>
        <v>Heller Shagamaw Frame - 2016</v>
      </c>
      <c r="I1308">
        <f>VLOOKUP(C1308,[1]products!$A:$D,4,FALSE)</f>
        <v>6</v>
      </c>
      <c r="J1308" t="str">
        <f>VLOOKUP(I1308,[2]categories!$A$1:$B$8,2,FALSE)</f>
        <v>Mountain Bikes</v>
      </c>
    </row>
    <row r="1309" customHeight="1" spans="1:10">
      <c r="A1309" s="1">
        <v>467</v>
      </c>
      <c r="B1309" s="1">
        <v>1</v>
      </c>
      <c r="C1309" s="1">
        <v>19</v>
      </c>
      <c r="D1309" s="1">
        <v>1</v>
      </c>
      <c r="E1309" s="1">
        <v>449</v>
      </c>
      <c r="F1309" s="1">
        <v>0.07</v>
      </c>
      <c r="G1309">
        <f t="shared" si="20"/>
        <v>448.93</v>
      </c>
      <c r="H1309" t="str">
        <f>VLOOKUP(C1309,[1]products!$A:$B,2,FALSE)</f>
        <v>Pure Cycles William 3-Speed - 2016</v>
      </c>
      <c r="I1309">
        <f>VLOOKUP(C1309,[1]products!$A:$D,4,FALSE)</f>
        <v>3</v>
      </c>
      <c r="J1309" t="str">
        <f>VLOOKUP(I1309,[2]categories!$A$1:$B$8,2,FALSE)</f>
        <v>Cruisers Bicycles</v>
      </c>
    </row>
    <row r="1310" customHeight="1" spans="1:10">
      <c r="A1310" s="1">
        <v>467</v>
      </c>
      <c r="B1310" s="1">
        <v>2</v>
      </c>
      <c r="C1310" s="1">
        <v>10</v>
      </c>
      <c r="D1310" s="1">
        <v>1</v>
      </c>
      <c r="E1310" s="1">
        <v>1549</v>
      </c>
      <c r="F1310" s="1">
        <v>0.07</v>
      </c>
      <c r="G1310">
        <f t="shared" si="20"/>
        <v>1548.93</v>
      </c>
      <c r="H1310" t="str">
        <f>VLOOKUP(C1310,[1]products!$A:$B,2,FALSE)</f>
        <v>Surly Straggler - 2016</v>
      </c>
      <c r="I1310">
        <f>VLOOKUP(C1310,[1]products!$A:$D,4,FALSE)</f>
        <v>4</v>
      </c>
      <c r="J1310" t="str">
        <f>VLOOKUP(I1310,[2]categories!$A$1:$B$8,2,FALSE)</f>
        <v>Cyclocross Bicycles</v>
      </c>
    </row>
    <row r="1311" customHeight="1" spans="1:10">
      <c r="A1311" s="1">
        <v>467</v>
      </c>
      <c r="B1311" s="1">
        <v>3</v>
      </c>
      <c r="C1311" s="1">
        <v>22</v>
      </c>
      <c r="D1311" s="1">
        <v>2</v>
      </c>
      <c r="E1311" s="1">
        <v>269.99</v>
      </c>
      <c r="F1311" s="1">
        <v>0.1</v>
      </c>
      <c r="G1311">
        <f t="shared" si="20"/>
        <v>539.88</v>
      </c>
      <c r="H1311" t="str">
        <f>VLOOKUP(C1311,[1]products!$A:$B,2,FALSE)</f>
        <v>Electra Girl's Hawaii 1 (16-inch) - 2015/2016</v>
      </c>
      <c r="I1311">
        <f>VLOOKUP(C1311,[1]products!$A:$D,4,FALSE)</f>
        <v>1</v>
      </c>
      <c r="J1311" t="str">
        <f>VLOOKUP(I1311,[2]categories!$A$1:$B$8,2,FALSE)</f>
        <v>Children Bicycles</v>
      </c>
    </row>
    <row r="1312" customHeight="1" spans="1:10">
      <c r="A1312" s="1">
        <v>467</v>
      </c>
      <c r="B1312" s="1">
        <v>4</v>
      </c>
      <c r="C1312" s="1">
        <v>17</v>
      </c>
      <c r="D1312" s="1">
        <v>2</v>
      </c>
      <c r="E1312" s="1">
        <v>429</v>
      </c>
      <c r="F1312" s="1">
        <v>0.07</v>
      </c>
      <c r="G1312">
        <f t="shared" si="20"/>
        <v>857.93</v>
      </c>
      <c r="H1312" t="str">
        <f>VLOOKUP(C1312,[1]products!$A:$B,2,FALSE)</f>
        <v>Pure Cycles Vine 8-Speed - 2016</v>
      </c>
      <c r="I1312">
        <f>VLOOKUP(C1312,[1]products!$A:$D,4,FALSE)</f>
        <v>3</v>
      </c>
      <c r="J1312" t="str">
        <f>VLOOKUP(I1312,[2]categories!$A$1:$B$8,2,FALSE)</f>
        <v>Cruisers Bicycles</v>
      </c>
    </row>
    <row r="1313" customHeight="1" spans="1:10">
      <c r="A1313" s="1">
        <v>467</v>
      </c>
      <c r="B1313" s="1">
        <v>5</v>
      </c>
      <c r="C1313" s="1">
        <v>11</v>
      </c>
      <c r="D1313" s="1">
        <v>1</v>
      </c>
      <c r="E1313" s="1">
        <v>1680.99</v>
      </c>
      <c r="F1313" s="1">
        <v>0.1</v>
      </c>
      <c r="G1313">
        <f t="shared" si="20"/>
        <v>1680.89</v>
      </c>
      <c r="H1313" t="str">
        <f>VLOOKUP(C1313,[1]products!$A:$B,2,FALSE)</f>
        <v>Surly Straggler 650b - 2016</v>
      </c>
      <c r="I1313">
        <f>VLOOKUP(C1313,[1]products!$A:$D,4,FALSE)</f>
        <v>4</v>
      </c>
      <c r="J1313" t="str">
        <f>VLOOKUP(I1313,[2]categories!$A$1:$B$8,2,FALSE)</f>
        <v>Cyclocross Bicycles</v>
      </c>
    </row>
    <row r="1314" customHeight="1" spans="1:10">
      <c r="A1314" s="1">
        <v>468</v>
      </c>
      <c r="B1314" s="1">
        <v>1</v>
      </c>
      <c r="C1314" s="1">
        <v>19</v>
      </c>
      <c r="D1314" s="1">
        <v>1</v>
      </c>
      <c r="E1314" s="1">
        <v>449</v>
      </c>
      <c r="F1314" s="1">
        <v>0.1</v>
      </c>
      <c r="G1314">
        <f t="shared" si="20"/>
        <v>448.9</v>
      </c>
      <c r="H1314" t="str">
        <f>VLOOKUP(C1314,[1]products!$A:$B,2,FALSE)</f>
        <v>Pure Cycles William 3-Speed - 2016</v>
      </c>
      <c r="I1314">
        <f>VLOOKUP(C1314,[1]products!$A:$D,4,FALSE)</f>
        <v>3</v>
      </c>
      <c r="J1314" t="str">
        <f>VLOOKUP(I1314,[2]categories!$A$1:$B$8,2,FALSE)</f>
        <v>Cruisers Bicycles</v>
      </c>
    </row>
    <row r="1315" customHeight="1" spans="1:10">
      <c r="A1315" s="1">
        <v>468</v>
      </c>
      <c r="B1315" s="1">
        <v>2</v>
      </c>
      <c r="C1315" s="1">
        <v>9</v>
      </c>
      <c r="D1315" s="1">
        <v>2</v>
      </c>
      <c r="E1315" s="1">
        <v>2999.99</v>
      </c>
      <c r="F1315" s="1">
        <v>0.05</v>
      </c>
      <c r="G1315">
        <f t="shared" si="20"/>
        <v>5999.93</v>
      </c>
      <c r="H1315" t="str">
        <f>VLOOKUP(C1315,[1]products!$A:$B,2,FALSE)</f>
        <v>Trek Conduit+ - 2016</v>
      </c>
      <c r="I1315">
        <f>VLOOKUP(C1315,[1]products!$A:$D,4,FALSE)</f>
        <v>5</v>
      </c>
      <c r="J1315" t="str">
        <f>VLOOKUP(I1315,[2]categories!$A$1:$B$8,2,FALSE)</f>
        <v>Electric Bikes</v>
      </c>
    </row>
    <row r="1316" customHeight="1" spans="1:10">
      <c r="A1316" s="1">
        <v>468</v>
      </c>
      <c r="B1316" s="1">
        <v>3</v>
      </c>
      <c r="C1316" s="1">
        <v>10</v>
      </c>
      <c r="D1316" s="1">
        <v>2</v>
      </c>
      <c r="E1316" s="1">
        <v>1549</v>
      </c>
      <c r="F1316" s="1">
        <v>0.05</v>
      </c>
      <c r="G1316">
        <f t="shared" si="20"/>
        <v>3097.95</v>
      </c>
      <c r="H1316" t="str">
        <f>VLOOKUP(C1316,[1]products!$A:$B,2,FALSE)</f>
        <v>Surly Straggler - 2016</v>
      </c>
      <c r="I1316">
        <f>VLOOKUP(C1316,[1]products!$A:$D,4,FALSE)</f>
        <v>4</v>
      </c>
      <c r="J1316" t="str">
        <f>VLOOKUP(I1316,[2]categories!$A$1:$B$8,2,FALSE)</f>
        <v>Cyclocross Bicycles</v>
      </c>
    </row>
    <row r="1317" customHeight="1" spans="1:10">
      <c r="A1317" s="1">
        <v>468</v>
      </c>
      <c r="B1317" s="1">
        <v>4</v>
      </c>
      <c r="C1317" s="1">
        <v>25</v>
      </c>
      <c r="D1317" s="1">
        <v>1</v>
      </c>
      <c r="E1317" s="1">
        <v>499.99</v>
      </c>
      <c r="F1317" s="1">
        <v>0.1</v>
      </c>
      <c r="G1317">
        <f t="shared" si="20"/>
        <v>499.89</v>
      </c>
      <c r="H1317" t="str">
        <f>VLOOKUP(C1317,[1]products!$A:$B,2,FALSE)</f>
        <v>Electra Townie Original 7D - 2015/2016</v>
      </c>
      <c r="I1317">
        <f>VLOOKUP(C1317,[1]products!$A:$D,4,FALSE)</f>
        <v>2</v>
      </c>
      <c r="J1317" t="str">
        <f>VLOOKUP(I1317,[2]categories!$A$1:$B$8,2,FALSE)</f>
        <v>Comfort Bicycles</v>
      </c>
    </row>
    <row r="1318" customHeight="1" spans="1:10">
      <c r="A1318" s="1">
        <v>469</v>
      </c>
      <c r="B1318" s="1">
        <v>1</v>
      </c>
      <c r="C1318" s="1">
        <v>8</v>
      </c>
      <c r="D1318" s="1">
        <v>2</v>
      </c>
      <c r="E1318" s="1">
        <v>1799.99</v>
      </c>
      <c r="F1318" s="1">
        <v>0.1</v>
      </c>
      <c r="G1318">
        <f t="shared" si="20"/>
        <v>3599.88</v>
      </c>
      <c r="H1318" t="str">
        <f>VLOOKUP(C1318,[1]products!$A:$B,2,FALSE)</f>
        <v>Trek Remedy 29 Carbon Frameset - 2016</v>
      </c>
      <c r="I1318">
        <f>VLOOKUP(C1318,[1]products!$A:$D,4,FALSE)</f>
        <v>6</v>
      </c>
      <c r="J1318" t="str">
        <f>VLOOKUP(I1318,[2]categories!$A$1:$B$8,2,FALSE)</f>
        <v>Mountain Bikes</v>
      </c>
    </row>
    <row r="1319" customHeight="1" spans="1:10">
      <c r="A1319" s="1">
        <v>469</v>
      </c>
      <c r="B1319" s="1">
        <v>2</v>
      </c>
      <c r="C1319" s="1">
        <v>4</v>
      </c>
      <c r="D1319" s="1">
        <v>1</v>
      </c>
      <c r="E1319" s="1">
        <v>2899.99</v>
      </c>
      <c r="F1319" s="1">
        <v>0.07</v>
      </c>
      <c r="G1319">
        <f t="shared" si="20"/>
        <v>2899.92</v>
      </c>
      <c r="H1319" t="str">
        <f>VLOOKUP(C1319,[1]products!$A:$B,2,FALSE)</f>
        <v>Trek Fuel EX 8 29 - 2016</v>
      </c>
      <c r="I1319">
        <f>VLOOKUP(C1319,[1]products!$A:$D,4,FALSE)</f>
        <v>6</v>
      </c>
      <c r="J1319" t="str">
        <f>VLOOKUP(I1319,[2]categories!$A$1:$B$8,2,FALSE)</f>
        <v>Mountain Bikes</v>
      </c>
    </row>
    <row r="1320" customHeight="1" spans="1:10">
      <c r="A1320" s="1">
        <v>469</v>
      </c>
      <c r="B1320" s="1">
        <v>3</v>
      </c>
      <c r="C1320" s="1">
        <v>15</v>
      </c>
      <c r="D1320" s="1">
        <v>2</v>
      </c>
      <c r="E1320" s="1">
        <v>529.99</v>
      </c>
      <c r="F1320" s="1">
        <v>0.2</v>
      </c>
      <c r="G1320">
        <f t="shared" si="20"/>
        <v>1059.78</v>
      </c>
      <c r="H1320" t="str">
        <f>VLOOKUP(C1320,[1]products!$A:$B,2,FALSE)</f>
        <v>Electra Moto 1 - 2016</v>
      </c>
      <c r="I1320">
        <f>VLOOKUP(C1320,[1]products!$A:$D,4,FALSE)</f>
        <v>3</v>
      </c>
      <c r="J1320" t="str">
        <f>VLOOKUP(I1320,[2]categories!$A$1:$B$8,2,FALSE)</f>
        <v>Cruisers Bicycles</v>
      </c>
    </row>
    <row r="1321" customHeight="1" spans="1:10">
      <c r="A1321" s="1">
        <v>470</v>
      </c>
      <c r="B1321" s="1">
        <v>1</v>
      </c>
      <c r="C1321" s="1">
        <v>18</v>
      </c>
      <c r="D1321" s="1">
        <v>1</v>
      </c>
      <c r="E1321" s="1">
        <v>449</v>
      </c>
      <c r="F1321" s="1">
        <v>0.05</v>
      </c>
      <c r="G1321">
        <f t="shared" si="20"/>
        <v>448.95</v>
      </c>
      <c r="H1321" t="str">
        <f>VLOOKUP(C1321,[1]products!$A:$B,2,FALSE)</f>
        <v>Pure Cycles Western 3-Speed - Women's - 2015/2016</v>
      </c>
      <c r="I1321">
        <f>VLOOKUP(C1321,[1]products!$A:$D,4,FALSE)</f>
        <v>3</v>
      </c>
      <c r="J1321" t="str">
        <f>VLOOKUP(I1321,[2]categories!$A$1:$B$8,2,FALSE)</f>
        <v>Cruisers Bicycles</v>
      </c>
    </row>
    <row r="1322" customHeight="1" spans="1:10">
      <c r="A1322" s="1">
        <v>470</v>
      </c>
      <c r="B1322" s="1">
        <v>2</v>
      </c>
      <c r="C1322" s="1">
        <v>13</v>
      </c>
      <c r="D1322" s="1">
        <v>1</v>
      </c>
      <c r="E1322" s="1">
        <v>269.99</v>
      </c>
      <c r="F1322" s="1">
        <v>0.05</v>
      </c>
      <c r="G1322">
        <f t="shared" si="20"/>
        <v>269.94</v>
      </c>
      <c r="H1322" t="str">
        <f>VLOOKUP(C1322,[1]products!$A:$B,2,FALSE)</f>
        <v>Electra Cruiser 1 (24-Inch) - 2016</v>
      </c>
      <c r="I1322">
        <f>VLOOKUP(C1322,[1]products!$A:$D,4,FALSE)</f>
        <v>3</v>
      </c>
      <c r="J1322" t="str">
        <f>VLOOKUP(I1322,[2]categories!$A$1:$B$8,2,FALSE)</f>
        <v>Cruisers Bicycles</v>
      </c>
    </row>
    <row r="1323" customHeight="1" spans="1:10">
      <c r="A1323" s="1">
        <v>470</v>
      </c>
      <c r="B1323" s="1">
        <v>3</v>
      </c>
      <c r="C1323" s="1">
        <v>8</v>
      </c>
      <c r="D1323" s="1">
        <v>2</v>
      </c>
      <c r="E1323" s="1">
        <v>1799.99</v>
      </c>
      <c r="F1323" s="1">
        <v>0.2</v>
      </c>
      <c r="G1323">
        <f t="shared" si="20"/>
        <v>3599.78</v>
      </c>
      <c r="H1323" t="str">
        <f>VLOOKUP(C1323,[1]products!$A:$B,2,FALSE)</f>
        <v>Trek Remedy 29 Carbon Frameset - 2016</v>
      </c>
      <c r="I1323">
        <f>VLOOKUP(C1323,[1]products!$A:$D,4,FALSE)</f>
        <v>6</v>
      </c>
      <c r="J1323" t="str">
        <f>VLOOKUP(I1323,[2]categories!$A$1:$B$8,2,FALSE)</f>
        <v>Mountain Bikes</v>
      </c>
    </row>
    <row r="1324" customHeight="1" spans="1:10">
      <c r="A1324" s="1">
        <v>471</v>
      </c>
      <c r="B1324" s="1">
        <v>1</v>
      </c>
      <c r="C1324" s="1">
        <v>14</v>
      </c>
      <c r="D1324" s="1">
        <v>1</v>
      </c>
      <c r="E1324" s="1">
        <v>269.99</v>
      </c>
      <c r="F1324" s="1">
        <v>0.2</v>
      </c>
      <c r="G1324">
        <f t="shared" si="20"/>
        <v>269.79</v>
      </c>
      <c r="H1324" t="str">
        <f>VLOOKUP(C1324,[1]products!$A:$B,2,FALSE)</f>
        <v>Electra Girl's Hawaii 1 (16-inch) - 2015/2016</v>
      </c>
      <c r="I1324">
        <f>VLOOKUP(C1324,[1]products!$A:$D,4,FALSE)</f>
        <v>3</v>
      </c>
      <c r="J1324" t="str">
        <f>VLOOKUP(I1324,[2]categories!$A$1:$B$8,2,FALSE)</f>
        <v>Cruisers Bicycles</v>
      </c>
    </row>
    <row r="1325" customHeight="1" spans="1:10">
      <c r="A1325" s="1">
        <v>471</v>
      </c>
      <c r="B1325" s="1">
        <v>2</v>
      </c>
      <c r="C1325" s="1">
        <v>13</v>
      </c>
      <c r="D1325" s="1">
        <v>2</v>
      </c>
      <c r="E1325" s="1">
        <v>269.99</v>
      </c>
      <c r="F1325" s="1">
        <v>0.05</v>
      </c>
      <c r="G1325">
        <f t="shared" si="20"/>
        <v>539.93</v>
      </c>
      <c r="H1325" t="str">
        <f>VLOOKUP(C1325,[1]products!$A:$B,2,FALSE)</f>
        <v>Electra Cruiser 1 (24-Inch) - 2016</v>
      </c>
      <c r="I1325">
        <f>VLOOKUP(C1325,[1]products!$A:$D,4,FALSE)</f>
        <v>3</v>
      </c>
      <c r="J1325" t="str">
        <f>VLOOKUP(I1325,[2]categories!$A$1:$B$8,2,FALSE)</f>
        <v>Cruisers Bicycles</v>
      </c>
    </row>
    <row r="1326" customHeight="1" spans="1:10">
      <c r="A1326" s="1">
        <v>472</v>
      </c>
      <c r="B1326" s="1">
        <v>1</v>
      </c>
      <c r="C1326" s="1">
        <v>15</v>
      </c>
      <c r="D1326" s="1">
        <v>1</v>
      </c>
      <c r="E1326" s="1">
        <v>529.99</v>
      </c>
      <c r="F1326" s="1">
        <v>0.1</v>
      </c>
      <c r="G1326">
        <f t="shared" si="20"/>
        <v>529.89</v>
      </c>
      <c r="H1326" t="str">
        <f>VLOOKUP(C1326,[1]products!$A:$B,2,FALSE)</f>
        <v>Electra Moto 1 - 2016</v>
      </c>
      <c r="I1326">
        <f>VLOOKUP(C1326,[1]products!$A:$D,4,FALSE)</f>
        <v>3</v>
      </c>
      <c r="J1326" t="str">
        <f>VLOOKUP(I1326,[2]categories!$A$1:$B$8,2,FALSE)</f>
        <v>Cruisers Bicycles</v>
      </c>
    </row>
    <row r="1327" customHeight="1" spans="1:10">
      <c r="A1327" s="1">
        <v>472</v>
      </c>
      <c r="B1327" s="1">
        <v>2</v>
      </c>
      <c r="C1327" s="1">
        <v>21</v>
      </c>
      <c r="D1327" s="1">
        <v>2</v>
      </c>
      <c r="E1327" s="1">
        <v>269.99</v>
      </c>
      <c r="F1327" s="1">
        <v>0.1</v>
      </c>
      <c r="G1327">
        <f t="shared" si="20"/>
        <v>539.88</v>
      </c>
      <c r="H1327" t="str">
        <f>VLOOKUP(C1327,[1]products!$A:$B,2,FALSE)</f>
        <v>Electra Cruiser 1 (24-Inch) - 2016</v>
      </c>
      <c r="I1327">
        <f>VLOOKUP(C1327,[1]products!$A:$D,4,FALSE)</f>
        <v>1</v>
      </c>
      <c r="J1327" t="str">
        <f>VLOOKUP(I1327,[2]categories!$A$1:$B$8,2,FALSE)</f>
        <v>Children Bicycles</v>
      </c>
    </row>
    <row r="1328" customHeight="1" spans="1:10">
      <c r="A1328" s="1">
        <v>473</v>
      </c>
      <c r="B1328" s="1">
        <v>1</v>
      </c>
      <c r="C1328" s="1">
        <v>26</v>
      </c>
      <c r="D1328" s="1">
        <v>1</v>
      </c>
      <c r="E1328" s="1">
        <v>599.99</v>
      </c>
      <c r="F1328" s="1">
        <v>0.07</v>
      </c>
      <c r="G1328">
        <f t="shared" si="20"/>
        <v>599.92</v>
      </c>
      <c r="H1328" t="str">
        <f>VLOOKUP(C1328,[1]products!$A:$B,2,FALSE)</f>
        <v>Electra Townie Original 7D EQ - 2016</v>
      </c>
      <c r="I1328">
        <f>VLOOKUP(C1328,[1]products!$A:$D,4,FALSE)</f>
        <v>2</v>
      </c>
      <c r="J1328" t="str">
        <f>VLOOKUP(I1328,[2]categories!$A$1:$B$8,2,FALSE)</f>
        <v>Comfort Bicycles</v>
      </c>
    </row>
    <row r="1329" customHeight="1" spans="1:10">
      <c r="A1329" s="1">
        <v>474</v>
      </c>
      <c r="B1329" s="1">
        <v>1</v>
      </c>
      <c r="C1329" s="1">
        <v>19</v>
      </c>
      <c r="D1329" s="1">
        <v>2</v>
      </c>
      <c r="E1329" s="1">
        <v>449</v>
      </c>
      <c r="F1329" s="1">
        <v>0.05</v>
      </c>
      <c r="G1329">
        <f t="shared" si="20"/>
        <v>897.95</v>
      </c>
      <c r="H1329" t="str">
        <f>VLOOKUP(C1329,[1]products!$A:$B,2,FALSE)</f>
        <v>Pure Cycles William 3-Speed - 2016</v>
      </c>
      <c r="I1329">
        <f>VLOOKUP(C1329,[1]products!$A:$D,4,FALSE)</f>
        <v>3</v>
      </c>
      <c r="J1329" t="str">
        <f>VLOOKUP(I1329,[2]categories!$A$1:$B$8,2,FALSE)</f>
        <v>Cruisers Bicycles</v>
      </c>
    </row>
    <row r="1330" customHeight="1" spans="1:10">
      <c r="A1330" s="1">
        <v>474</v>
      </c>
      <c r="B1330" s="1">
        <v>2</v>
      </c>
      <c r="C1330" s="1">
        <v>11</v>
      </c>
      <c r="D1330" s="1">
        <v>1</v>
      </c>
      <c r="E1330" s="1">
        <v>1680.99</v>
      </c>
      <c r="F1330" s="1">
        <v>0.2</v>
      </c>
      <c r="G1330">
        <f t="shared" si="20"/>
        <v>1680.79</v>
      </c>
      <c r="H1330" t="str">
        <f>VLOOKUP(C1330,[1]products!$A:$B,2,FALSE)</f>
        <v>Surly Straggler 650b - 2016</v>
      </c>
      <c r="I1330">
        <f>VLOOKUP(C1330,[1]products!$A:$D,4,FALSE)</f>
        <v>4</v>
      </c>
      <c r="J1330" t="str">
        <f>VLOOKUP(I1330,[2]categories!$A$1:$B$8,2,FALSE)</f>
        <v>Cyclocross Bicycles</v>
      </c>
    </row>
    <row r="1331" customHeight="1" spans="1:10">
      <c r="A1331" s="1">
        <v>475</v>
      </c>
      <c r="B1331" s="1">
        <v>1</v>
      </c>
      <c r="C1331" s="1">
        <v>17</v>
      </c>
      <c r="D1331" s="1">
        <v>2</v>
      </c>
      <c r="E1331" s="1">
        <v>429</v>
      </c>
      <c r="F1331" s="1">
        <v>0.07</v>
      </c>
      <c r="G1331">
        <f t="shared" si="20"/>
        <v>857.93</v>
      </c>
      <c r="H1331" t="str">
        <f>VLOOKUP(C1331,[1]products!$A:$B,2,FALSE)</f>
        <v>Pure Cycles Vine 8-Speed - 2016</v>
      </c>
      <c r="I1331">
        <f>VLOOKUP(C1331,[1]products!$A:$D,4,FALSE)</f>
        <v>3</v>
      </c>
      <c r="J1331" t="str">
        <f>VLOOKUP(I1331,[2]categories!$A$1:$B$8,2,FALSE)</f>
        <v>Cruisers Bicycles</v>
      </c>
    </row>
    <row r="1332" customHeight="1" spans="1:10">
      <c r="A1332" s="1">
        <v>475</v>
      </c>
      <c r="B1332" s="1">
        <v>2</v>
      </c>
      <c r="C1332" s="1">
        <v>26</v>
      </c>
      <c r="D1332" s="1">
        <v>2</v>
      </c>
      <c r="E1332" s="1">
        <v>599.99</v>
      </c>
      <c r="F1332" s="1">
        <v>0.2</v>
      </c>
      <c r="G1332">
        <f t="shared" si="20"/>
        <v>1199.78</v>
      </c>
      <c r="H1332" t="str">
        <f>VLOOKUP(C1332,[1]products!$A:$B,2,FALSE)</f>
        <v>Electra Townie Original 7D EQ - 2016</v>
      </c>
      <c r="I1332">
        <f>VLOOKUP(C1332,[1]products!$A:$D,4,FALSE)</f>
        <v>2</v>
      </c>
      <c r="J1332" t="str">
        <f>VLOOKUP(I1332,[2]categories!$A$1:$B$8,2,FALSE)</f>
        <v>Comfort Bicycles</v>
      </c>
    </row>
    <row r="1333" customHeight="1" spans="1:10">
      <c r="A1333" s="1">
        <v>475</v>
      </c>
      <c r="B1333" s="1">
        <v>3</v>
      </c>
      <c r="C1333" s="1">
        <v>25</v>
      </c>
      <c r="D1333" s="1">
        <v>1</v>
      </c>
      <c r="E1333" s="1">
        <v>499.99</v>
      </c>
      <c r="F1333" s="1">
        <v>0.2</v>
      </c>
      <c r="G1333">
        <f t="shared" si="20"/>
        <v>499.79</v>
      </c>
      <c r="H1333" t="str">
        <f>VLOOKUP(C1333,[1]products!$A:$B,2,FALSE)</f>
        <v>Electra Townie Original 7D - 2015/2016</v>
      </c>
      <c r="I1333">
        <f>VLOOKUP(C1333,[1]products!$A:$D,4,FALSE)</f>
        <v>2</v>
      </c>
      <c r="J1333" t="str">
        <f>VLOOKUP(I1333,[2]categories!$A$1:$B$8,2,FALSE)</f>
        <v>Comfort Bicycles</v>
      </c>
    </row>
    <row r="1334" customHeight="1" spans="1:10">
      <c r="A1334" s="1">
        <v>476</v>
      </c>
      <c r="B1334" s="1">
        <v>1</v>
      </c>
      <c r="C1334" s="1">
        <v>22</v>
      </c>
      <c r="D1334" s="1">
        <v>2</v>
      </c>
      <c r="E1334" s="1">
        <v>269.99</v>
      </c>
      <c r="F1334" s="1">
        <v>0.07</v>
      </c>
      <c r="G1334">
        <f t="shared" si="20"/>
        <v>539.91</v>
      </c>
      <c r="H1334" t="str">
        <f>VLOOKUP(C1334,[1]products!$A:$B,2,FALSE)</f>
        <v>Electra Girl's Hawaii 1 (16-inch) - 2015/2016</v>
      </c>
      <c r="I1334">
        <f>VLOOKUP(C1334,[1]products!$A:$D,4,FALSE)</f>
        <v>1</v>
      </c>
      <c r="J1334" t="str">
        <f>VLOOKUP(I1334,[2]categories!$A$1:$B$8,2,FALSE)</f>
        <v>Children Bicycles</v>
      </c>
    </row>
    <row r="1335" customHeight="1" spans="1:10">
      <c r="A1335" s="1">
        <v>476</v>
      </c>
      <c r="B1335" s="1">
        <v>2</v>
      </c>
      <c r="C1335" s="1">
        <v>4</v>
      </c>
      <c r="D1335" s="1">
        <v>2</v>
      </c>
      <c r="E1335" s="1">
        <v>2899.99</v>
      </c>
      <c r="F1335" s="1">
        <v>0.2</v>
      </c>
      <c r="G1335">
        <f t="shared" si="20"/>
        <v>5799.78</v>
      </c>
      <c r="H1335" t="str">
        <f>VLOOKUP(C1335,[1]products!$A:$B,2,FALSE)</f>
        <v>Trek Fuel EX 8 29 - 2016</v>
      </c>
      <c r="I1335">
        <f>VLOOKUP(C1335,[1]products!$A:$D,4,FALSE)</f>
        <v>6</v>
      </c>
      <c r="J1335" t="str">
        <f>VLOOKUP(I1335,[2]categories!$A$1:$B$8,2,FALSE)</f>
        <v>Mountain Bikes</v>
      </c>
    </row>
    <row r="1336" customHeight="1" spans="1:10">
      <c r="A1336" s="1">
        <v>476</v>
      </c>
      <c r="B1336" s="1">
        <v>3</v>
      </c>
      <c r="C1336" s="1">
        <v>11</v>
      </c>
      <c r="D1336" s="1">
        <v>2</v>
      </c>
      <c r="E1336" s="1">
        <v>1680.99</v>
      </c>
      <c r="F1336" s="1">
        <v>0.07</v>
      </c>
      <c r="G1336">
        <f t="shared" si="20"/>
        <v>3361.91</v>
      </c>
      <c r="H1336" t="str">
        <f>VLOOKUP(C1336,[1]products!$A:$B,2,FALSE)</f>
        <v>Surly Straggler 650b - 2016</v>
      </c>
      <c r="I1336">
        <f>VLOOKUP(C1336,[1]products!$A:$D,4,FALSE)</f>
        <v>4</v>
      </c>
      <c r="J1336" t="str">
        <f>VLOOKUP(I1336,[2]categories!$A$1:$B$8,2,FALSE)</f>
        <v>Cyclocross Bicycles</v>
      </c>
    </row>
    <row r="1337" customHeight="1" spans="1:10">
      <c r="A1337" s="1">
        <v>476</v>
      </c>
      <c r="B1337" s="1">
        <v>4</v>
      </c>
      <c r="C1337" s="1">
        <v>20</v>
      </c>
      <c r="D1337" s="1">
        <v>2</v>
      </c>
      <c r="E1337" s="1">
        <v>599.99</v>
      </c>
      <c r="F1337" s="1">
        <v>0.05</v>
      </c>
      <c r="G1337">
        <f t="shared" si="20"/>
        <v>1199.93</v>
      </c>
      <c r="H1337" t="str">
        <f>VLOOKUP(C1337,[1]products!$A:$B,2,FALSE)</f>
        <v>Electra Townie Original 7D EQ - Women's - 2016</v>
      </c>
      <c r="I1337">
        <f>VLOOKUP(C1337,[1]products!$A:$D,4,FALSE)</f>
        <v>3</v>
      </c>
      <c r="J1337" t="str">
        <f>VLOOKUP(I1337,[2]categories!$A$1:$B$8,2,FALSE)</f>
        <v>Cruisers Bicycles</v>
      </c>
    </row>
    <row r="1338" customHeight="1" spans="1:10">
      <c r="A1338" s="1">
        <v>477</v>
      </c>
      <c r="B1338" s="1">
        <v>1</v>
      </c>
      <c r="C1338" s="1">
        <v>6</v>
      </c>
      <c r="D1338" s="1">
        <v>1</v>
      </c>
      <c r="E1338" s="1">
        <v>469.99</v>
      </c>
      <c r="F1338" s="1">
        <v>0.1</v>
      </c>
      <c r="G1338">
        <f t="shared" si="20"/>
        <v>469.89</v>
      </c>
      <c r="H1338" t="str">
        <f>VLOOKUP(C1338,[1]products!$A:$B,2,FALSE)</f>
        <v>Surly Ice Cream Truck Frameset - 2016</v>
      </c>
      <c r="I1338">
        <f>VLOOKUP(C1338,[1]products!$A:$D,4,FALSE)</f>
        <v>6</v>
      </c>
      <c r="J1338" t="str">
        <f>VLOOKUP(I1338,[2]categories!$A$1:$B$8,2,FALSE)</f>
        <v>Mountain Bikes</v>
      </c>
    </row>
    <row r="1339" customHeight="1" spans="1:10">
      <c r="A1339" s="1">
        <v>477</v>
      </c>
      <c r="B1339" s="1">
        <v>2</v>
      </c>
      <c r="C1339" s="1">
        <v>10</v>
      </c>
      <c r="D1339" s="1">
        <v>1</v>
      </c>
      <c r="E1339" s="1">
        <v>1549</v>
      </c>
      <c r="F1339" s="1">
        <v>0.05</v>
      </c>
      <c r="G1339">
        <f t="shared" si="20"/>
        <v>1548.95</v>
      </c>
      <c r="H1339" t="str">
        <f>VLOOKUP(C1339,[1]products!$A:$B,2,FALSE)</f>
        <v>Surly Straggler - 2016</v>
      </c>
      <c r="I1339">
        <f>VLOOKUP(C1339,[1]products!$A:$D,4,FALSE)</f>
        <v>4</v>
      </c>
      <c r="J1339" t="str">
        <f>VLOOKUP(I1339,[2]categories!$A$1:$B$8,2,FALSE)</f>
        <v>Cyclocross Bicycles</v>
      </c>
    </row>
    <row r="1340" customHeight="1" spans="1:10">
      <c r="A1340" s="1">
        <v>478</v>
      </c>
      <c r="B1340" s="1">
        <v>1</v>
      </c>
      <c r="C1340" s="1">
        <v>21</v>
      </c>
      <c r="D1340" s="1">
        <v>2</v>
      </c>
      <c r="E1340" s="1">
        <v>269.99</v>
      </c>
      <c r="F1340" s="1">
        <v>0.07</v>
      </c>
      <c r="G1340">
        <f t="shared" si="20"/>
        <v>539.91</v>
      </c>
      <c r="H1340" t="str">
        <f>VLOOKUP(C1340,[1]products!$A:$B,2,FALSE)</f>
        <v>Electra Cruiser 1 (24-Inch) - 2016</v>
      </c>
      <c r="I1340">
        <f>VLOOKUP(C1340,[1]products!$A:$D,4,FALSE)</f>
        <v>1</v>
      </c>
      <c r="J1340" t="str">
        <f>VLOOKUP(I1340,[2]categories!$A$1:$B$8,2,FALSE)</f>
        <v>Children Bicycles</v>
      </c>
    </row>
    <row r="1341" customHeight="1" spans="1:10">
      <c r="A1341" s="1">
        <v>479</v>
      </c>
      <c r="B1341" s="1">
        <v>1</v>
      </c>
      <c r="C1341" s="1">
        <v>26</v>
      </c>
      <c r="D1341" s="1">
        <v>1</v>
      </c>
      <c r="E1341" s="1">
        <v>599.99</v>
      </c>
      <c r="F1341" s="1">
        <v>0.07</v>
      </c>
      <c r="G1341">
        <f t="shared" si="20"/>
        <v>599.92</v>
      </c>
      <c r="H1341" t="str">
        <f>VLOOKUP(C1341,[1]products!$A:$B,2,FALSE)</f>
        <v>Electra Townie Original 7D EQ - 2016</v>
      </c>
      <c r="I1341">
        <f>VLOOKUP(C1341,[1]products!$A:$D,4,FALSE)</f>
        <v>2</v>
      </c>
      <c r="J1341" t="str">
        <f>VLOOKUP(I1341,[2]categories!$A$1:$B$8,2,FALSE)</f>
        <v>Comfort Bicycles</v>
      </c>
    </row>
    <row r="1342" customHeight="1" spans="1:10">
      <c r="A1342" s="1">
        <v>479</v>
      </c>
      <c r="B1342" s="1">
        <v>2</v>
      </c>
      <c r="C1342" s="1">
        <v>12</v>
      </c>
      <c r="D1342" s="1">
        <v>1</v>
      </c>
      <c r="E1342" s="1">
        <v>549.99</v>
      </c>
      <c r="F1342" s="1">
        <v>0.05</v>
      </c>
      <c r="G1342">
        <f t="shared" si="20"/>
        <v>549.94</v>
      </c>
      <c r="H1342" t="str">
        <f>VLOOKUP(C1342,[1]products!$A:$B,2,FALSE)</f>
        <v>Electra Townie Original 21D - 2016</v>
      </c>
      <c r="I1342">
        <f>VLOOKUP(C1342,[1]products!$A:$D,4,FALSE)</f>
        <v>3</v>
      </c>
      <c r="J1342" t="str">
        <f>VLOOKUP(I1342,[2]categories!$A$1:$B$8,2,FALSE)</f>
        <v>Cruisers Bicycles</v>
      </c>
    </row>
    <row r="1343" customHeight="1" spans="1:10">
      <c r="A1343" s="1">
        <v>479</v>
      </c>
      <c r="B1343" s="1">
        <v>3</v>
      </c>
      <c r="C1343" s="1">
        <v>21</v>
      </c>
      <c r="D1343" s="1">
        <v>1</v>
      </c>
      <c r="E1343" s="1">
        <v>269.99</v>
      </c>
      <c r="F1343" s="1">
        <v>0.2</v>
      </c>
      <c r="G1343">
        <f t="shared" si="20"/>
        <v>269.79</v>
      </c>
      <c r="H1343" t="str">
        <f>VLOOKUP(C1343,[1]products!$A:$B,2,FALSE)</f>
        <v>Electra Cruiser 1 (24-Inch) - 2016</v>
      </c>
      <c r="I1343">
        <f>VLOOKUP(C1343,[1]products!$A:$D,4,FALSE)</f>
        <v>1</v>
      </c>
      <c r="J1343" t="str">
        <f>VLOOKUP(I1343,[2]categories!$A$1:$B$8,2,FALSE)</f>
        <v>Children Bicycles</v>
      </c>
    </row>
    <row r="1344" customHeight="1" spans="1:10">
      <c r="A1344" s="1">
        <v>479</v>
      </c>
      <c r="B1344" s="1">
        <v>4</v>
      </c>
      <c r="C1344" s="1">
        <v>7</v>
      </c>
      <c r="D1344" s="1">
        <v>1</v>
      </c>
      <c r="E1344" s="1">
        <v>3999.99</v>
      </c>
      <c r="F1344" s="1">
        <v>0.05</v>
      </c>
      <c r="G1344">
        <f t="shared" si="20"/>
        <v>3999.94</v>
      </c>
      <c r="H1344" t="str">
        <f>VLOOKUP(C1344,[1]products!$A:$B,2,FALSE)</f>
        <v>Trek Slash 8 27.5 - 2016</v>
      </c>
      <c r="I1344">
        <f>VLOOKUP(C1344,[1]products!$A:$D,4,FALSE)</f>
        <v>6</v>
      </c>
      <c r="J1344" t="str">
        <f>VLOOKUP(I1344,[2]categories!$A$1:$B$8,2,FALSE)</f>
        <v>Mountain Bikes</v>
      </c>
    </row>
    <row r="1345" customHeight="1" spans="1:10">
      <c r="A1345" s="1">
        <v>479</v>
      </c>
      <c r="B1345" s="1">
        <v>5</v>
      </c>
      <c r="C1345" s="1">
        <v>10</v>
      </c>
      <c r="D1345" s="1">
        <v>1</v>
      </c>
      <c r="E1345" s="1">
        <v>1549</v>
      </c>
      <c r="F1345" s="1">
        <v>0.2</v>
      </c>
      <c r="G1345">
        <f t="shared" si="20"/>
        <v>1548.8</v>
      </c>
      <c r="H1345" t="str">
        <f>VLOOKUP(C1345,[1]products!$A:$B,2,FALSE)</f>
        <v>Surly Straggler - 2016</v>
      </c>
      <c r="I1345">
        <f>VLOOKUP(C1345,[1]products!$A:$D,4,FALSE)</f>
        <v>4</v>
      </c>
      <c r="J1345" t="str">
        <f>VLOOKUP(I1345,[2]categories!$A$1:$B$8,2,FALSE)</f>
        <v>Cyclocross Bicycles</v>
      </c>
    </row>
    <row r="1346" customHeight="1" spans="1:10">
      <c r="A1346" s="1">
        <v>480</v>
      </c>
      <c r="B1346" s="1">
        <v>1</v>
      </c>
      <c r="C1346" s="1">
        <v>4</v>
      </c>
      <c r="D1346" s="1">
        <v>1</v>
      </c>
      <c r="E1346" s="1">
        <v>2899.99</v>
      </c>
      <c r="F1346" s="1">
        <v>0.05</v>
      </c>
      <c r="G1346">
        <f t="shared" si="20"/>
        <v>2899.94</v>
      </c>
      <c r="H1346" t="str">
        <f>VLOOKUP(C1346,[1]products!$A:$B,2,FALSE)</f>
        <v>Trek Fuel EX 8 29 - 2016</v>
      </c>
      <c r="I1346">
        <f>VLOOKUP(C1346,[1]products!$A:$D,4,FALSE)</f>
        <v>6</v>
      </c>
      <c r="J1346" t="str">
        <f>VLOOKUP(I1346,[2]categories!$A$1:$B$8,2,FALSE)</f>
        <v>Mountain Bikes</v>
      </c>
    </row>
    <row r="1347" customHeight="1" spans="1:10">
      <c r="A1347" s="1">
        <v>480</v>
      </c>
      <c r="B1347" s="1">
        <v>2</v>
      </c>
      <c r="C1347" s="1">
        <v>15</v>
      </c>
      <c r="D1347" s="1">
        <v>1</v>
      </c>
      <c r="E1347" s="1">
        <v>529.99</v>
      </c>
      <c r="F1347" s="1">
        <v>0.05</v>
      </c>
      <c r="G1347">
        <f t="shared" ref="G1347:G1410" si="21">(E1347*D1347)-F1347</f>
        <v>529.94</v>
      </c>
      <c r="H1347" t="str">
        <f>VLOOKUP(C1347,[1]products!$A:$B,2,FALSE)</f>
        <v>Electra Moto 1 - 2016</v>
      </c>
      <c r="I1347">
        <f>VLOOKUP(C1347,[1]products!$A:$D,4,FALSE)</f>
        <v>3</v>
      </c>
      <c r="J1347" t="str">
        <f>VLOOKUP(I1347,[2]categories!$A$1:$B$8,2,FALSE)</f>
        <v>Cruisers Bicycles</v>
      </c>
    </row>
    <row r="1348" customHeight="1" spans="1:10">
      <c r="A1348" s="1">
        <v>480</v>
      </c>
      <c r="B1348" s="1">
        <v>3</v>
      </c>
      <c r="C1348" s="1">
        <v>23</v>
      </c>
      <c r="D1348" s="1">
        <v>2</v>
      </c>
      <c r="E1348" s="1">
        <v>299.99</v>
      </c>
      <c r="F1348" s="1">
        <v>0.07</v>
      </c>
      <c r="G1348">
        <f t="shared" si="21"/>
        <v>599.91</v>
      </c>
      <c r="H1348" t="str">
        <f>VLOOKUP(C1348,[1]products!$A:$B,2,FALSE)</f>
        <v>Electra Girl's Hawaii 1 (20-inch) - 2015/2016</v>
      </c>
      <c r="I1348">
        <f>VLOOKUP(C1348,[1]products!$A:$D,4,FALSE)</f>
        <v>1</v>
      </c>
      <c r="J1348" t="str">
        <f>VLOOKUP(I1348,[2]categories!$A$1:$B$8,2,FALSE)</f>
        <v>Children Bicycles</v>
      </c>
    </row>
    <row r="1349" customHeight="1" spans="1:10">
      <c r="A1349" s="1">
        <v>481</v>
      </c>
      <c r="B1349" s="1">
        <v>1</v>
      </c>
      <c r="C1349" s="1">
        <v>13</v>
      </c>
      <c r="D1349" s="1">
        <v>2</v>
      </c>
      <c r="E1349" s="1">
        <v>269.99</v>
      </c>
      <c r="F1349" s="1">
        <v>0.2</v>
      </c>
      <c r="G1349">
        <f t="shared" si="21"/>
        <v>539.78</v>
      </c>
      <c r="H1349" t="str">
        <f>VLOOKUP(C1349,[1]products!$A:$B,2,FALSE)</f>
        <v>Electra Cruiser 1 (24-Inch) - 2016</v>
      </c>
      <c r="I1349">
        <f>VLOOKUP(C1349,[1]products!$A:$D,4,FALSE)</f>
        <v>3</v>
      </c>
      <c r="J1349" t="str">
        <f>VLOOKUP(I1349,[2]categories!$A$1:$B$8,2,FALSE)</f>
        <v>Cruisers Bicycles</v>
      </c>
    </row>
    <row r="1350" customHeight="1" spans="1:10">
      <c r="A1350" s="1">
        <v>481</v>
      </c>
      <c r="B1350" s="1">
        <v>2</v>
      </c>
      <c r="C1350" s="1">
        <v>16</v>
      </c>
      <c r="D1350" s="1">
        <v>2</v>
      </c>
      <c r="E1350" s="1">
        <v>599.99</v>
      </c>
      <c r="F1350" s="1">
        <v>0.07</v>
      </c>
      <c r="G1350">
        <f t="shared" si="21"/>
        <v>1199.91</v>
      </c>
      <c r="H1350" t="str">
        <f>VLOOKUP(C1350,[1]products!$A:$B,2,FALSE)</f>
        <v>Electra Townie Original 7D EQ - 2016</v>
      </c>
      <c r="I1350">
        <f>VLOOKUP(C1350,[1]products!$A:$D,4,FALSE)</f>
        <v>3</v>
      </c>
      <c r="J1350" t="str">
        <f>VLOOKUP(I1350,[2]categories!$A$1:$B$8,2,FALSE)</f>
        <v>Cruisers Bicycles</v>
      </c>
    </row>
    <row r="1351" customHeight="1" spans="1:10">
      <c r="A1351" s="1">
        <v>481</v>
      </c>
      <c r="B1351" s="1">
        <v>3</v>
      </c>
      <c r="C1351" s="1">
        <v>9</v>
      </c>
      <c r="D1351" s="1">
        <v>2</v>
      </c>
      <c r="E1351" s="1">
        <v>2999.99</v>
      </c>
      <c r="F1351" s="1">
        <v>0.1</v>
      </c>
      <c r="G1351">
        <f t="shared" si="21"/>
        <v>5999.88</v>
      </c>
      <c r="H1351" t="str">
        <f>VLOOKUP(C1351,[1]products!$A:$B,2,FALSE)</f>
        <v>Trek Conduit+ - 2016</v>
      </c>
      <c r="I1351">
        <f>VLOOKUP(C1351,[1]products!$A:$D,4,FALSE)</f>
        <v>5</v>
      </c>
      <c r="J1351" t="str">
        <f>VLOOKUP(I1351,[2]categories!$A$1:$B$8,2,FALSE)</f>
        <v>Electric Bikes</v>
      </c>
    </row>
    <row r="1352" customHeight="1" spans="1:10">
      <c r="A1352" s="1">
        <v>482</v>
      </c>
      <c r="B1352" s="1">
        <v>1</v>
      </c>
      <c r="C1352" s="1">
        <v>13</v>
      </c>
      <c r="D1352" s="1">
        <v>1</v>
      </c>
      <c r="E1352" s="1">
        <v>269.99</v>
      </c>
      <c r="F1352" s="1">
        <v>0.2</v>
      </c>
      <c r="G1352">
        <f t="shared" si="21"/>
        <v>269.79</v>
      </c>
      <c r="H1352" t="str">
        <f>VLOOKUP(C1352,[1]products!$A:$B,2,FALSE)</f>
        <v>Electra Cruiser 1 (24-Inch) - 2016</v>
      </c>
      <c r="I1352">
        <f>VLOOKUP(C1352,[1]products!$A:$D,4,FALSE)</f>
        <v>3</v>
      </c>
      <c r="J1352" t="str">
        <f>VLOOKUP(I1352,[2]categories!$A$1:$B$8,2,FALSE)</f>
        <v>Cruisers Bicycles</v>
      </c>
    </row>
    <row r="1353" customHeight="1" spans="1:10">
      <c r="A1353" s="1">
        <v>482</v>
      </c>
      <c r="B1353" s="1">
        <v>2</v>
      </c>
      <c r="C1353" s="1">
        <v>14</v>
      </c>
      <c r="D1353" s="1">
        <v>1</v>
      </c>
      <c r="E1353" s="1">
        <v>269.99</v>
      </c>
      <c r="F1353" s="1">
        <v>0.1</v>
      </c>
      <c r="G1353">
        <f t="shared" si="21"/>
        <v>269.89</v>
      </c>
      <c r="H1353" t="str">
        <f>VLOOKUP(C1353,[1]products!$A:$B,2,FALSE)</f>
        <v>Electra Girl's Hawaii 1 (16-inch) - 2015/2016</v>
      </c>
      <c r="I1353">
        <f>VLOOKUP(C1353,[1]products!$A:$D,4,FALSE)</f>
        <v>3</v>
      </c>
      <c r="J1353" t="str">
        <f>VLOOKUP(I1353,[2]categories!$A$1:$B$8,2,FALSE)</f>
        <v>Cruisers Bicycles</v>
      </c>
    </row>
    <row r="1354" customHeight="1" spans="1:10">
      <c r="A1354" s="1">
        <v>483</v>
      </c>
      <c r="B1354" s="1">
        <v>1</v>
      </c>
      <c r="C1354" s="1">
        <v>17</v>
      </c>
      <c r="D1354" s="1">
        <v>1</v>
      </c>
      <c r="E1354" s="1">
        <v>429</v>
      </c>
      <c r="F1354" s="1">
        <v>0.07</v>
      </c>
      <c r="G1354">
        <f t="shared" si="21"/>
        <v>428.93</v>
      </c>
      <c r="H1354" t="str">
        <f>VLOOKUP(C1354,[1]products!$A:$B,2,FALSE)</f>
        <v>Pure Cycles Vine 8-Speed - 2016</v>
      </c>
      <c r="I1354">
        <f>VLOOKUP(C1354,[1]products!$A:$D,4,FALSE)</f>
        <v>3</v>
      </c>
      <c r="J1354" t="str">
        <f>VLOOKUP(I1354,[2]categories!$A$1:$B$8,2,FALSE)</f>
        <v>Cruisers Bicycles</v>
      </c>
    </row>
    <row r="1355" customHeight="1" spans="1:10">
      <c r="A1355" s="1">
        <v>484</v>
      </c>
      <c r="B1355" s="1">
        <v>1</v>
      </c>
      <c r="C1355" s="1">
        <v>8</v>
      </c>
      <c r="D1355" s="1">
        <v>2</v>
      </c>
      <c r="E1355" s="1">
        <v>1799.99</v>
      </c>
      <c r="F1355" s="1">
        <v>0.1</v>
      </c>
      <c r="G1355">
        <f t="shared" si="21"/>
        <v>3599.88</v>
      </c>
      <c r="H1355" t="str">
        <f>VLOOKUP(C1355,[1]products!$A:$B,2,FALSE)</f>
        <v>Trek Remedy 29 Carbon Frameset - 2016</v>
      </c>
      <c r="I1355">
        <f>VLOOKUP(C1355,[1]products!$A:$D,4,FALSE)</f>
        <v>6</v>
      </c>
      <c r="J1355" t="str">
        <f>VLOOKUP(I1355,[2]categories!$A$1:$B$8,2,FALSE)</f>
        <v>Mountain Bikes</v>
      </c>
    </row>
    <row r="1356" customHeight="1" spans="1:10">
      <c r="A1356" s="1">
        <v>484</v>
      </c>
      <c r="B1356" s="1">
        <v>2</v>
      </c>
      <c r="C1356" s="1">
        <v>24</v>
      </c>
      <c r="D1356" s="1">
        <v>1</v>
      </c>
      <c r="E1356" s="1">
        <v>549.99</v>
      </c>
      <c r="F1356" s="1">
        <v>0.05</v>
      </c>
      <c r="G1356">
        <f t="shared" si="21"/>
        <v>549.94</v>
      </c>
      <c r="H1356" t="str">
        <f>VLOOKUP(C1356,[1]products!$A:$B,2,FALSE)</f>
        <v>Electra Townie Original 21D - 2016</v>
      </c>
      <c r="I1356">
        <f>VLOOKUP(C1356,[1]products!$A:$D,4,FALSE)</f>
        <v>2</v>
      </c>
      <c r="J1356" t="str">
        <f>VLOOKUP(I1356,[2]categories!$A$1:$B$8,2,FALSE)</f>
        <v>Comfort Bicycles</v>
      </c>
    </row>
    <row r="1357" customHeight="1" spans="1:10">
      <c r="A1357" s="1">
        <v>484</v>
      </c>
      <c r="B1357" s="1">
        <v>3</v>
      </c>
      <c r="C1357" s="1">
        <v>9</v>
      </c>
      <c r="D1357" s="1">
        <v>2</v>
      </c>
      <c r="E1357" s="1">
        <v>2999.99</v>
      </c>
      <c r="F1357" s="1">
        <v>0.05</v>
      </c>
      <c r="G1357">
        <f t="shared" si="21"/>
        <v>5999.93</v>
      </c>
      <c r="H1357" t="str">
        <f>VLOOKUP(C1357,[1]products!$A:$B,2,FALSE)</f>
        <v>Trek Conduit+ - 2016</v>
      </c>
      <c r="I1357">
        <f>VLOOKUP(C1357,[1]products!$A:$D,4,FALSE)</f>
        <v>5</v>
      </c>
      <c r="J1357" t="str">
        <f>VLOOKUP(I1357,[2]categories!$A$1:$B$8,2,FALSE)</f>
        <v>Electric Bikes</v>
      </c>
    </row>
    <row r="1358" customHeight="1" spans="1:10">
      <c r="A1358" s="1">
        <v>484</v>
      </c>
      <c r="B1358" s="1">
        <v>4</v>
      </c>
      <c r="C1358" s="1">
        <v>6</v>
      </c>
      <c r="D1358" s="1">
        <v>1</v>
      </c>
      <c r="E1358" s="1">
        <v>469.99</v>
      </c>
      <c r="F1358" s="1">
        <v>0.2</v>
      </c>
      <c r="G1358">
        <f t="shared" si="21"/>
        <v>469.79</v>
      </c>
      <c r="H1358" t="str">
        <f>VLOOKUP(C1358,[1]products!$A:$B,2,FALSE)</f>
        <v>Surly Ice Cream Truck Frameset - 2016</v>
      </c>
      <c r="I1358">
        <f>VLOOKUP(C1358,[1]products!$A:$D,4,FALSE)</f>
        <v>6</v>
      </c>
      <c r="J1358" t="str">
        <f>VLOOKUP(I1358,[2]categories!$A$1:$B$8,2,FALSE)</f>
        <v>Mountain Bikes</v>
      </c>
    </row>
    <row r="1359" customHeight="1" spans="1:10">
      <c r="A1359" s="1">
        <v>485</v>
      </c>
      <c r="B1359" s="1">
        <v>1</v>
      </c>
      <c r="C1359" s="1">
        <v>13</v>
      </c>
      <c r="D1359" s="1">
        <v>1</v>
      </c>
      <c r="E1359" s="1">
        <v>269.99</v>
      </c>
      <c r="F1359" s="1">
        <v>0.1</v>
      </c>
      <c r="G1359">
        <f t="shared" si="21"/>
        <v>269.89</v>
      </c>
      <c r="H1359" t="str">
        <f>VLOOKUP(C1359,[1]products!$A:$B,2,FALSE)</f>
        <v>Electra Cruiser 1 (24-Inch) - 2016</v>
      </c>
      <c r="I1359">
        <f>VLOOKUP(C1359,[1]products!$A:$D,4,FALSE)</f>
        <v>3</v>
      </c>
      <c r="J1359" t="str">
        <f>VLOOKUP(I1359,[2]categories!$A$1:$B$8,2,FALSE)</f>
        <v>Cruisers Bicycles</v>
      </c>
    </row>
    <row r="1360" customHeight="1" spans="1:10">
      <c r="A1360" s="1">
        <v>485</v>
      </c>
      <c r="B1360" s="1">
        <v>2</v>
      </c>
      <c r="C1360" s="1">
        <v>26</v>
      </c>
      <c r="D1360" s="1">
        <v>2</v>
      </c>
      <c r="E1360" s="1">
        <v>599.99</v>
      </c>
      <c r="F1360" s="1">
        <v>0.05</v>
      </c>
      <c r="G1360">
        <f t="shared" si="21"/>
        <v>1199.93</v>
      </c>
      <c r="H1360" t="str">
        <f>VLOOKUP(C1360,[1]products!$A:$B,2,FALSE)</f>
        <v>Electra Townie Original 7D EQ - 2016</v>
      </c>
      <c r="I1360">
        <f>VLOOKUP(C1360,[1]products!$A:$D,4,FALSE)</f>
        <v>2</v>
      </c>
      <c r="J1360" t="str">
        <f>VLOOKUP(I1360,[2]categories!$A$1:$B$8,2,FALSE)</f>
        <v>Comfort Bicycles</v>
      </c>
    </row>
    <row r="1361" customHeight="1" spans="1:10">
      <c r="A1361" s="1">
        <v>486</v>
      </c>
      <c r="B1361" s="1">
        <v>1</v>
      </c>
      <c r="C1361" s="1">
        <v>9</v>
      </c>
      <c r="D1361" s="1">
        <v>1</v>
      </c>
      <c r="E1361" s="1">
        <v>2999.99</v>
      </c>
      <c r="F1361" s="1">
        <v>0.07</v>
      </c>
      <c r="G1361">
        <f t="shared" si="21"/>
        <v>2999.92</v>
      </c>
      <c r="H1361" t="str">
        <f>VLOOKUP(C1361,[1]products!$A:$B,2,FALSE)</f>
        <v>Trek Conduit+ - 2016</v>
      </c>
      <c r="I1361">
        <f>VLOOKUP(C1361,[1]products!$A:$D,4,FALSE)</f>
        <v>5</v>
      </c>
      <c r="J1361" t="str">
        <f>VLOOKUP(I1361,[2]categories!$A$1:$B$8,2,FALSE)</f>
        <v>Electric Bikes</v>
      </c>
    </row>
    <row r="1362" customHeight="1" spans="1:10">
      <c r="A1362" s="1">
        <v>486</v>
      </c>
      <c r="B1362" s="1">
        <v>2</v>
      </c>
      <c r="C1362" s="1">
        <v>23</v>
      </c>
      <c r="D1362" s="1">
        <v>2</v>
      </c>
      <c r="E1362" s="1">
        <v>299.99</v>
      </c>
      <c r="F1362" s="1">
        <v>0.05</v>
      </c>
      <c r="G1362">
        <f t="shared" si="21"/>
        <v>599.93</v>
      </c>
      <c r="H1362" t="str">
        <f>VLOOKUP(C1362,[1]products!$A:$B,2,FALSE)</f>
        <v>Electra Girl's Hawaii 1 (20-inch) - 2015/2016</v>
      </c>
      <c r="I1362">
        <f>VLOOKUP(C1362,[1]products!$A:$D,4,FALSE)</f>
        <v>1</v>
      </c>
      <c r="J1362" t="str">
        <f>VLOOKUP(I1362,[2]categories!$A$1:$B$8,2,FALSE)</f>
        <v>Children Bicycles</v>
      </c>
    </row>
    <row r="1363" customHeight="1" spans="1:10">
      <c r="A1363" s="1">
        <v>487</v>
      </c>
      <c r="B1363" s="1">
        <v>1</v>
      </c>
      <c r="C1363" s="1">
        <v>6</v>
      </c>
      <c r="D1363" s="1">
        <v>1</v>
      </c>
      <c r="E1363" s="1">
        <v>469.99</v>
      </c>
      <c r="F1363" s="1">
        <v>0.2</v>
      </c>
      <c r="G1363">
        <f t="shared" si="21"/>
        <v>469.79</v>
      </c>
      <c r="H1363" t="str">
        <f>VLOOKUP(C1363,[1]products!$A:$B,2,FALSE)</f>
        <v>Surly Ice Cream Truck Frameset - 2016</v>
      </c>
      <c r="I1363">
        <f>VLOOKUP(C1363,[1]products!$A:$D,4,FALSE)</f>
        <v>6</v>
      </c>
      <c r="J1363" t="str">
        <f>VLOOKUP(I1363,[2]categories!$A$1:$B$8,2,FALSE)</f>
        <v>Mountain Bikes</v>
      </c>
    </row>
    <row r="1364" customHeight="1" spans="1:10">
      <c r="A1364" s="1">
        <v>488</v>
      </c>
      <c r="B1364" s="1">
        <v>1</v>
      </c>
      <c r="C1364" s="1">
        <v>13</v>
      </c>
      <c r="D1364" s="1">
        <v>2</v>
      </c>
      <c r="E1364" s="1">
        <v>269.99</v>
      </c>
      <c r="F1364" s="1">
        <v>0.07</v>
      </c>
      <c r="G1364">
        <f t="shared" si="21"/>
        <v>539.91</v>
      </c>
      <c r="H1364" t="str">
        <f>VLOOKUP(C1364,[1]products!$A:$B,2,FALSE)</f>
        <v>Electra Cruiser 1 (24-Inch) - 2016</v>
      </c>
      <c r="I1364">
        <f>VLOOKUP(C1364,[1]products!$A:$D,4,FALSE)</f>
        <v>3</v>
      </c>
      <c r="J1364" t="str">
        <f>VLOOKUP(I1364,[2]categories!$A$1:$B$8,2,FALSE)</f>
        <v>Cruisers Bicycles</v>
      </c>
    </row>
    <row r="1365" customHeight="1" spans="1:10">
      <c r="A1365" s="1">
        <v>488</v>
      </c>
      <c r="B1365" s="1">
        <v>2</v>
      </c>
      <c r="C1365" s="1">
        <v>23</v>
      </c>
      <c r="D1365" s="1">
        <v>2</v>
      </c>
      <c r="E1365" s="1">
        <v>299.99</v>
      </c>
      <c r="F1365" s="1">
        <v>0.05</v>
      </c>
      <c r="G1365">
        <f t="shared" si="21"/>
        <v>599.93</v>
      </c>
      <c r="H1365" t="str">
        <f>VLOOKUP(C1365,[1]products!$A:$B,2,FALSE)</f>
        <v>Electra Girl's Hawaii 1 (20-inch) - 2015/2016</v>
      </c>
      <c r="I1365">
        <f>VLOOKUP(C1365,[1]products!$A:$D,4,FALSE)</f>
        <v>1</v>
      </c>
      <c r="J1365" t="str">
        <f>VLOOKUP(I1365,[2]categories!$A$1:$B$8,2,FALSE)</f>
        <v>Children Bicycles</v>
      </c>
    </row>
    <row r="1366" customHeight="1" spans="1:10">
      <c r="A1366" s="1">
        <v>488</v>
      </c>
      <c r="B1366" s="1">
        <v>3</v>
      </c>
      <c r="C1366" s="1">
        <v>22</v>
      </c>
      <c r="D1366" s="1">
        <v>1</v>
      </c>
      <c r="E1366" s="1">
        <v>269.99</v>
      </c>
      <c r="F1366" s="1">
        <v>0.05</v>
      </c>
      <c r="G1366">
        <f t="shared" si="21"/>
        <v>269.94</v>
      </c>
      <c r="H1366" t="str">
        <f>VLOOKUP(C1366,[1]products!$A:$B,2,FALSE)</f>
        <v>Electra Girl's Hawaii 1 (16-inch) - 2015/2016</v>
      </c>
      <c r="I1366">
        <f>VLOOKUP(C1366,[1]products!$A:$D,4,FALSE)</f>
        <v>1</v>
      </c>
      <c r="J1366" t="str">
        <f>VLOOKUP(I1366,[2]categories!$A$1:$B$8,2,FALSE)</f>
        <v>Children Bicycles</v>
      </c>
    </row>
    <row r="1367" customHeight="1" spans="1:10">
      <c r="A1367" s="1">
        <v>489</v>
      </c>
      <c r="B1367" s="1">
        <v>1</v>
      </c>
      <c r="C1367" s="1">
        <v>8</v>
      </c>
      <c r="D1367" s="1">
        <v>2</v>
      </c>
      <c r="E1367" s="1">
        <v>1799.99</v>
      </c>
      <c r="F1367" s="1">
        <v>0.1</v>
      </c>
      <c r="G1367">
        <f t="shared" si="21"/>
        <v>3599.88</v>
      </c>
      <c r="H1367" t="str">
        <f>VLOOKUP(C1367,[1]products!$A:$B,2,FALSE)</f>
        <v>Trek Remedy 29 Carbon Frameset - 2016</v>
      </c>
      <c r="I1367">
        <f>VLOOKUP(C1367,[1]products!$A:$D,4,FALSE)</f>
        <v>6</v>
      </c>
      <c r="J1367" t="str">
        <f>VLOOKUP(I1367,[2]categories!$A$1:$B$8,2,FALSE)</f>
        <v>Mountain Bikes</v>
      </c>
    </row>
    <row r="1368" customHeight="1" spans="1:10">
      <c r="A1368" s="1">
        <v>490</v>
      </c>
      <c r="B1368" s="1">
        <v>1</v>
      </c>
      <c r="C1368" s="1">
        <v>12</v>
      </c>
      <c r="D1368" s="1">
        <v>1</v>
      </c>
      <c r="E1368" s="1">
        <v>549.99</v>
      </c>
      <c r="F1368" s="1">
        <v>0.1</v>
      </c>
      <c r="G1368">
        <f t="shared" si="21"/>
        <v>549.89</v>
      </c>
      <c r="H1368" t="str">
        <f>VLOOKUP(C1368,[1]products!$A:$B,2,FALSE)</f>
        <v>Electra Townie Original 21D - 2016</v>
      </c>
      <c r="I1368">
        <f>VLOOKUP(C1368,[1]products!$A:$D,4,FALSE)</f>
        <v>3</v>
      </c>
      <c r="J1368" t="str">
        <f>VLOOKUP(I1368,[2]categories!$A$1:$B$8,2,FALSE)</f>
        <v>Cruisers Bicycles</v>
      </c>
    </row>
    <row r="1369" customHeight="1" spans="1:10">
      <c r="A1369" s="1">
        <v>490</v>
      </c>
      <c r="B1369" s="1">
        <v>2</v>
      </c>
      <c r="C1369" s="1">
        <v>23</v>
      </c>
      <c r="D1369" s="1">
        <v>1</v>
      </c>
      <c r="E1369" s="1">
        <v>299.99</v>
      </c>
      <c r="F1369" s="1">
        <v>0.05</v>
      </c>
      <c r="G1369">
        <f t="shared" si="21"/>
        <v>299.94</v>
      </c>
      <c r="H1369" t="str">
        <f>VLOOKUP(C1369,[1]products!$A:$B,2,FALSE)</f>
        <v>Electra Girl's Hawaii 1 (20-inch) - 2015/2016</v>
      </c>
      <c r="I1369">
        <f>VLOOKUP(C1369,[1]products!$A:$D,4,FALSE)</f>
        <v>1</v>
      </c>
      <c r="J1369" t="str">
        <f>VLOOKUP(I1369,[2]categories!$A$1:$B$8,2,FALSE)</f>
        <v>Children Bicycles</v>
      </c>
    </row>
    <row r="1370" customHeight="1" spans="1:10">
      <c r="A1370" s="1">
        <v>490</v>
      </c>
      <c r="B1370" s="1">
        <v>3</v>
      </c>
      <c r="C1370" s="1">
        <v>14</v>
      </c>
      <c r="D1370" s="1">
        <v>1</v>
      </c>
      <c r="E1370" s="1">
        <v>269.99</v>
      </c>
      <c r="F1370" s="1">
        <v>0.1</v>
      </c>
      <c r="G1370">
        <f t="shared" si="21"/>
        <v>269.89</v>
      </c>
      <c r="H1370" t="str">
        <f>VLOOKUP(C1370,[1]products!$A:$B,2,FALSE)</f>
        <v>Electra Girl's Hawaii 1 (16-inch) - 2015/2016</v>
      </c>
      <c r="I1370">
        <f>VLOOKUP(C1370,[1]products!$A:$D,4,FALSE)</f>
        <v>3</v>
      </c>
      <c r="J1370" t="str">
        <f>VLOOKUP(I1370,[2]categories!$A$1:$B$8,2,FALSE)</f>
        <v>Cruisers Bicycles</v>
      </c>
    </row>
    <row r="1371" customHeight="1" spans="1:10">
      <c r="A1371" s="1">
        <v>490</v>
      </c>
      <c r="B1371" s="1">
        <v>4</v>
      </c>
      <c r="C1371" s="1">
        <v>13</v>
      </c>
      <c r="D1371" s="1">
        <v>2</v>
      </c>
      <c r="E1371" s="1">
        <v>269.99</v>
      </c>
      <c r="F1371" s="1">
        <v>0.07</v>
      </c>
      <c r="G1371">
        <f t="shared" si="21"/>
        <v>539.91</v>
      </c>
      <c r="H1371" t="str">
        <f>VLOOKUP(C1371,[1]products!$A:$B,2,FALSE)</f>
        <v>Electra Cruiser 1 (24-Inch) - 2016</v>
      </c>
      <c r="I1371">
        <f>VLOOKUP(C1371,[1]products!$A:$D,4,FALSE)</f>
        <v>3</v>
      </c>
      <c r="J1371" t="str">
        <f>VLOOKUP(I1371,[2]categories!$A$1:$B$8,2,FALSE)</f>
        <v>Cruisers Bicycles</v>
      </c>
    </row>
    <row r="1372" customHeight="1" spans="1:10">
      <c r="A1372" s="1">
        <v>491</v>
      </c>
      <c r="B1372" s="1">
        <v>1</v>
      </c>
      <c r="C1372" s="1">
        <v>9</v>
      </c>
      <c r="D1372" s="1">
        <v>2</v>
      </c>
      <c r="E1372" s="1">
        <v>2999.99</v>
      </c>
      <c r="F1372" s="1">
        <v>0.2</v>
      </c>
      <c r="G1372">
        <f t="shared" si="21"/>
        <v>5999.78</v>
      </c>
      <c r="H1372" t="str">
        <f>VLOOKUP(C1372,[1]products!$A:$B,2,FALSE)</f>
        <v>Trek Conduit+ - 2016</v>
      </c>
      <c r="I1372">
        <f>VLOOKUP(C1372,[1]products!$A:$D,4,FALSE)</f>
        <v>5</v>
      </c>
      <c r="J1372" t="str">
        <f>VLOOKUP(I1372,[2]categories!$A$1:$B$8,2,FALSE)</f>
        <v>Electric Bikes</v>
      </c>
    </row>
    <row r="1373" customHeight="1" spans="1:10">
      <c r="A1373" s="1">
        <v>491</v>
      </c>
      <c r="B1373" s="1">
        <v>2</v>
      </c>
      <c r="C1373" s="1">
        <v>21</v>
      </c>
      <c r="D1373" s="1">
        <v>2</v>
      </c>
      <c r="E1373" s="1">
        <v>269.99</v>
      </c>
      <c r="F1373" s="1">
        <v>0.05</v>
      </c>
      <c r="G1373">
        <f t="shared" si="21"/>
        <v>539.93</v>
      </c>
      <c r="H1373" t="str">
        <f>VLOOKUP(C1373,[1]products!$A:$B,2,FALSE)</f>
        <v>Electra Cruiser 1 (24-Inch) - 2016</v>
      </c>
      <c r="I1373">
        <f>VLOOKUP(C1373,[1]products!$A:$D,4,FALSE)</f>
        <v>1</v>
      </c>
      <c r="J1373" t="str">
        <f>VLOOKUP(I1373,[2]categories!$A$1:$B$8,2,FALSE)</f>
        <v>Children Bicycles</v>
      </c>
    </row>
    <row r="1374" customHeight="1" spans="1:10">
      <c r="A1374" s="1">
        <v>491</v>
      </c>
      <c r="B1374" s="1">
        <v>3</v>
      </c>
      <c r="C1374" s="1">
        <v>15</v>
      </c>
      <c r="D1374" s="1">
        <v>2</v>
      </c>
      <c r="E1374" s="1">
        <v>529.99</v>
      </c>
      <c r="F1374" s="1">
        <v>0.05</v>
      </c>
      <c r="G1374">
        <f t="shared" si="21"/>
        <v>1059.93</v>
      </c>
      <c r="H1374" t="str">
        <f>VLOOKUP(C1374,[1]products!$A:$B,2,FALSE)</f>
        <v>Electra Moto 1 - 2016</v>
      </c>
      <c r="I1374">
        <f>VLOOKUP(C1374,[1]products!$A:$D,4,FALSE)</f>
        <v>3</v>
      </c>
      <c r="J1374" t="str">
        <f>VLOOKUP(I1374,[2]categories!$A$1:$B$8,2,FALSE)</f>
        <v>Cruisers Bicycles</v>
      </c>
    </row>
    <row r="1375" customHeight="1" spans="1:10">
      <c r="A1375" s="1">
        <v>492</v>
      </c>
      <c r="B1375" s="1">
        <v>1</v>
      </c>
      <c r="C1375" s="1">
        <v>6</v>
      </c>
      <c r="D1375" s="1">
        <v>1</v>
      </c>
      <c r="E1375" s="1">
        <v>469.99</v>
      </c>
      <c r="F1375" s="1">
        <v>0.1</v>
      </c>
      <c r="G1375">
        <f t="shared" si="21"/>
        <v>469.89</v>
      </c>
      <c r="H1375" t="str">
        <f>VLOOKUP(C1375,[1]products!$A:$B,2,FALSE)</f>
        <v>Surly Ice Cream Truck Frameset - 2016</v>
      </c>
      <c r="I1375">
        <f>VLOOKUP(C1375,[1]products!$A:$D,4,FALSE)</f>
        <v>6</v>
      </c>
      <c r="J1375" t="str">
        <f>VLOOKUP(I1375,[2]categories!$A$1:$B$8,2,FALSE)</f>
        <v>Mountain Bikes</v>
      </c>
    </row>
    <row r="1376" customHeight="1" spans="1:10">
      <c r="A1376" s="1">
        <v>492</v>
      </c>
      <c r="B1376" s="1">
        <v>2</v>
      </c>
      <c r="C1376" s="1">
        <v>22</v>
      </c>
      <c r="D1376" s="1">
        <v>2</v>
      </c>
      <c r="E1376" s="1">
        <v>269.99</v>
      </c>
      <c r="F1376" s="1">
        <v>0.1</v>
      </c>
      <c r="G1376">
        <f t="shared" si="21"/>
        <v>539.88</v>
      </c>
      <c r="H1376" t="str">
        <f>VLOOKUP(C1376,[1]products!$A:$B,2,FALSE)</f>
        <v>Electra Girl's Hawaii 1 (16-inch) - 2015/2016</v>
      </c>
      <c r="I1376">
        <f>VLOOKUP(C1376,[1]products!$A:$D,4,FALSE)</f>
        <v>1</v>
      </c>
      <c r="J1376" t="str">
        <f>VLOOKUP(I1376,[2]categories!$A$1:$B$8,2,FALSE)</f>
        <v>Children Bicycles</v>
      </c>
    </row>
    <row r="1377" customHeight="1" spans="1:10">
      <c r="A1377" s="1">
        <v>492</v>
      </c>
      <c r="B1377" s="1">
        <v>3</v>
      </c>
      <c r="C1377" s="1">
        <v>26</v>
      </c>
      <c r="D1377" s="1">
        <v>1</v>
      </c>
      <c r="E1377" s="1">
        <v>599.99</v>
      </c>
      <c r="F1377" s="1">
        <v>0.05</v>
      </c>
      <c r="G1377">
        <f t="shared" si="21"/>
        <v>599.94</v>
      </c>
      <c r="H1377" t="str">
        <f>VLOOKUP(C1377,[1]products!$A:$B,2,FALSE)</f>
        <v>Electra Townie Original 7D EQ - 2016</v>
      </c>
      <c r="I1377">
        <f>VLOOKUP(C1377,[1]products!$A:$D,4,FALSE)</f>
        <v>2</v>
      </c>
      <c r="J1377" t="str">
        <f>VLOOKUP(I1377,[2]categories!$A$1:$B$8,2,FALSE)</f>
        <v>Comfort Bicycles</v>
      </c>
    </row>
    <row r="1378" customHeight="1" spans="1:10">
      <c r="A1378" s="1">
        <v>493</v>
      </c>
      <c r="B1378" s="1">
        <v>1</v>
      </c>
      <c r="C1378" s="1">
        <v>15</v>
      </c>
      <c r="D1378" s="1">
        <v>1</v>
      </c>
      <c r="E1378" s="1">
        <v>529.99</v>
      </c>
      <c r="F1378" s="1">
        <v>0.05</v>
      </c>
      <c r="G1378">
        <f t="shared" si="21"/>
        <v>529.94</v>
      </c>
      <c r="H1378" t="str">
        <f>VLOOKUP(C1378,[1]products!$A:$B,2,FALSE)</f>
        <v>Electra Moto 1 - 2016</v>
      </c>
      <c r="I1378">
        <f>VLOOKUP(C1378,[1]products!$A:$D,4,FALSE)</f>
        <v>3</v>
      </c>
      <c r="J1378" t="str">
        <f>VLOOKUP(I1378,[2]categories!$A$1:$B$8,2,FALSE)</f>
        <v>Cruisers Bicycles</v>
      </c>
    </row>
    <row r="1379" customHeight="1" spans="1:10">
      <c r="A1379" s="1">
        <v>493</v>
      </c>
      <c r="B1379" s="1">
        <v>2</v>
      </c>
      <c r="C1379" s="1">
        <v>18</v>
      </c>
      <c r="D1379" s="1">
        <v>2</v>
      </c>
      <c r="E1379" s="1">
        <v>449</v>
      </c>
      <c r="F1379" s="1">
        <v>0.05</v>
      </c>
      <c r="G1379">
        <f t="shared" si="21"/>
        <v>897.95</v>
      </c>
      <c r="H1379" t="str">
        <f>VLOOKUP(C1379,[1]products!$A:$B,2,FALSE)</f>
        <v>Pure Cycles Western 3-Speed - Women's - 2015/2016</v>
      </c>
      <c r="I1379">
        <f>VLOOKUP(C1379,[1]products!$A:$D,4,FALSE)</f>
        <v>3</v>
      </c>
      <c r="J1379" t="str">
        <f>VLOOKUP(I1379,[2]categories!$A$1:$B$8,2,FALSE)</f>
        <v>Cruisers Bicycles</v>
      </c>
    </row>
    <row r="1380" customHeight="1" spans="1:10">
      <c r="A1380" s="1">
        <v>493</v>
      </c>
      <c r="B1380" s="1">
        <v>3</v>
      </c>
      <c r="C1380" s="1">
        <v>26</v>
      </c>
      <c r="D1380" s="1">
        <v>1</v>
      </c>
      <c r="E1380" s="1">
        <v>599.99</v>
      </c>
      <c r="F1380" s="1">
        <v>0.05</v>
      </c>
      <c r="G1380">
        <f t="shared" si="21"/>
        <v>599.94</v>
      </c>
      <c r="H1380" t="str">
        <f>VLOOKUP(C1380,[1]products!$A:$B,2,FALSE)</f>
        <v>Electra Townie Original 7D EQ - 2016</v>
      </c>
      <c r="I1380">
        <f>VLOOKUP(C1380,[1]products!$A:$D,4,FALSE)</f>
        <v>2</v>
      </c>
      <c r="J1380" t="str">
        <f>VLOOKUP(I1380,[2]categories!$A$1:$B$8,2,FALSE)</f>
        <v>Comfort Bicycles</v>
      </c>
    </row>
    <row r="1381" customHeight="1" spans="1:10">
      <c r="A1381" s="1">
        <v>494</v>
      </c>
      <c r="B1381" s="1">
        <v>1</v>
      </c>
      <c r="C1381" s="1">
        <v>23</v>
      </c>
      <c r="D1381" s="1">
        <v>1</v>
      </c>
      <c r="E1381" s="1">
        <v>299.99</v>
      </c>
      <c r="F1381" s="1">
        <v>0.1</v>
      </c>
      <c r="G1381">
        <f t="shared" si="21"/>
        <v>299.89</v>
      </c>
      <c r="H1381" t="str">
        <f>VLOOKUP(C1381,[1]products!$A:$B,2,FALSE)</f>
        <v>Electra Girl's Hawaii 1 (20-inch) - 2015/2016</v>
      </c>
      <c r="I1381">
        <f>VLOOKUP(C1381,[1]products!$A:$D,4,FALSE)</f>
        <v>1</v>
      </c>
      <c r="J1381" t="str">
        <f>VLOOKUP(I1381,[2]categories!$A$1:$B$8,2,FALSE)</f>
        <v>Children Bicycles</v>
      </c>
    </row>
    <row r="1382" customHeight="1" spans="1:10">
      <c r="A1382" s="1">
        <v>495</v>
      </c>
      <c r="B1382" s="1">
        <v>1</v>
      </c>
      <c r="C1382" s="1">
        <v>22</v>
      </c>
      <c r="D1382" s="1">
        <v>1</v>
      </c>
      <c r="E1382" s="1">
        <v>269.99</v>
      </c>
      <c r="F1382" s="1">
        <v>0.2</v>
      </c>
      <c r="G1382">
        <f t="shared" si="21"/>
        <v>269.79</v>
      </c>
      <c r="H1382" t="str">
        <f>VLOOKUP(C1382,[1]products!$A:$B,2,FALSE)</f>
        <v>Electra Girl's Hawaii 1 (16-inch) - 2015/2016</v>
      </c>
      <c r="I1382">
        <f>VLOOKUP(C1382,[1]products!$A:$D,4,FALSE)</f>
        <v>1</v>
      </c>
      <c r="J1382" t="str">
        <f>VLOOKUP(I1382,[2]categories!$A$1:$B$8,2,FALSE)</f>
        <v>Children Bicycles</v>
      </c>
    </row>
    <row r="1383" customHeight="1" spans="1:10">
      <c r="A1383" s="1">
        <v>495</v>
      </c>
      <c r="B1383" s="1">
        <v>2</v>
      </c>
      <c r="C1383" s="1">
        <v>9</v>
      </c>
      <c r="D1383" s="1">
        <v>1</v>
      </c>
      <c r="E1383" s="1">
        <v>2999.99</v>
      </c>
      <c r="F1383" s="1">
        <v>0.05</v>
      </c>
      <c r="G1383">
        <f t="shared" si="21"/>
        <v>2999.94</v>
      </c>
      <c r="H1383" t="str">
        <f>VLOOKUP(C1383,[1]products!$A:$B,2,FALSE)</f>
        <v>Trek Conduit+ - 2016</v>
      </c>
      <c r="I1383">
        <f>VLOOKUP(C1383,[1]products!$A:$D,4,FALSE)</f>
        <v>5</v>
      </c>
      <c r="J1383" t="str">
        <f>VLOOKUP(I1383,[2]categories!$A$1:$B$8,2,FALSE)</f>
        <v>Electric Bikes</v>
      </c>
    </row>
    <row r="1384" customHeight="1" spans="1:10">
      <c r="A1384" s="1">
        <v>496</v>
      </c>
      <c r="B1384" s="1">
        <v>1</v>
      </c>
      <c r="C1384" s="1">
        <v>23</v>
      </c>
      <c r="D1384" s="1">
        <v>1</v>
      </c>
      <c r="E1384" s="1">
        <v>299.99</v>
      </c>
      <c r="F1384" s="1">
        <v>0.2</v>
      </c>
      <c r="G1384">
        <f t="shared" si="21"/>
        <v>299.79</v>
      </c>
      <c r="H1384" t="str">
        <f>VLOOKUP(C1384,[1]products!$A:$B,2,FALSE)</f>
        <v>Electra Girl's Hawaii 1 (20-inch) - 2015/2016</v>
      </c>
      <c r="I1384">
        <f>VLOOKUP(C1384,[1]products!$A:$D,4,FALSE)</f>
        <v>1</v>
      </c>
      <c r="J1384" t="str">
        <f>VLOOKUP(I1384,[2]categories!$A$1:$B$8,2,FALSE)</f>
        <v>Children Bicycles</v>
      </c>
    </row>
    <row r="1385" customHeight="1" spans="1:10">
      <c r="A1385" s="1">
        <v>496</v>
      </c>
      <c r="B1385" s="1">
        <v>2</v>
      </c>
      <c r="C1385" s="1">
        <v>13</v>
      </c>
      <c r="D1385" s="1">
        <v>1</v>
      </c>
      <c r="E1385" s="1">
        <v>269.99</v>
      </c>
      <c r="F1385" s="1">
        <v>0.1</v>
      </c>
      <c r="G1385">
        <f t="shared" si="21"/>
        <v>269.89</v>
      </c>
      <c r="H1385" t="str">
        <f>VLOOKUP(C1385,[1]products!$A:$B,2,FALSE)</f>
        <v>Electra Cruiser 1 (24-Inch) - 2016</v>
      </c>
      <c r="I1385">
        <f>VLOOKUP(C1385,[1]products!$A:$D,4,FALSE)</f>
        <v>3</v>
      </c>
      <c r="J1385" t="str">
        <f>VLOOKUP(I1385,[2]categories!$A$1:$B$8,2,FALSE)</f>
        <v>Cruisers Bicycles</v>
      </c>
    </row>
    <row r="1386" customHeight="1" spans="1:10">
      <c r="A1386" s="1">
        <v>496</v>
      </c>
      <c r="B1386" s="1">
        <v>3</v>
      </c>
      <c r="C1386" s="1">
        <v>21</v>
      </c>
      <c r="D1386" s="1">
        <v>2</v>
      </c>
      <c r="E1386" s="1">
        <v>269.99</v>
      </c>
      <c r="F1386" s="1">
        <v>0.2</v>
      </c>
      <c r="G1386">
        <f t="shared" si="21"/>
        <v>539.78</v>
      </c>
      <c r="H1386" t="str">
        <f>VLOOKUP(C1386,[1]products!$A:$B,2,FALSE)</f>
        <v>Electra Cruiser 1 (24-Inch) - 2016</v>
      </c>
      <c r="I1386">
        <f>VLOOKUP(C1386,[1]products!$A:$D,4,FALSE)</f>
        <v>1</v>
      </c>
      <c r="J1386" t="str">
        <f>VLOOKUP(I1386,[2]categories!$A$1:$B$8,2,FALSE)</f>
        <v>Children Bicycles</v>
      </c>
    </row>
    <row r="1387" customHeight="1" spans="1:10">
      <c r="A1387" s="1">
        <v>497</v>
      </c>
      <c r="B1387" s="1">
        <v>1</v>
      </c>
      <c r="C1387" s="1">
        <v>25</v>
      </c>
      <c r="D1387" s="1">
        <v>2</v>
      </c>
      <c r="E1387" s="1">
        <v>499.99</v>
      </c>
      <c r="F1387" s="1">
        <v>0.07</v>
      </c>
      <c r="G1387">
        <f t="shared" si="21"/>
        <v>999.91</v>
      </c>
      <c r="H1387" t="str">
        <f>VLOOKUP(C1387,[1]products!$A:$B,2,FALSE)</f>
        <v>Electra Townie Original 7D - 2015/2016</v>
      </c>
      <c r="I1387">
        <f>VLOOKUP(C1387,[1]products!$A:$D,4,FALSE)</f>
        <v>2</v>
      </c>
      <c r="J1387" t="str">
        <f>VLOOKUP(I1387,[2]categories!$A$1:$B$8,2,FALSE)</f>
        <v>Comfort Bicycles</v>
      </c>
    </row>
    <row r="1388" customHeight="1" spans="1:10">
      <c r="A1388" s="1">
        <v>498</v>
      </c>
      <c r="B1388" s="1">
        <v>1</v>
      </c>
      <c r="C1388" s="1">
        <v>24</v>
      </c>
      <c r="D1388" s="1">
        <v>1</v>
      </c>
      <c r="E1388" s="1">
        <v>549.99</v>
      </c>
      <c r="F1388" s="1">
        <v>0.07</v>
      </c>
      <c r="G1388">
        <f t="shared" si="21"/>
        <v>549.92</v>
      </c>
      <c r="H1388" t="str">
        <f>VLOOKUP(C1388,[1]products!$A:$B,2,FALSE)</f>
        <v>Electra Townie Original 21D - 2016</v>
      </c>
      <c r="I1388">
        <f>VLOOKUP(C1388,[1]products!$A:$D,4,FALSE)</f>
        <v>2</v>
      </c>
      <c r="J1388" t="str">
        <f>VLOOKUP(I1388,[2]categories!$A$1:$B$8,2,FALSE)</f>
        <v>Comfort Bicycles</v>
      </c>
    </row>
    <row r="1389" customHeight="1" spans="1:10">
      <c r="A1389" s="1">
        <v>498</v>
      </c>
      <c r="B1389" s="1">
        <v>2</v>
      </c>
      <c r="C1389" s="1">
        <v>21</v>
      </c>
      <c r="D1389" s="1">
        <v>1</v>
      </c>
      <c r="E1389" s="1">
        <v>269.99</v>
      </c>
      <c r="F1389" s="1">
        <v>0.1</v>
      </c>
      <c r="G1389">
        <f t="shared" si="21"/>
        <v>269.89</v>
      </c>
      <c r="H1389" t="str">
        <f>VLOOKUP(C1389,[1]products!$A:$B,2,FALSE)</f>
        <v>Electra Cruiser 1 (24-Inch) - 2016</v>
      </c>
      <c r="I1389">
        <f>VLOOKUP(C1389,[1]products!$A:$D,4,FALSE)</f>
        <v>1</v>
      </c>
      <c r="J1389" t="str">
        <f>VLOOKUP(I1389,[2]categories!$A$1:$B$8,2,FALSE)</f>
        <v>Children Bicycles</v>
      </c>
    </row>
    <row r="1390" customHeight="1" spans="1:10">
      <c r="A1390" s="1">
        <v>498</v>
      </c>
      <c r="B1390" s="1">
        <v>3</v>
      </c>
      <c r="C1390" s="1">
        <v>10</v>
      </c>
      <c r="D1390" s="1">
        <v>1</v>
      </c>
      <c r="E1390" s="1">
        <v>1549</v>
      </c>
      <c r="F1390" s="1">
        <v>0.07</v>
      </c>
      <c r="G1390">
        <f t="shared" si="21"/>
        <v>1548.93</v>
      </c>
      <c r="H1390" t="str">
        <f>VLOOKUP(C1390,[1]products!$A:$B,2,FALSE)</f>
        <v>Surly Straggler - 2016</v>
      </c>
      <c r="I1390">
        <f>VLOOKUP(C1390,[1]products!$A:$D,4,FALSE)</f>
        <v>4</v>
      </c>
      <c r="J1390" t="str">
        <f>VLOOKUP(I1390,[2]categories!$A$1:$B$8,2,FALSE)</f>
        <v>Cyclocross Bicycles</v>
      </c>
    </row>
    <row r="1391" customHeight="1" spans="1:10">
      <c r="A1391" s="1">
        <v>499</v>
      </c>
      <c r="B1391" s="1">
        <v>1</v>
      </c>
      <c r="C1391" s="1">
        <v>11</v>
      </c>
      <c r="D1391" s="1">
        <v>1</v>
      </c>
      <c r="E1391" s="1">
        <v>1680.99</v>
      </c>
      <c r="F1391" s="1">
        <v>0.2</v>
      </c>
      <c r="G1391">
        <f t="shared" si="21"/>
        <v>1680.79</v>
      </c>
      <c r="H1391" t="str">
        <f>VLOOKUP(C1391,[1]products!$A:$B,2,FALSE)</f>
        <v>Surly Straggler 650b - 2016</v>
      </c>
      <c r="I1391">
        <f>VLOOKUP(C1391,[1]products!$A:$D,4,FALSE)</f>
        <v>4</v>
      </c>
      <c r="J1391" t="str">
        <f>VLOOKUP(I1391,[2]categories!$A$1:$B$8,2,FALSE)</f>
        <v>Cyclocross Bicycles</v>
      </c>
    </row>
    <row r="1392" customHeight="1" spans="1:10">
      <c r="A1392" s="1">
        <v>499</v>
      </c>
      <c r="B1392" s="1">
        <v>2</v>
      </c>
      <c r="C1392" s="1">
        <v>15</v>
      </c>
      <c r="D1392" s="1">
        <v>1</v>
      </c>
      <c r="E1392" s="1">
        <v>529.99</v>
      </c>
      <c r="F1392" s="1">
        <v>0.07</v>
      </c>
      <c r="G1392">
        <f t="shared" si="21"/>
        <v>529.92</v>
      </c>
      <c r="H1392" t="str">
        <f>VLOOKUP(C1392,[1]products!$A:$B,2,FALSE)</f>
        <v>Electra Moto 1 - 2016</v>
      </c>
      <c r="I1392">
        <f>VLOOKUP(C1392,[1]products!$A:$D,4,FALSE)</f>
        <v>3</v>
      </c>
      <c r="J1392" t="str">
        <f>VLOOKUP(I1392,[2]categories!$A$1:$B$8,2,FALSE)</f>
        <v>Cruisers Bicycles</v>
      </c>
    </row>
    <row r="1393" customHeight="1" spans="1:10">
      <c r="A1393" s="1">
        <v>499</v>
      </c>
      <c r="B1393" s="1">
        <v>3</v>
      </c>
      <c r="C1393" s="1">
        <v>14</v>
      </c>
      <c r="D1393" s="1">
        <v>2</v>
      </c>
      <c r="E1393" s="1">
        <v>269.99</v>
      </c>
      <c r="F1393" s="1">
        <v>0.2</v>
      </c>
      <c r="G1393">
        <f t="shared" si="21"/>
        <v>539.78</v>
      </c>
      <c r="H1393" t="str">
        <f>VLOOKUP(C1393,[1]products!$A:$B,2,FALSE)</f>
        <v>Electra Girl's Hawaii 1 (16-inch) - 2015/2016</v>
      </c>
      <c r="I1393">
        <f>VLOOKUP(C1393,[1]products!$A:$D,4,FALSE)</f>
        <v>3</v>
      </c>
      <c r="J1393" t="str">
        <f>VLOOKUP(I1393,[2]categories!$A$1:$B$8,2,FALSE)</f>
        <v>Cruisers Bicycles</v>
      </c>
    </row>
    <row r="1394" customHeight="1" spans="1:10">
      <c r="A1394" s="1">
        <v>499</v>
      </c>
      <c r="B1394" s="1">
        <v>4</v>
      </c>
      <c r="C1394" s="1">
        <v>20</v>
      </c>
      <c r="D1394" s="1">
        <v>2</v>
      </c>
      <c r="E1394" s="1">
        <v>599.99</v>
      </c>
      <c r="F1394" s="1">
        <v>0.1</v>
      </c>
      <c r="G1394">
        <f t="shared" si="21"/>
        <v>1199.88</v>
      </c>
      <c r="H1394" t="str">
        <f>VLOOKUP(C1394,[1]products!$A:$B,2,FALSE)</f>
        <v>Electra Townie Original 7D EQ - Women's - 2016</v>
      </c>
      <c r="I1394">
        <f>VLOOKUP(C1394,[1]products!$A:$D,4,FALSE)</f>
        <v>3</v>
      </c>
      <c r="J1394" t="str">
        <f>VLOOKUP(I1394,[2]categories!$A$1:$B$8,2,FALSE)</f>
        <v>Cruisers Bicycles</v>
      </c>
    </row>
    <row r="1395" customHeight="1" spans="1:10">
      <c r="A1395" s="1">
        <v>500</v>
      </c>
      <c r="B1395" s="1">
        <v>1</v>
      </c>
      <c r="C1395" s="1">
        <v>12</v>
      </c>
      <c r="D1395" s="1">
        <v>2</v>
      </c>
      <c r="E1395" s="1">
        <v>549.99</v>
      </c>
      <c r="F1395" s="1">
        <v>0.05</v>
      </c>
      <c r="G1395">
        <f t="shared" si="21"/>
        <v>1099.93</v>
      </c>
      <c r="H1395" t="str">
        <f>VLOOKUP(C1395,[1]products!$A:$B,2,FALSE)</f>
        <v>Electra Townie Original 21D - 2016</v>
      </c>
      <c r="I1395">
        <f>VLOOKUP(C1395,[1]products!$A:$D,4,FALSE)</f>
        <v>3</v>
      </c>
      <c r="J1395" t="str">
        <f>VLOOKUP(I1395,[2]categories!$A$1:$B$8,2,FALSE)</f>
        <v>Cruisers Bicycles</v>
      </c>
    </row>
    <row r="1396" customHeight="1" spans="1:10">
      <c r="A1396" s="1">
        <v>500</v>
      </c>
      <c r="B1396" s="1">
        <v>2</v>
      </c>
      <c r="C1396" s="1">
        <v>14</v>
      </c>
      <c r="D1396" s="1">
        <v>1</v>
      </c>
      <c r="E1396" s="1">
        <v>269.99</v>
      </c>
      <c r="F1396" s="1">
        <v>0.2</v>
      </c>
      <c r="G1396">
        <f t="shared" si="21"/>
        <v>269.79</v>
      </c>
      <c r="H1396" t="str">
        <f>VLOOKUP(C1396,[1]products!$A:$B,2,FALSE)</f>
        <v>Electra Girl's Hawaii 1 (16-inch) - 2015/2016</v>
      </c>
      <c r="I1396">
        <f>VLOOKUP(C1396,[1]products!$A:$D,4,FALSE)</f>
        <v>3</v>
      </c>
      <c r="J1396" t="str">
        <f>VLOOKUP(I1396,[2]categories!$A$1:$B$8,2,FALSE)</f>
        <v>Cruisers Bicycles</v>
      </c>
    </row>
    <row r="1397" customHeight="1" spans="1:10">
      <c r="A1397" s="1">
        <v>501</v>
      </c>
      <c r="B1397" s="1">
        <v>1</v>
      </c>
      <c r="C1397" s="1">
        <v>19</v>
      </c>
      <c r="D1397" s="1">
        <v>2</v>
      </c>
      <c r="E1397" s="1">
        <v>449</v>
      </c>
      <c r="F1397" s="1">
        <v>0.05</v>
      </c>
      <c r="G1397">
        <f t="shared" si="21"/>
        <v>897.95</v>
      </c>
      <c r="H1397" t="str">
        <f>VLOOKUP(C1397,[1]products!$A:$B,2,FALSE)</f>
        <v>Pure Cycles William 3-Speed - 2016</v>
      </c>
      <c r="I1397">
        <f>VLOOKUP(C1397,[1]products!$A:$D,4,FALSE)</f>
        <v>3</v>
      </c>
      <c r="J1397" t="str">
        <f>VLOOKUP(I1397,[2]categories!$A$1:$B$8,2,FALSE)</f>
        <v>Cruisers Bicycles</v>
      </c>
    </row>
    <row r="1398" customHeight="1" spans="1:10">
      <c r="A1398" s="1">
        <v>501</v>
      </c>
      <c r="B1398" s="1">
        <v>2</v>
      </c>
      <c r="C1398" s="1">
        <v>8</v>
      </c>
      <c r="D1398" s="1">
        <v>1</v>
      </c>
      <c r="E1398" s="1">
        <v>1799.99</v>
      </c>
      <c r="F1398" s="1">
        <v>0.07</v>
      </c>
      <c r="G1398">
        <f t="shared" si="21"/>
        <v>1799.92</v>
      </c>
      <c r="H1398" t="str">
        <f>VLOOKUP(C1398,[1]products!$A:$B,2,FALSE)</f>
        <v>Trek Remedy 29 Carbon Frameset - 2016</v>
      </c>
      <c r="I1398">
        <f>VLOOKUP(C1398,[1]products!$A:$D,4,FALSE)</f>
        <v>6</v>
      </c>
      <c r="J1398" t="str">
        <f>VLOOKUP(I1398,[2]categories!$A$1:$B$8,2,FALSE)</f>
        <v>Mountain Bikes</v>
      </c>
    </row>
    <row r="1399" customHeight="1" spans="1:10">
      <c r="A1399" s="1">
        <v>501</v>
      </c>
      <c r="B1399" s="1">
        <v>3</v>
      </c>
      <c r="C1399" s="1">
        <v>14</v>
      </c>
      <c r="D1399" s="1">
        <v>1</v>
      </c>
      <c r="E1399" s="1">
        <v>269.99</v>
      </c>
      <c r="F1399" s="1">
        <v>0.1</v>
      </c>
      <c r="G1399">
        <f t="shared" si="21"/>
        <v>269.89</v>
      </c>
      <c r="H1399" t="str">
        <f>VLOOKUP(C1399,[1]products!$A:$B,2,FALSE)</f>
        <v>Electra Girl's Hawaii 1 (16-inch) - 2015/2016</v>
      </c>
      <c r="I1399">
        <f>VLOOKUP(C1399,[1]products!$A:$D,4,FALSE)</f>
        <v>3</v>
      </c>
      <c r="J1399" t="str">
        <f>VLOOKUP(I1399,[2]categories!$A$1:$B$8,2,FALSE)</f>
        <v>Cruisers Bicycles</v>
      </c>
    </row>
    <row r="1400" customHeight="1" spans="1:10">
      <c r="A1400" s="1">
        <v>501</v>
      </c>
      <c r="B1400" s="1">
        <v>4</v>
      </c>
      <c r="C1400" s="1">
        <v>23</v>
      </c>
      <c r="D1400" s="1">
        <v>2</v>
      </c>
      <c r="E1400" s="1">
        <v>299.99</v>
      </c>
      <c r="F1400" s="1">
        <v>0.07</v>
      </c>
      <c r="G1400">
        <f t="shared" si="21"/>
        <v>599.91</v>
      </c>
      <c r="H1400" t="str">
        <f>VLOOKUP(C1400,[1]products!$A:$B,2,FALSE)</f>
        <v>Electra Girl's Hawaii 1 (20-inch) - 2015/2016</v>
      </c>
      <c r="I1400">
        <f>VLOOKUP(C1400,[1]products!$A:$D,4,FALSE)</f>
        <v>1</v>
      </c>
      <c r="J1400" t="str">
        <f>VLOOKUP(I1400,[2]categories!$A$1:$B$8,2,FALSE)</f>
        <v>Children Bicycles</v>
      </c>
    </row>
    <row r="1401" customHeight="1" spans="1:10">
      <c r="A1401" s="1">
        <v>502</v>
      </c>
      <c r="B1401" s="1">
        <v>1</v>
      </c>
      <c r="C1401" s="1">
        <v>13</v>
      </c>
      <c r="D1401" s="1">
        <v>1</v>
      </c>
      <c r="E1401" s="1">
        <v>269.99</v>
      </c>
      <c r="F1401" s="1">
        <v>0.05</v>
      </c>
      <c r="G1401">
        <f t="shared" si="21"/>
        <v>269.94</v>
      </c>
      <c r="H1401" t="str">
        <f>VLOOKUP(C1401,[1]products!$A:$B,2,FALSE)</f>
        <v>Electra Cruiser 1 (24-Inch) - 2016</v>
      </c>
      <c r="I1401">
        <f>VLOOKUP(C1401,[1]products!$A:$D,4,FALSE)</f>
        <v>3</v>
      </c>
      <c r="J1401" t="str">
        <f>VLOOKUP(I1401,[2]categories!$A$1:$B$8,2,FALSE)</f>
        <v>Cruisers Bicycles</v>
      </c>
    </row>
    <row r="1402" customHeight="1" spans="1:10">
      <c r="A1402" s="1">
        <v>503</v>
      </c>
      <c r="B1402" s="1">
        <v>1</v>
      </c>
      <c r="C1402" s="1">
        <v>13</v>
      </c>
      <c r="D1402" s="1">
        <v>2</v>
      </c>
      <c r="E1402" s="1">
        <v>269.99</v>
      </c>
      <c r="F1402" s="1">
        <v>0.07</v>
      </c>
      <c r="G1402">
        <f t="shared" si="21"/>
        <v>539.91</v>
      </c>
      <c r="H1402" t="str">
        <f>VLOOKUP(C1402,[1]products!$A:$B,2,FALSE)</f>
        <v>Electra Cruiser 1 (24-Inch) - 2016</v>
      </c>
      <c r="I1402">
        <f>VLOOKUP(C1402,[1]products!$A:$D,4,FALSE)</f>
        <v>3</v>
      </c>
      <c r="J1402" t="str">
        <f>VLOOKUP(I1402,[2]categories!$A$1:$B$8,2,FALSE)</f>
        <v>Cruisers Bicycles</v>
      </c>
    </row>
    <row r="1403" customHeight="1" spans="1:10">
      <c r="A1403" s="1">
        <v>503</v>
      </c>
      <c r="B1403" s="1">
        <v>2</v>
      </c>
      <c r="C1403" s="1">
        <v>10</v>
      </c>
      <c r="D1403" s="1">
        <v>1</v>
      </c>
      <c r="E1403" s="1">
        <v>1549</v>
      </c>
      <c r="F1403" s="1">
        <v>0.05</v>
      </c>
      <c r="G1403">
        <f t="shared" si="21"/>
        <v>1548.95</v>
      </c>
      <c r="H1403" t="str">
        <f>VLOOKUP(C1403,[1]products!$A:$B,2,FALSE)</f>
        <v>Surly Straggler - 2016</v>
      </c>
      <c r="I1403">
        <f>VLOOKUP(C1403,[1]products!$A:$D,4,FALSE)</f>
        <v>4</v>
      </c>
      <c r="J1403" t="str">
        <f>VLOOKUP(I1403,[2]categories!$A$1:$B$8,2,FALSE)</f>
        <v>Cyclocross Bicycles</v>
      </c>
    </row>
    <row r="1404" customHeight="1" spans="1:10">
      <c r="A1404" s="1">
        <v>504</v>
      </c>
      <c r="B1404" s="1">
        <v>1</v>
      </c>
      <c r="C1404" s="1">
        <v>24</v>
      </c>
      <c r="D1404" s="1">
        <v>2</v>
      </c>
      <c r="E1404" s="1">
        <v>549.99</v>
      </c>
      <c r="F1404" s="1">
        <v>0.1</v>
      </c>
      <c r="G1404">
        <f t="shared" si="21"/>
        <v>1099.88</v>
      </c>
      <c r="H1404" t="str">
        <f>VLOOKUP(C1404,[1]products!$A:$B,2,FALSE)</f>
        <v>Electra Townie Original 21D - 2016</v>
      </c>
      <c r="I1404">
        <f>VLOOKUP(C1404,[1]products!$A:$D,4,FALSE)</f>
        <v>2</v>
      </c>
      <c r="J1404" t="str">
        <f>VLOOKUP(I1404,[2]categories!$A$1:$B$8,2,FALSE)</f>
        <v>Comfort Bicycles</v>
      </c>
    </row>
    <row r="1405" customHeight="1" spans="1:10">
      <c r="A1405" s="1">
        <v>504</v>
      </c>
      <c r="B1405" s="1">
        <v>2</v>
      </c>
      <c r="C1405" s="1">
        <v>2</v>
      </c>
      <c r="D1405" s="1">
        <v>2</v>
      </c>
      <c r="E1405" s="1">
        <v>749.99</v>
      </c>
      <c r="F1405" s="1">
        <v>0.05</v>
      </c>
      <c r="G1405">
        <f t="shared" si="21"/>
        <v>1499.93</v>
      </c>
      <c r="H1405" t="str">
        <f>VLOOKUP(C1405,[1]products!$A:$B,2,FALSE)</f>
        <v>Ritchey Timberwolf Frameset - 2016</v>
      </c>
      <c r="I1405">
        <f>VLOOKUP(C1405,[1]products!$A:$D,4,FALSE)</f>
        <v>6</v>
      </c>
      <c r="J1405" t="str">
        <f>VLOOKUP(I1405,[2]categories!$A$1:$B$8,2,FALSE)</f>
        <v>Mountain Bikes</v>
      </c>
    </row>
    <row r="1406" customHeight="1" spans="1:10">
      <c r="A1406" s="1">
        <v>505</v>
      </c>
      <c r="B1406" s="1">
        <v>1</v>
      </c>
      <c r="C1406" s="1">
        <v>26</v>
      </c>
      <c r="D1406" s="1">
        <v>1</v>
      </c>
      <c r="E1406" s="1">
        <v>599.99</v>
      </c>
      <c r="F1406" s="1">
        <v>0.2</v>
      </c>
      <c r="G1406">
        <f t="shared" si="21"/>
        <v>599.79</v>
      </c>
      <c r="H1406" t="str">
        <f>VLOOKUP(C1406,[1]products!$A:$B,2,FALSE)</f>
        <v>Electra Townie Original 7D EQ - 2016</v>
      </c>
      <c r="I1406">
        <f>VLOOKUP(C1406,[1]products!$A:$D,4,FALSE)</f>
        <v>2</v>
      </c>
      <c r="J1406" t="str">
        <f>VLOOKUP(I1406,[2]categories!$A$1:$B$8,2,FALSE)</f>
        <v>Comfort Bicycles</v>
      </c>
    </row>
    <row r="1407" customHeight="1" spans="1:10">
      <c r="A1407" s="1">
        <v>506</v>
      </c>
      <c r="B1407" s="1">
        <v>1</v>
      </c>
      <c r="C1407" s="1">
        <v>25</v>
      </c>
      <c r="D1407" s="1">
        <v>1</v>
      </c>
      <c r="E1407" s="1">
        <v>499.99</v>
      </c>
      <c r="F1407" s="1">
        <v>0.1</v>
      </c>
      <c r="G1407">
        <f t="shared" si="21"/>
        <v>499.89</v>
      </c>
      <c r="H1407" t="str">
        <f>VLOOKUP(C1407,[1]products!$A:$B,2,FALSE)</f>
        <v>Electra Townie Original 7D - 2015/2016</v>
      </c>
      <c r="I1407">
        <f>VLOOKUP(C1407,[1]products!$A:$D,4,FALSE)</f>
        <v>2</v>
      </c>
      <c r="J1407" t="str">
        <f>VLOOKUP(I1407,[2]categories!$A$1:$B$8,2,FALSE)</f>
        <v>Comfort Bicycles</v>
      </c>
    </row>
    <row r="1408" customHeight="1" spans="1:10">
      <c r="A1408" s="1">
        <v>506</v>
      </c>
      <c r="B1408" s="1">
        <v>2</v>
      </c>
      <c r="C1408" s="1">
        <v>7</v>
      </c>
      <c r="D1408" s="1">
        <v>1</v>
      </c>
      <c r="E1408" s="1">
        <v>3999.99</v>
      </c>
      <c r="F1408" s="1">
        <v>0.07</v>
      </c>
      <c r="G1408">
        <f t="shared" si="21"/>
        <v>3999.92</v>
      </c>
      <c r="H1408" t="str">
        <f>VLOOKUP(C1408,[1]products!$A:$B,2,FALSE)</f>
        <v>Trek Slash 8 27.5 - 2016</v>
      </c>
      <c r="I1408">
        <f>VLOOKUP(C1408,[1]products!$A:$D,4,FALSE)</f>
        <v>6</v>
      </c>
      <c r="J1408" t="str">
        <f>VLOOKUP(I1408,[2]categories!$A$1:$B$8,2,FALSE)</f>
        <v>Mountain Bikes</v>
      </c>
    </row>
    <row r="1409" customHeight="1" spans="1:10">
      <c r="A1409" s="1">
        <v>507</v>
      </c>
      <c r="B1409" s="1">
        <v>1</v>
      </c>
      <c r="C1409" s="1">
        <v>11</v>
      </c>
      <c r="D1409" s="1">
        <v>2</v>
      </c>
      <c r="E1409" s="1">
        <v>1680.99</v>
      </c>
      <c r="F1409" s="1">
        <v>0.05</v>
      </c>
      <c r="G1409">
        <f t="shared" si="21"/>
        <v>3361.93</v>
      </c>
      <c r="H1409" t="str">
        <f>VLOOKUP(C1409,[1]products!$A:$B,2,FALSE)</f>
        <v>Surly Straggler 650b - 2016</v>
      </c>
      <c r="I1409">
        <f>VLOOKUP(C1409,[1]products!$A:$D,4,FALSE)</f>
        <v>4</v>
      </c>
      <c r="J1409" t="str">
        <f>VLOOKUP(I1409,[2]categories!$A$1:$B$8,2,FALSE)</f>
        <v>Cyclocross Bicycles</v>
      </c>
    </row>
    <row r="1410" customHeight="1" spans="1:10">
      <c r="A1410" s="1">
        <v>507</v>
      </c>
      <c r="B1410" s="1">
        <v>2</v>
      </c>
      <c r="C1410" s="1">
        <v>13</v>
      </c>
      <c r="D1410" s="1">
        <v>2</v>
      </c>
      <c r="E1410" s="1">
        <v>269.99</v>
      </c>
      <c r="F1410" s="1">
        <v>0.07</v>
      </c>
      <c r="G1410">
        <f t="shared" si="21"/>
        <v>539.91</v>
      </c>
      <c r="H1410" t="str">
        <f>VLOOKUP(C1410,[1]products!$A:$B,2,FALSE)</f>
        <v>Electra Cruiser 1 (24-Inch) - 2016</v>
      </c>
      <c r="I1410">
        <f>VLOOKUP(C1410,[1]products!$A:$D,4,FALSE)</f>
        <v>3</v>
      </c>
      <c r="J1410" t="str">
        <f>VLOOKUP(I1410,[2]categories!$A$1:$B$8,2,FALSE)</f>
        <v>Cruisers Bicycles</v>
      </c>
    </row>
    <row r="1411" customHeight="1" spans="1:10">
      <c r="A1411" s="1">
        <v>507</v>
      </c>
      <c r="B1411" s="1">
        <v>3</v>
      </c>
      <c r="C1411" s="1">
        <v>20</v>
      </c>
      <c r="D1411" s="1">
        <v>2</v>
      </c>
      <c r="E1411" s="1">
        <v>599.99</v>
      </c>
      <c r="F1411" s="1">
        <v>0.1</v>
      </c>
      <c r="G1411">
        <f t="shared" ref="G1411:G1474" si="22">(E1411*D1411)-F1411</f>
        <v>1199.88</v>
      </c>
      <c r="H1411" t="str">
        <f>VLOOKUP(C1411,[1]products!$A:$B,2,FALSE)</f>
        <v>Electra Townie Original 7D EQ - Women's - 2016</v>
      </c>
      <c r="I1411">
        <f>VLOOKUP(C1411,[1]products!$A:$D,4,FALSE)</f>
        <v>3</v>
      </c>
      <c r="J1411" t="str">
        <f>VLOOKUP(I1411,[2]categories!$A$1:$B$8,2,FALSE)</f>
        <v>Cruisers Bicycles</v>
      </c>
    </row>
    <row r="1412" customHeight="1" spans="1:10">
      <c r="A1412" s="1">
        <v>508</v>
      </c>
      <c r="B1412" s="1">
        <v>1</v>
      </c>
      <c r="C1412" s="1">
        <v>8</v>
      </c>
      <c r="D1412" s="1">
        <v>1</v>
      </c>
      <c r="E1412" s="1">
        <v>1799.99</v>
      </c>
      <c r="F1412" s="1">
        <v>0.05</v>
      </c>
      <c r="G1412">
        <f t="shared" si="22"/>
        <v>1799.94</v>
      </c>
      <c r="H1412" t="str">
        <f>VLOOKUP(C1412,[1]products!$A:$B,2,FALSE)</f>
        <v>Trek Remedy 29 Carbon Frameset - 2016</v>
      </c>
      <c r="I1412">
        <f>VLOOKUP(C1412,[1]products!$A:$D,4,FALSE)</f>
        <v>6</v>
      </c>
      <c r="J1412" t="str">
        <f>VLOOKUP(I1412,[2]categories!$A$1:$B$8,2,FALSE)</f>
        <v>Mountain Bikes</v>
      </c>
    </row>
    <row r="1413" customHeight="1" spans="1:10">
      <c r="A1413" s="1">
        <v>508</v>
      </c>
      <c r="B1413" s="1">
        <v>2</v>
      </c>
      <c r="C1413" s="1">
        <v>2</v>
      </c>
      <c r="D1413" s="1">
        <v>2</v>
      </c>
      <c r="E1413" s="1">
        <v>749.99</v>
      </c>
      <c r="F1413" s="1">
        <v>0.05</v>
      </c>
      <c r="G1413">
        <f t="shared" si="22"/>
        <v>1499.93</v>
      </c>
      <c r="H1413" t="str">
        <f>VLOOKUP(C1413,[1]products!$A:$B,2,FALSE)</f>
        <v>Ritchey Timberwolf Frameset - 2016</v>
      </c>
      <c r="I1413">
        <f>VLOOKUP(C1413,[1]products!$A:$D,4,FALSE)</f>
        <v>6</v>
      </c>
      <c r="J1413" t="str">
        <f>VLOOKUP(I1413,[2]categories!$A$1:$B$8,2,FALSE)</f>
        <v>Mountain Bikes</v>
      </c>
    </row>
    <row r="1414" customHeight="1" spans="1:10">
      <c r="A1414" s="1">
        <v>508</v>
      </c>
      <c r="B1414" s="1">
        <v>3</v>
      </c>
      <c r="C1414" s="1">
        <v>10</v>
      </c>
      <c r="D1414" s="1">
        <v>2</v>
      </c>
      <c r="E1414" s="1">
        <v>1549</v>
      </c>
      <c r="F1414" s="1">
        <v>0.05</v>
      </c>
      <c r="G1414">
        <f t="shared" si="22"/>
        <v>3097.95</v>
      </c>
      <c r="H1414" t="str">
        <f>VLOOKUP(C1414,[1]products!$A:$B,2,FALSE)</f>
        <v>Surly Straggler - 2016</v>
      </c>
      <c r="I1414">
        <f>VLOOKUP(C1414,[1]products!$A:$D,4,FALSE)</f>
        <v>4</v>
      </c>
      <c r="J1414" t="str">
        <f>VLOOKUP(I1414,[2]categories!$A$1:$B$8,2,FALSE)</f>
        <v>Cyclocross Bicycles</v>
      </c>
    </row>
    <row r="1415" customHeight="1" spans="1:10">
      <c r="A1415" s="1">
        <v>508</v>
      </c>
      <c r="B1415" s="1">
        <v>4</v>
      </c>
      <c r="C1415" s="1">
        <v>25</v>
      </c>
      <c r="D1415" s="1">
        <v>1</v>
      </c>
      <c r="E1415" s="1">
        <v>499.99</v>
      </c>
      <c r="F1415" s="1">
        <v>0.07</v>
      </c>
      <c r="G1415">
        <f t="shared" si="22"/>
        <v>499.92</v>
      </c>
      <c r="H1415" t="str">
        <f>VLOOKUP(C1415,[1]products!$A:$B,2,FALSE)</f>
        <v>Electra Townie Original 7D - 2015/2016</v>
      </c>
      <c r="I1415">
        <f>VLOOKUP(C1415,[1]products!$A:$D,4,FALSE)</f>
        <v>2</v>
      </c>
      <c r="J1415" t="str">
        <f>VLOOKUP(I1415,[2]categories!$A$1:$B$8,2,FALSE)</f>
        <v>Comfort Bicycles</v>
      </c>
    </row>
    <row r="1416" customHeight="1" spans="1:10">
      <c r="A1416" s="1">
        <v>509</v>
      </c>
      <c r="B1416" s="1">
        <v>1</v>
      </c>
      <c r="C1416" s="1">
        <v>23</v>
      </c>
      <c r="D1416" s="1">
        <v>2</v>
      </c>
      <c r="E1416" s="1">
        <v>299.99</v>
      </c>
      <c r="F1416" s="1">
        <v>0.2</v>
      </c>
      <c r="G1416">
        <f t="shared" si="22"/>
        <v>599.78</v>
      </c>
      <c r="H1416" t="str">
        <f>VLOOKUP(C1416,[1]products!$A:$B,2,FALSE)</f>
        <v>Electra Girl's Hawaii 1 (20-inch) - 2015/2016</v>
      </c>
      <c r="I1416">
        <f>VLOOKUP(C1416,[1]products!$A:$D,4,FALSE)</f>
        <v>1</v>
      </c>
      <c r="J1416" t="str">
        <f>VLOOKUP(I1416,[2]categories!$A$1:$B$8,2,FALSE)</f>
        <v>Children Bicycles</v>
      </c>
    </row>
    <row r="1417" customHeight="1" spans="1:10">
      <c r="A1417" s="1">
        <v>509</v>
      </c>
      <c r="B1417" s="1">
        <v>2</v>
      </c>
      <c r="C1417" s="1">
        <v>4</v>
      </c>
      <c r="D1417" s="1">
        <v>2</v>
      </c>
      <c r="E1417" s="1">
        <v>2899.99</v>
      </c>
      <c r="F1417" s="1">
        <v>0.05</v>
      </c>
      <c r="G1417">
        <f t="shared" si="22"/>
        <v>5799.93</v>
      </c>
      <c r="H1417" t="str">
        <f>VLOOKUP(C1417,[1]products!$A:$B,2,FALSE)</f>
        <v>Trek Fuel EX 8 29 - 2016</v>
      </c>
      <c r="I1417">
        <f>VLOOKUP(C1417,[1]products!$A:$D,4,FALSE)</f>
        <v>6</v>
      </c>
      <c r="J1417" t="str">
        <f>VLOOKUP(I1417,[2]categories!$A$1:$B$8,2,FALSE)</f>
        <v>Mountain Bikes</v>
      </c>
    </row>
    <row r="1418" customHeight="1" spans="1:10">
      <c r="A1418" s="1">
        <v>510</v>
      </c>
      <c r="B1418" s="1">
        <v>1</v>
      </c>
      <c r="C1418" s="1">
        <v>17</v>
      </c>
      <c r="D1418" s="1">
        <v>1</v>
      </c>
      <c r="E1418" s="1">
        <v>429</v>
      </c>
      <c r="F1418" s="1">
        <v>0.1</v>
      </c>
      <c r="G1418">
        <f t="shared" si="22"/>
        <v>428.9</v>
      </c>
      <c r="H1418" t="str">
        <f>VLOOKUP(C1418,[1]products!$A:$B,2,FALSE)</f>
        <v>Pure Cycles Vine 8-Speed - 2016</v>
      </c>
      <c r="I1418">
        <f>VLOOKUP(C1418,[1]products!$A:$D,4,FALSE)</f>
        <v>3</v>
      </c>
      <c r="J1418" t="str">
        <f>VLOOKUP(I1418,[2]categories!$A$1:$B$8,2,FALSE)</f>
        <v>Cruisers Bicycles</v>
      </c>
    </row>
    <row r="1419" customHeight="1" spans="1:10">
      <c r="A1419" s="1">
        <v>511</v>
      </c>
      <c r="B1419" s="1">
        <v>1</v>
      </c>
      <c r="C1419" s="1">
        <v>22</v>
      </c>
      <c r="D1419" s="1">
        <v>2</v>
      </c>
      <c r="E1419" s="1">
        <v>269.99</v>
      </c>
      <c r="F1419" s="1">
        <v>0.05</v>
      </c>
      <c r="G1419">
        <f t="shared" si="22"/>
        <v>539.93</v>
      </c>
      <c r="H1419" t="str">
        <f>VLOOKUP(C1419,[1]products!$A:$B,2,FALSE)</f>
        <v>Electra Girl's Hawaii 1 (16-inch) - 2015/2016</v>
      </c>
      <c r="I1419">
        <f>VLOOKUP(C1419,[1]products!$A:$D,4,FALSE)</f>
        <v>1</v>
      </c>
      <c r="J1419" t="str">
        <f>VLOOKUP(I1419,[2]categories!$A$1:$B$8,2,FALSE)</f>
        <v>Children Bicycles</v>
      </c>
    </row>
    <row r="1420" customHeight="1" spans="1:10">
      <c r="A1420" s="1">
        <v>511</v>
      </c>
      <c r="B1420" s="1">
        <v>2</v>
      </c>
      <c r="C1420" s="1">
        <v>13</v>
      </c>
      <c r="D1420" s="1">
        <v>1</v>
      </c>
      <c r="E1420" s="1">
        <v>269.99</v>
      </c>
      <c r="F1420" s="1">
        <v>0.1</v>
      </c>
      <c r="G1420">
        <f t="shared" si="22"/>
        <v>269.89</v>
      </c>
      <c r="H1420" t="str">
        <f>VLOOKUP(C1420,[1]products!$A:$B,2,FALSE)</f>
        <v>Electra Cruiser 1 (24-Inch) - 2016</v>
      </c>
      <c r="I1420">
        <f>VLOOKUP(C1420,[1]products!$A:$D,4,FALSE)</f>
        <v>3</v>
      </c>
      <c r="J1420" t="str">
        <f>VLOOKUP(I1420,[2]categories!$A$1:$B$8,2,FALSE)</f>
        <v>Cruisers Bicycles</v>
      </c>
    </row>
    <row r="1421" customHeight="1" spans="1:10">
      <c r="A1421" s="1">
        <v>512</v>
      </c>
      <c r="B1421" s="1">
        <v>1</v>
      </c>
      <c r="C1421" s="1">
        <v>21</v>
      </c>
      <c r="D1421" s="1">
        <v>1</v>
      </c>
      <c r="E1421" s="1">
        <v>269.99</v>
      </c>
      <c r="F1421" s="1">
        <v>0.07</v>
      </c>
      <c r="G1421">
        <f t="shared" si="22"/>
        <v>269.92</v>
      </c>
      <c r="H1421" t="str">
        <f>VLOOKUP(C1421,[1]products!$A:$B,2,FALSE)</f>
        <v>Electra Cruiser 1 (24-Inch) - 2016</v>
      </c>
      <c r="I1421">
        <f>VLOOKUP(C1421,[1]products!$A:$D,4,FALSE)</f>
        <v>1</v>
      </c>
      <c r="J1421" t="str">
        <f>VLOOKUP(I1421,[2]categories!$A$1:$B$8,2,FALSE)</f>
        <v>Children Bicycles</v>
      </c>
    </row>
    <row r="1422" customHeight="1" spans="1:10">
      <c r="A1422" s="1">
        <v>513</v>
      </c>
      <c r="B1422" s="1">
        <v>1</v>
      </c>
      <c r="C1422" s="1">
        <v>7</v>
      </c>
      <c r="D1422" s="1">
        <v>1</v>
      </c>
      <c r="E1422" s="1">
        <v>3999.99</v>
      </c>
      <c r="F1422" s="1">
        <v>0.07</v>
      </c>
      <c r="G1422">
        <f t="shared" si="22"/>
        <v>3999.92</v>
      </c>
      <c r="H1422" t="str">
        <f>VLOOKUP(C1422,[1]products!$A:$B,2,FALSE)</f>
        <v>Trek Slash 8 27.5 - 2016</v>
      </c>
      <c r="I1422">
        <f>VLOOKUP(C1422,[1]products!$A:$D,4,FALSE)</f>
        <v>6</v>
      </c>
      <c r="J1422" t="str">
        <f>VLOOKUP(I1422,[2]categories!$A$1:$B$8,2,FALSE)</f>
        <v>Mountain Bikes</v>
      </c>
    </row>
    <row r="1423" customHeight="1" spans="1:10">
      <c r="A1423" s="1">
        <v>513</v>
      </c>
      <c r="B1423" s="1">
        <v>2</v>
      </c>
      <c r="C1423" s="1">
        <v>13</v>
      </c>
      <c r="D1423" s="1">
        <v>1</v>
      </c>
      <c r="E1423" s="1">
        <v>269.99</v>
      </c>
      <c r="F1423" s="1">
        <v>0.2</v>
      </c>
      <c r="G1423">
        <f t="shared" si="22"/>
        <v>269.79</v>
      </c>
      <c r="H1423" t="str">
        <f>VLOOKUP(C1423,[1]products!$A:$B,2,FALSE)</f>
        <v>Electra Cruiser 1 (24-Inch) - 2016</v>
      </c>
      <c r="I1423">
        <f>VLOOKUP(C1423,[1]products!$A:$D,4,FALSE)</f>
        <v>3</v>
      </c>
      <c r="J1423" t="str">
        <f>VLOOKUP(I1423,[2]categories!$A$1:$B$8,2,FALSE)</f>
        <v>Cruisers Bicycles</v>
      </c>
    </row>
    <row r="1424" customHeight="1" spans="1:10">
      <c r="A1424" s="1">
        <v>513</v>
      </c>
      <c r="B1424" s="1">
        <v>3</v>
      </c>
      <c r="C1424" s="1">
        <v>23</v>
      </c>
      <c r="D1424" s="1">
        <v>1</v>
      </c>
      <c r="E1424" s="1">
        <v>299.99</v>
      </c>
      <c r="F1424" s="1">
        <v>0.07</v>
      </c>
      <c r="G1424">
        <f t="shared" si="22"/>
        <v>299.92</v>
      </c>
      <c r="H1424" t="str">
        <f>VLOOKUP(C1424,[1]products!$A:$B,2,FALSE)</f>
        <v>Electra Girl's Hawaii 1 (20-inch) - 2015/2016</v>
      </c>
      <c r="I1424">
        <f>VLOOKUP(C1424,[1]products!$A:$D,4,FALSE)</f>
        <v>1</v>
      </c>
      <c r="J1424" t="str">
        <f>VLOOKUP(I1424,[2]categories!$A$1:$B$8,2,FALSE)</f>
        <v>Children Bicycles</v>
      </c>
    </row>
    <row r="1425" customHeight="1" spans="1:10">
      <c r="A1425" s="1">
        <v>514</v>
      </c>
      <c r="B1425" s="1">
        <v>1</v>
      </c>
      <c r="C1425" s="1">
        <v>18</v>
      </c>
      <c r="D1425" s="1">
        <v>2</v>
      </c>
      <c r="E1425" s="1">
        <v>449</v>
      </c>
      <c r="F1425" s="1">
        <v>0.2</v>
      </c>
      <c r="G1425">
        <f t="shared" si="22"/>
        <v>897.8</v>
      </c>
      <c r="H1425" t="str">
        <f>VLOOKUP(C1425,[1]products!$A:$B,2,FALSE)</f>
        <v>Pure Cycles Western 3-Speed - Women's - 2015/2016</v>
      </c>
      <c r="I1425">
        <f>VLOOKUP(C1425,[1]products!$A:$D,4,FALSE)</f>
        <v>3</v>
      </c>
      <c r="J1425" t="str">
        <f>VLOOKUP(I1425,[2]categories!$A$1:$B$8,2,FALSE)</f>
        <v>Cruisers Bicycles</v>
      </c>
    </row>
    <row r="1426" customHeight="1" spans="1:10">
      <c r="A1426" s="1">
        <v>514</v>
      </c>
      <c r="B1426" s="1">
        <v>2</v>
      </c>
      <c r="C1426" s="1">
        <v>17</v>
      </c>
      <c r="D1426" s="1">
        <v>2</v>
      </c>
      <c r="E1426" s="1">
        <v>429</v>
      </c>
      <c r="F1426" s="1">
        <v>0.07</v>
      </c>
      <c r="G1426">
        <f t="shared" si="22"/>
        <v>857.93</v>
      </c>
      <c r="H1426" t="str">
        <f>VLOOKUP(C1426,[1]products!$A:$B,2,FALSE)</f>
        <v>Pure Cycles Vine 8-Speed - 2016</v>
      </c>
      <c r="I1426">
        <f>VLOOKUP(C1426,[1]products!$A:$D,4,FALSE)</f>
        <v>3</v>
      </c>
      <c r="J1426" t="str">
        <f>VLOOKUP(I1426,[2]categories!$A$1:$B$8,2,FALSE)</f>
        <v>Cruisers Bicycles</v>
      </c>
    </row>
    <row r="1427" customHeight="1" spans="1:10">
      <c r="A1427" s="1">
        <v>515</v>
      </c>
      <c r="B1427" s="1">
        <v>1</v>
      </c>
      <c r="C1427" s="1">
        <v>8</v>
      </c>
      <c r="D1427" s="1">
        <v>1</v>
      </c>
      <c r="E1427" s="1">
        <v>1799.99</v>
      </c>
      <c r="F1427" s="1">
        <v>0.07</v>
      </c>
      <c r="G1427">
        <f t="shared" si="22"/>
        <v>1799.92</v>
      </c>
      <c r="H1427" t="str">
        <f>VLOOKUP(C1427,[1]products!$A:$B,2,FALSE)</f>
        <v>Trek Remedy 29 Carbon Frameset - 2016</v>
      </c>
      <c r="I1427">
        <f>VLOOKUP(C1427,[1]products!$A:$D,4,FALSE)</f>
        <v>6</v>
      </c>
      <c r="J1427" t="str">
        <f>VLOOKUP(I1427,[2]categories!$A$1:$B$8,2,FALSE)</f>
        <v>Mountain Bikes</v>
      </c>
    </row>
    <row r="1428" customHeight="1" spans="1:10">
      <c r="A1428" s="1">
        <v>515</v>
      </c>
      <c r="B1428" s="1">
        <v>2</v>
      </c>
      <c r="C1428" s="1">
        <v>5</v>
      </c>
      <c r="D1428" s="1">
        <v>1</v>
      </c>
      <c r="E1428" s="1">
        <v>1320.99</v>
      </c>
      <c r="F1428" s="1">
        <v>0.1</v>
      </c>
      <c r="G1428">
        <f t="shared" si="22"/>
        <v>1320.89</v>
      </c>
      <c r="H1428" t="str">
        <f>VLOOKUP(C1428,[1]products!$A:$B,2,FALSE)</f>
        <v>Heller Shagamaw Frame - 2016</v>
      </c>
      <c r="I1428">
        <f>VLOOKUP(C1428,[1]products!$A:$D,4,FALSE)</f>
        <v>6</v>
      </c>
      <c r="J1428" t="str">
        <f>VLOOKUP(I1428,[2]categories!$A$1:$B$8,2,FALSE)</f>
        <v>Mountain Bikes</v>
      </c>
    </row>
    <row r="1429" customHeight="1" spans="1:10">
      <c r="A1429" s="1">
        <v>515</v>
      </c>
      <c r="B1429" s="1">
        <v>3</v>
      </c>
      <c r="C1429" s="1">
        <v>25</v>
      </c>
      <c r="D1429" s="1">
        <v>2</v>
      </c>
      <c r="E1429" s="1">
        <v>499.99</v>
      </c>
      <c r="F1429" s="1">
        <v>0.07</v>
      </c>
      <c r="G1429">
        <f t="shared" si="22"/>
        <v>999.91</v>
      </c>
      <c r="H1429" t="str">
        <f>VLOOKUP(C1429,[1]products!$A:$B,2,FALSE)</f>
        <v>Electra Townie Original 7D - 2015/2016</v>
      </c>
      <c r="I1429">
        <f>VLOOKUP(C1429,[1]products!$A:$D,4,FALSE)</f>
        <v>2</v>
      </c>
      <c r="J1429" t="str">
        <f>VLOOKUP(I1429,[2]categories!$A$1:$B$8,2,FALSE)</f>
        <v>Comfort Bicycles</v>
      </c>
    </row>
    <row r="1430" customHeight="1" spans="1:10">
      <c r="A1430" s="1">
        <v>515</v>
      </c>
      <c r="B1430" s="1">
        <v>4</v>
      </c>
      <c r="C1430" s="1">
        <v>6</v>
      </c>
      <c r="D1430" s="1">
        <v>2</v>
      </c>
      <c r="E1430" s="1">
        <v>469.99</v>
      </c>
      <c r="F1430" s="1">
        <v>0.2</v>
      </c>
      <c r="G1430">
        <f t="shared" si="22"/>
        <v>939.78</v>
      </c>
      <c r="H1430" t="str">
        <f>VLOOKUP(C1430,[1]products!$A:$B,2,FALSE)</f>
        <v>Surly Ice Cream Truck Frameset - 2016</v>
      </c>
      <c r="I1430">
        <f>VLOOKUP(C1430,[1]products!$A:$D,4,FALSE)</f>
        <v>6</v>
      </c>
      <c r="J1430" t="str">
        <f>VLOOKUP(I1430,[2]categories!$A$1:$B$8,2,FALSE)</f>
        <v>Mountain Bikes</v>
      </c>
    </row>
    <row r="1431" customHeight="1" spans="1:10">
      <c r="A1431" s="1">
        <v>516</v>
      </c>
      <c r="B1431" s="1">
        <v>1</v>
      </c>
      <c r="C1431" s="1">
        <v>7</v>
      </c>
      <c r="D1431" s="1">
        <v>1</v>
      </c>
      <c r="E1431" s="1">
        <v>3999.99</v>
      </c>
      <c r="F1431" s="1">
        <v>0.05</v>
      </c>
      <c r="G1431">
        <f t="shared" si="22"/>
        <v>3999.94</v>
      </c>
      <c r="H1431" t="str">
        <f>VLOOKUP(C1431,[1]products!$A:$B,2,FALSE)</f>
        <v>Trek Slash 8 27.5 - 2016</v>
      </c>
      <c r="I1431">
        <f>VLOOKUP(C1431,[1]products!$A:$D,4,FALSE)</f>
        <v>6</v>
      </c>
      <c r="J1431" t="str">
        <f>VLOOKUP(I1431,[2]categories!$A$1:$B$8,2,FALSE)</f>
        <v>Mountain Bikes</v>
      </c>
    </row>
    <row r="1432" customHeight="1" spans="1:10">
      <c r="A1432" s="1">
        <v>516</v>
      </c>
      <c r="B1432" s="1">
        <v>2</v>
      </c>
      <c r="C1432" s="1">
        <v>5</v>
      </c>
      <c r="D1432" s="1">
        <v>2</v>
      </c>
      <c r="E1432" s="1">
        <v>1320.99</v>
      </c>
      <c r="F1432" s="1">
        <v>0.1</v>
      </c>
      <c r="G1432">
        <f t="shared" si="22"/>
        <v>2641.88</v>
      </c>
      <c r="H1432" t="str">
        <f>VLOOKUP(C1432,[1]products!$A:$B,2,FALSE)</f>
        <v>Heller Shagamaw Frame - 2016</v>
      </c>
      <c r="I1432">
        <f>VLOOKUP(C1432,[1]products!$A:$D,4,FALSE)</f>
        <v>6</v>
      </c>
      <c r="J1432" t="str">
        <f>VLOOKUP(I1432,[2]categories!$A$1:$B$8,2,FALSE)</f>
        <v>Mountain Bikes</v>
      </c>
    </row>
    <row r="1433" customHeight="1" spans="1:10">
      <c r="A1433" s="1">
        <v>517</v>
      </c>
      <c r="B1433" s="1">
        <v>1</v>
      </c>
      <c r="C1433" s="1">
        <v>21</v>
      </c>
      <c r="D1433" s="1">
        <v>2</v>
      </c>
      <c r="E1433" s="1">
        <v>269.99</v>
      </c>
      <c r="F1433" s="1">
        <v>0.07</v>
      </c>
      <c r="G1433">
        <f t="shared" si="22"/>
        <v>539.91</v>
      </c>
      <c r="H1433" t="str">
        <f>VLOOKUP(C1433,[1]products!$A:$B,2,FALSE)</f>
        <v>Electra Cruiser 1 (24-Inch) - 2016</v>
      </c>
      <c r="I1433">
        <f>VLOOKUP(C1433,[1]products!$A:$D,4,FALSE)</f>
        <v>1</v>
      </c>
      <c r="J1433" t="str">
        <f>VLOOKUP(I1433,[2]categories!$A$1:$B$8,2,FALSE)</f>
        <v>Children Bicycles</v>
      </c>
    </row>
    <row r="1434" customHeight="1" spans="1:10">
      <c r="A1434" s="1">
        <v>518</v>
      </c>
      <c r="B1434" s="1">
        <v>1</v>
      </c>
      <c r="C1434" s="1">
        <v>16</v>
      </c>
      <c r="D1434" s="1">
        <v>2</v>
      </c>
      <c r="E1434" s="1">
        <v>599.99</v>
      </c>
      <c r="F1434" s="1">
        <v>0.2</v>
      </c>
      <c r="G1434">
        <f t="shared" si="22"/>
        <v>1199.78</v>
      </c>
      <c r="H1434" t="str">
        <f>VLOOKUP(C1434,[1]products!$A:$B,2,FALSE)</f>
        <v>Electra Townie Original 7D EQ - 2016</v>
      </c>
      <c r="I1434">
        <f>VLOOKUP(C1434,[1]products!$A:$D,4,FALSE)</f>
        <v>3</v>
      </c>
      <c r="J1434" t="str">
        <f>VLOOKUP(I1434,[2]categories!$A$1:$B$8,2,FALSE)</f>
        <v>Cruisers Bicycles</v>
      </c>
    </row>
    <row r="1435" customHeight="1" spans="1:10">
      <c r="A1435" s="1">
        <v>518</v>
      </c>
      <c r="B1435" s="1">
        <v>2</v>
      </c>
      <c r="C1435" s="1">
        <v>5</v>
      </c>
      <c r="D1435" s="1">
        <v>2</v>
      </c>
      <c r="E1435" s="1">
        <v>1320.99</v>
      </c>
      <c r="F1435" s="1">
        <v>0.05</v>
      </c>
      <c r="G1435">
        <f t="shared" si="22"/>
        <v>2641.93</v>
      </c>
      <c r="H1435" t="str">
        <f>VLOOKUP(C1435,[1]products!$A:$B,2,FALSE)</f>
        <v>Heller Shagamaw Frame - 2016</v>
      </c>
      <c r="I1435">
        <f>VLOOKUP(C1435,[1]products!$A:$D,4,FALSE)</f>
        <v>6</v>
      </c>
      <c r="J1435" t="str">
        <f>VLOOKUP(I1435,[2]categories!$A$1:$B$8,2,FALSE)</f>
        <v>Mountain Bikes</v>
      </c>
    </row>
    <row r="1436" customHeight="1" spans="1:10">
      <c r="A1436" s="1">
        <v>518</v>
      </c>
      <c r="B1436" s="1">
        <v>3</v>
      </c>
      <c r="C1436" s="1">
        <v>25</v>
      </c>
      <c r="D1436" s="1">
        <v>2</v>
      </c>
      <c r="E1436" s="1">
        <v>499.99</v>
      </c>
      <c r="F1436" s="1">
        <v>0.05</v>
      </c>
      <c r="G1436">
        <f t="shared" si="22"/>
        <v>999.93</v>
      </c>
      <c r="H1436" t="str">
        <f>VLOOKUP(C1436,[1]products!$A:$B,2,FALSE)</f>
        <v>Electra Townie Original 7D - 2015/2016</v>
      </c>
      <c r="I1436">
        <f>VLOOKUP(C1436,[1]products!$A:$D,4,FALSE)</f>
        <v>2</v>
      </c>
      <c r="J1436" t="str">
        <f>VLOOKUP(I1436,[2]categories!$A$1:$B$8,2,FALSE)</f>
        <v>Comfort Bicycles</v>
      </c>
    </row>
    <row r="1437" customHeight="1" spans="1:10">
      <c r="A1437" s="1">
        <v>518</v>
      </c>
      <c r="B1437" s="1">
        <v>4</v>
      </c>
      <c r="C1437" s="1">
        <v>15</v>
      </c>
      <c r="D1437" s="1">
        <v>2</v>
      </c>
      <c r="E1437" s="1">
        <v>529.99</v>
      </c>
      <c r="F1437" s="1">
        <v>0.2</v>
      </c>
      <c r="G1437">
        <f t="shared" si="22"/>
        <v>1059.78</v>
      </c>
      <c r="H1437" t="str">
        <f>VLOOKUP(C1437,[1]products!$A:$B,2,FALSE)</f>
        <v>Electra Moto 1 - 2016</v>
      </c>
      <c r="I1437">
        <f>VLOOKUP(C1437,[1]products!$A:$D,4,FALSE)</f>
        <v>3</v>
      </c>
      <c r="J1437" t="str">
        <f>VLOOKUP(I1437,[2]categories!$A$1:$B$8,2,FALSE)</f>
        <v>Cruisers Bicycles</v>
      </c>
    </row>
    <row r="1438" customHeight="1" spans="1:10">
      <c r="A1438" s="1">
        <v>518</v>
      </c>
      <c r="B1438" s="1">
        <v>5</v>
      </c>
      <c r="C1438" s="1">
        <v>11</v>
      </c>
      <c r="D1438" s="1">
        <v>2</v>
      </c>
      <c r="E1438" s="1">
        <v>1680.99</v>
      </c>
      <c r="F1438" s="1">
        <v>0.07</v>
      </c>
      <c r="G1438">
        <f t="shared" si="22"/>
        <v>3361.91</v>
      </c>
      <c r="H1438" t="str">
        <f>VLOOKUP(C1438,[1]products!$A:$B,2,FALSE)</f>
        <v>Surly Straggler 650b - 2016</v>
      </c>
      <c r="I1438">
        <f>VLOOKUP(C1438,[1]products!$A:$D,4,FALSE)</f>
        <v>4</v>
      </c>
      <c r="J1438" t="str">
        <f>VLOOKUP(I1438,[2]categories!$A$1:$B$8,2,FALSE)</f>
        <v>Cyclocross Bicycles</v>
      </c>
    </row>
    <row r="1439" customHeight="1" spans="1:10">
      <c r="A1439" s="1">
        <v>519</v>
      </c>
      <c r="B1439" s="1">
        <v>1</v>
      </c>
      <c r="C1439" s="1">
        <v>6</v>
      </c>
      <c r="D1439" s="1">
        <v>1</v>
      </c>
      <c r="E1439" s="1">
        <v>469.99</v>
      </c>
      <c r="F1439" s="1">
        <v>0.07</v>
      </c>
      <c r="G1439">
        <f t="shared" si="22"/>
        <v>469.92</v>
      </c>
      <c r="H1439" t="str">
        <f>VLOOKUP(C1439,[1]products!$A:$B,2,FALSE)</f>
        <v>Surly Ice Cream Truck Frameset - 2016</v>
      </c>
      <c r="I1439">
        <f>VLOOKUP(C1439,[1]products!$A:$D,4,FALSE)</f>
        <v>6</v>
      </c>
      <c r="J1439" t="str">
        <f>VLOOKUP(I1439,[2]categories!$A$1:$B$8,2,FALSE)</f>
        <v>Mountain Bikes</v>
      </c>
    </row>
    <row r="1440" customHeight="1" spans="1:10">
      <c r="A1440" s="1">
        <v>519</v>
      </c>
      <c r="B1440" s="1">
        <v>2</v>
      </c>
      <c r="C1440" s="1">
        <v>16</v>
      </c>
      <c r="D1440" s="1">
        <v>1</v>
      </c>
      <c r="E1440" s="1">
        <v>599.99</v>
      </c>
      <c r="F1440" s="1">
        <v>0.1</v>
      </c>
      <c r="G1440">
        <f t="shared" si="22"/>
        <v>599.89</v>
      </c>
      <c r="H1440" t="str">
        <f>VLOOKUP(C1440,[1]products!$A:$B,2,FALSE)</f>
        <v>Electra Townie Original 7D EQ - 2016</v>
      </c>
      <c r="I1440">
        <f>VLOOKUP(C1440,[1]products!$A:$D,4,FALSE)</f>
        <v>3</v>
      </c>
      <c r="J1440" t="str">
        <f>VLOOKUP(I1440,[2]categories!$A$1:$B$8,2,FALSE)</f>
        <v>Cruisers Bicycles</v>
      </c>
    </row>
    <row r="1441" customHeight="1" spans="1:10">
      <c r="A1441" s="1">
        <v>519</v>
      </c>
      <c r="B1441" s="1">
        <v>3</v>
      </c>
      <c r="C1441" s="1">
        <v>23</v>
      </c>
      <c r="D1441" s="1">
        <v>2</v>
      </c>
      <c r="E1441" s="1">
        <v>299.99</v>
      </c>
      <c r="F1441" s="1">
        <v>0.05</v>
      </c>
      <c r="G1441">
        <f t="shared" si="22"/>
        <v>599.93</v>
      </c>
      <c r="H1441" t="str">
        <f>VLOOKUP(C1441,[1]products!$A:$B,2,FALSE)</f>
        <v>Electra Girl's Hawaii 1 (20-inch) - 2015/2016</v>
      </c>
      <c r="I1441">
        <f>VLOOKUP(C1441,[1]products!$A:$D,4,FALSE)</f>
        <v>1</v>
      </c>
      <c r="J1441" t="str">
        <f>VLOOKUP(I1441,[2]categories!$A$1:$B$8,2,FALSE)</f>
        <v>Children Bicycles</v>
      </c>
    </row>
    <row r="1442" customHeight="1" spans="1:10">
      <c r="A1442" s="1">
        <v>519</v>
      </c>
      <c r="B1442" s="1">
        <v>4</v>
      </c>
      <c r="C1442" s="1">
        <v>18</v>
      </c>
      <c r="D1442" s="1">
        <v>2</v>
      </c>
      <c r="E1442" s="1">
        <v>449</v>
      </c>
      <c r="F1442" s="1">
        <v>0.2</v>
      </c>
      <c r="G1442">
        <f t="shared" si="22"/>
        <v>897.8</v>
      </c>
      <c r="H1442" t="str">
        <f>VLOOKUP(C1442,[1]products!$A:$B,2,FALSE)</f>
        <v>Pure Cycles Western 3-Speed - Women's - 2015/2016</v>
      </c>
      <c r="I1442">
        <f>VLOOKUP(C1442,[1]products!$A:$D,4,FALSE)</f>
        <v>3</v>
      </c>
      <c r="J1442" t="str">
        <f>VLOOKUP(I1442,[2]categories!$A$1:$B$8,2,FALSE)</f>
        <v>Cruisers Bicycles</v>
      </c>
    </row>
    <row r="1443" customHeight="1" spans="1:10">
      <c r="A1443" s="1">
        <v>519</v>
      </c>
      <c r="B1443" s="1">
        <v>5</v>
      </c>
      <c r="C1443" s="1">
        <v>7</v>
      </c>
      <c r="D1443" s="1">
        <v>1</v>
      </c>
      <c r="E1443" s="1">
        <v>3999.99</v>
      </c>
      <c r="F1443" s="1">
        <v>0.05</v>
      </c>
      <c r="G1443">
        <f t="shared" si="22"/>
        <v>3999.94</v>
      </c>
      <c r="H1443" t="str">
        <f>VLOOKUP(C1443,[1]products!$A:$B,2,FALSE)</f>
        <v>Trek Slash 8 27.5 - 2016</v>
      </c>
      <c r="I1443">
        <f>VLOOKUP(C1443,[1]products!$A:$D,4,FALSE)</f>
        <v>6</v>
      </c>
      <c r="J1443" t="str">
        <f>VLOOKUP(I1443,[2]categories!$A$1:$B$8,2,FALSE)</f>
        <v>Mountain Bikes</v>
      </c>
    </row>
    <row r="1444" customHeight="1" spans="1:10">
      <c r="A1444" s="1">
        <v>520</v>
      </c>
      <c r="B1444" s="1">
        <v>1</v>
      </c>
      <c r="C1444" s="1">
        <v>26</v>
      </c>
      <c r="D1444" s="1">
        <v>1</v>
      </c>
      <c r="E1444" s="1">
        <v>599.99</v>
      </c>
      <c r="F1444" s="1">
        <v>0.1</v>
      </c>
      <c r="G1444">
        <f t="shared" si="22"/>
        <v>599.89</v>
      </c>
      <c r="H1444" t="str">
        <f>VLOOKUP(C1444,[1]products!$A:$B,2,FALSE)</f>
        <v>Electra Townie Original 7D EQ - 2016</v>
      </c>
      <c r="I1444">
        <f>VLOOKUP(C1444,[1]products!$A:$D,4,FALSE)</f>
        <v>2</v>
      </c>
      <c r="J1444" t="str">
        <f>VLOOKUP(I1444,[2]categories!$A$1:$B$8,2,FALSE)</f>
        <v>Comfort Bicycles</v>
      </c>
    </row>
    <row r="1445" customHeight="1" spans="1:10">
      <c r="A1445" s="1">
        <v>520</v>
      </c>
      <c r="B1445" s="1">
        <v>2</v>
      </c>
      <c r="C1445" s="1">
        <v>24</v>
      </c>
      <c r="D1445" s="1">
        <v>1</v>
      </c>
      <c r="E1445" s="1">
        <v>549.99</v>
      </c>
      <c r="F1445" s="1">
        <v>0.2</v>
      </c>
      <c r="G1445">
        <f t="shared" si="22"/>
        <v>549.79</v>
      </c>
      <c r="H1445" t="str">
        <f>VLOOKUP(C1445,[1]products!$A:$B,2,FALSE)</f>
        <v>Electra Townie Original 21D - 2016</v>
      </c>
      <c r="I1445">
        <f>VLOOKUP(C1445,[1]products!$A:$D,4,FALSE)</f>
        <v>2</v>
      </c>
      <c r="J1445" t="str">
        <f>VLOOKUP(I1445,[2]categories!$A$1:$B$8,2,FALSE)</f>
        <v>Comfort Bicycles</v>
      </c>
    </row>
    <row r="1446" customHeight="1" spans="1:10">
      <c r="A1446" s="1">
        <v>520</v>
      </c>
      <c r="B1446" s="1">
        <v>3</v>
      </c>
      <c r="C1446" s="1">
        <v>10</v>
      </c>
      <c r="D1446" s="1">
        <v>1</v>
      </c>
      <c r="E1446" s="1">
        <v>1549</v>
      </c>
      <c r="F1446" s="1">
        <v>0.07</v>
      </c>
      <c r="G1446">
        <f t="shared" si="22"/>
        <v>1548.93</v>
      </c>
      <c r="H1446" t="str">
        <f>VLOOKUP(C1446,[1]products!$A:$B,2,FALSE)</f>
        <v>Surly Straggler - 2016</v>
      </c>
      <c r="I1446">
        <f>VLOOKUP(C1446,[1]products!$A:$D,4,FALSE)</f>
        <v>4</v>
      </c>
      <c r="J1446" t="str">
        <f>VLOOKUP(I1446,[2]categories!$A$1:$B$8,2,FALSE)</f>
        <v>Cyclocross Bicycles</v>
      </c>
    </row>
    <row r="1447" customHeight="1" spans="1:10">
      <c r="A1447" s="1">
        <v>521</v>
      </c>
      <c r="B1447" s="1">
        <v>1</v>
      </c>
      <c r="C1447" s="1">
        <v>5</v>
      </c>
      <c r="D1447" s="1">
        <v>1</v>
      </c>
      <c r="E1447" s="1">
        <v>1320.99</v>
      </c>
      <c r="F1447" s="1">
        <v>0.2</v>
      </c>
      <c r="G1447">
        <f t="shared" si="22"/>
        <v>1320.79</v>
      </c>
      <c r="H1447" t="str">
        <f>VLOOKUP(C1447,[1]products!$A:$B,2,FALSE)</f>
        <v>Heller Shagamaw Frame - 2016</v>
      </c>
      <c r="I1447">
        <f>VLOOKUP(C1447,[1]products!$A:$D,4,FALSE)</f>
        <v>6</v>
      </c>
      <c r="J1447" t="str">
        <f>VLOOKUP(I1447,[2]categories!$A$1:$B$8,2,FALSE)</f>
        <v>Mountain Bikes</v>
      </c>
    </row>
    <row r="1448" customHeight="1" spans="1:10">
      <c r="A1448" s="1">
        <v>521</v>
      </c>
      <c r="B1448" s="1">
        <v>2</v>
      </c>
      <c r="C1448" s="1">
        <v>14</v>
      </c>
      <c r="D1448" s="1">
        <v>1</v>
      </c>
      <c r="E1448" s="1">
        <v>269.99</v>
      </c>
      <c r="F1448" s="1">
        <v>0.2</v>
      </c>
      <c r="G1448">
        <f t="shared" si="22"/>
        <v>269.79</v>
      </c>
      <c r="H1448" t="str">
        <f>VLOOKUP(C1448,[1]products!$A:$B,2,FALSE)</f>
        <v>Electra Girl's Hawaii 1 (16-inch) - 2015/2016</v>
      </c>
      <c r="I1448">
        <f>VLOOKUP(C1448,[1]products!$A:$D,4,FALSE)</f>
        <v>3</v>
      </c>
      <c r="J1448" t="str">
        <f>VLOOKUP(I1448,[2]categories!$A$1:$B$8,2,FALSE)</f>
        <v>Cruisers Bicycles</v>
      </c>
    </row>
    <row r="1449" customHeight="1" spans="1:10">
      <c r="A1449" s="1">
        <v>522</v>
      </c>
      <c r="B1449" s="1">
        <v>1</v>
      </c>
      <c r="C1449" s="1">
        <v>4</v>
      </c>
      <c r="D1449" s="1">
        <v>2</v>
      </c>
      <c r="E1449" s="1">
        <v>2899.99</v>
      </c>
      <c r="F1449" s="1">
        <v>0.07</v>
      </c>
      <c r="G1449">
        <f t="shared" si="22"/>
        <v>5799.91</v>
      </c>
      <c r="H1449" t="str">
        <f>VLOOKUP(C1449,[1]products!$A:$B,2,FALSE)</f>
        <v>Trek Fuel EX 8 29 - 2016</v>
      </c>
      <c r="I1449">
        <f>VLOOKUP(C1449,[1]products!$A:$D,4,FALSE)</f>
        <v>6</v>
      </c>
      <c r="J1449" t="str">
        <f>VLOOKUP(I1449,[2]categories!$A$1:$B$8,2,FALSE)</f>
        <v>Mountain Bikes</v>
      </c>
    </row>
    <row r="1450" customHeight="1" spans="1:10">
      <c r="A1450" s="1">
        <v>522</v>
      </c>
      <c r="B1450" s="1">
        <v>2</v>
      </c>
      <c r="C1450" s="1">
        <v>22</v>
      </c>
      <c r="D1450" s="1">
        <v>2</v>
      </c>
      <c r="E1450" s="1">
        <v>269.99</v>
      </c>
      <c r="F1450" s="1">
        <v>0.07</v>
      </c>
      <c r="G1450">
        <f t="shared" si="22"/>
        <v>539.91</v>
      </c>
      <c r="H1450" t="str">
        <f>VLOOKUP(C1450,[1]products!$A:$B,2,FALSE)</f>
        <v>Electra Girl's Hawaii 1 (16-inch) - 2015/2016</v>
      </c>
      <c r="I1450">
        <f>VLOOKUP(C1450,[1]products!$A:$D,4,FALSE)</f>
        <v>1</v>
      </c>
      <c r="J1450" t="str">
        <f>VLOOKUP(I1450,[2]categories!$A$1:$B$8,2,FALSE)</f>
        <v>Children Bicycles</v>
      </c>
    </row>
    <row r="1451" customHeight="1" spans="1:10">
      <c r="A1451" s="1">
        <v>522</v>
      </c>
      <c r="B1451" s="1">
        <v>3</v>
      </c>
      <c r="C1451" s="1">
        <v>21</v>
      </c>
      <c r="D1451" s="1">
        <v>1</v>
      </c>
      <c r="E1451" s="1">
        <v>269.99</v>
      </c>
      <c r="F1451" s="1">
        <v>0.05</v>
      </c>
      <c r="G1451">
        <f t="shared" si="22"/>
        <v>269.94</v>
      </c>
      <c r="H1451" t="str">
        <f>VLOOKUP(C1451,[1]products!$A:$B,2,FALSE)</f>
        <v>Electra Cruiser 1 (24-Inch) - 2016</v>
      </c>
      <c r="I1451">
        <f>VLOOKUP(C1451,[1]products!$A:$D,4,FALSE)</f>
        <v>1</v>
      </c>
      <c r="J1451" t="str">
        <f>VLOOKUP(I1451,[2]categories!$A$1:$B$8,2,FALSE)</f>
        <v>Children Bicycles</v>
      </c>
    </row>
    <row r="1452" customHeight="1" spans="1:10">
      <c r="A1452" s="1">
        <v>523</v>
      </c>
      <c r="B1452" s="1">
        <v>1</v>
      </c>
      <c r="C1452" s="1">
        <v>12</v>
      </c>
      <c r="D1452" s="1">
        <v>1</v>
      </c>
      <c r="E1452" s="1">
        <v>549.99</v>
      </c>
      <c r="F1452" s="1">
        <v>0.2</v>
      </c>
      <c r="G1452">
        <f t="shared" si="22"/>
        <v>549.79</v>
      </c>
      <c r="H1452" t="str">
        <f>VLOOKUP(C1452,[1]products!$A:$B,2,FALSE)</f>
        <v>Electra Townie Original 21D - 2016</v>
      </c>
      <c r="I1452">
        <f>VLOOKUP(C1452,[1]products!$A:$D,4,FALSE)</f>
        <v>3</v>
      </c>
      <c r="J1452" t="str">
        <f>VLOOKUP(I1452,[2]categories!$A$1:$B$8,2,FALSE)</f>
        <v>Cruisers Bicycles</v>
      </c>
    </row>
    <row r="1453" customHeight="1" spans="1:10">
      <c r="A1453" s="1">
        <v>523</v>
      </c>
      <c r="B1453" s="1">
        <v>2</v>
      </c>
      <c r="C1453" s="1">
        <v>20</v>
      </c>
      <c r="D1453" s="1">
        <v>1</v>
      </c>
      <c r="E1453" s="1">
        <v>599.99</v>
      </c>
      <c r="F1453" s="1">
        <v>0.05</v>
      </c>
      <c r="G1453">
        <f t="shared" si="22"/>
        <v>599.94</v>
      </c>
      <c r="H1453" t="str">
        <f>VLOOKUP(C1453,[1]products!$A:$B,2,FALSE)</f>
        <v>Electra Townie Original 7D EQ - Women's - 2016</v>
      </c>
      <c r="I1453">
        <f>VLOOKUP(C1453,[1]products!$A:$D,4,FALSE)</f>
        <v>3</v>
      </c>
      <c r="J1453" t="str">
        <f>VLOOKUP(I1453,[2]categories!$A$1:$B$8,2,FALSE)</f>
        <v>Cruisers Bicycles</v>
      </c>
    </row>
    <row r="1454" customHeight="1" spans="1:10">
      <c r="A1454" s="1">
        <v>523</v>
      </c>
      <c r="B1454" s="1">
        <v>3</v>
      </c>
      <c r="C1454" s="1">
        <v>5</v>
      </c>
      <c r="D1454" s="1">
        <v>2</v>
      </c>
      <c r="E1454" s="1">
        <v>1320.99</v>
      </c>
      <c r="F1454" s="1">
        <v>0.1</v>
      </c>
      <c r="G1454">
        <f t="shared" si="22"/>
        <v>2641.88</v>
      </c>
      <c r="H1454" t="str">
        <f>VLOOKUP(C1454,[1]products!$A:$B,2,FALSE)</f>
        <v>Heller Shagamaw Frame - 2016</v>
      </c>
      <c r="I1454">
        <f>VLOOKUP(C1454,[1]products!$A:$D,4,FALSE)</f>
        <v>6</v>
      </c>
      <c r="J1454" t="str">
        <f>VLOOKUP(I1454,[2]categories!$A$1:$B$8,2,FALSE)</f>
        <v>Mountain Bikes</v>
      </c>
    </row>
    <row r="1455" customHeight="1" spans="1:10">
      <c r="A1455" s="1">
        <v>523</v>
      </c>
      <c r="B1455" s="1">
        <v>4</v>
      </c>
      <c r="C1455" s="1">
        <v>16</v>
      </c>
      <c r="D1455" s="1">
        <v>2</v>
      </c>
      <c r="E1455" s="1">
        <v>599.99</v>
      </c>
      <c r="F1455" s="1">
        <v>0.07</v>
      </c>
      <c r="G1455">
        <f t="shared" si="22"/>
        <v>1199.91</v>
      </c>
      <c r="H1455" t="str">
        <f>VLOOKUP(C1455,[1]products!$A:$B,2,FALSE)</f>
        <v>Electra Townie Original 7D EQ - 2016</v>
      </c>
      <c r="I1455">
        <f>VLOOKUP(C1455,[1]products!$A:$D,4,FALSE)</f>
        <v>3</v>
      </c>
      <c r="J1455" t="str">
        <f>VLOOKUP(I1455,[2]categories!$A$1:$B$8,2,FALSE)</f>
        <v>Cruisers Bicycles</v>
      </c>
    </row>
    <row r="1456" customHeight="1" spans="1:10">
      <c r="A1456" s="1">
        <v>524</v>
      </c>
      <c r="B1456" s="1">
        <v>1</v>
      </c>
      <c r="C1456" s="1">
        <v>11</v>
      </c>
      <c r="D1456" s="1">
        <v>1</v>
      </c>
      <c r="E1456" s="1">
        <v>1680.99</v>
      </c>
      <c r="F1456" s="1">
        <v>0.07</v>
      </c>
      <c r="G1456">
        <f t="shared" si="22"/>
        <v>1680.92</v>
      </c>
      <c r="H1456" t="str">
        <f>VLOOKUP(C1456,[1]products!$A:$B,2,FALSE)</f>
        <v>Surly Straggler 650b - 2016</v>
      </c>
      <c r="I1456">
        <f>VLOOKUP(C1456,[1]products!$A:$D,4,FALSE)</f>
        <v>4</v>
      </c>
      <c r="J1456" t="str">
        <f>VLOOKUP(I1456,[2]categories!$A$1:$B$8,2,FALSE)</f>
        <v>Cyclocross Bicycles</v>
      </c>
    </row>
    <row r="1457" customHeight="1" spans="1:10">
      <c r="A1457" s="1">
        <v>524</v>
      </c>
      <c r="B1457" s="1">
        <v>2</v>
      </c>
      <c r="C1457" s="1">
        <v>2</v>
      </c>
      <c r="D1457" s="1">
        <v>1</v>
      </c>
      <c r="E1457" s="1">
        <v>749.99</v>
      </c>
      <c r="F1457" s="1">
        <v>0.05</v>
      </c>
      <c r="G1457">
        <f t="shared" si="22"/>
        <v>749.94</v>
      </c>
      <c r="H1457" t="str">
        <f>VLOOKUP(C1457,[1]products!$A:$B,2,FALSE)</f>
        <v>Ritchey Timberwolf Frameset - 2016</v>
      </c>
      <c r="I1457">
        <f>VLOOKUP(C1457,[1]products!$A:$D,4,FALSE)</f>
        <v>6</v>
      </c>
      <c r="J1457" t="str">
        <f>VLOOKUP(I1457,[2]categories!$A$1:$B$8,2,FALSE)</f>
        <v>Mountain Bikes</v>
      </c>
    </row>
    <row r="1458" customHeight="1" spans="1:10">
      <c r="A1458" s="1">
        <v>524</v>
      </c>
      <c r="B1458" s="1">
        <v>3</v>
      </c>
      <c r="C1458" s="1">
        <v>9</v>
      </c>
      <c r="D1458" s="1">
        <v>1</v>
      </c>
      <c r="E1458" s="1">
        <v>2999.99</v>
      </c>
      <c r="F1458" s="1">
        <v>0.2</v>
      </c>
      <c r="G1458">
        <f t="shared" si="22"/>
        <v>2999.79</v>
      </c>
      <c r="H1458" t="str">
        <f>VLOOKUP(C1458,[1]products!$A:$B,2,FALSE)</f>
        <v>Trek Conduit+ - 2016</v>
      </c>
      <c r="I1458">
        <f>VLOOKUP(C1458,[1]products!$A:$D,4,FALSE)</f>
        <v>5</v>
      </c>
      <c r="J1458" t="str">
        <f>VLOOKUP(I1458,[2]categories!$A$1:$B$8,2,FALSE)</f>
        <v>Electric Bikes</v>
      </c>
    </row>
    <row r="1459" customHeight="1" spans="1:10">
      <c r="A1459" s="1">
        <v>524</v>
      </c>
      <c r="B1459" s="1">
        <v>4</v>
      </c>
      <c r="C1459" s="1">
        <v>3</v>
      </c>
      <c r="D1459" s="1">
        <v>2</v>
      </c>
      <c r="E1459" s="1">
        <v>999.99</v>
      </c>
      <c r="F1459" s="1">
        <v>0.07</v>
      </c>
      <c r="G1459">
        <f t="shared" si="22"/>
        <v>1999.91</v>
      </c>
      <c r="H1459" t="str">
        <f>VLOOKUP(C1459,[1]products!$A:$B,2,FALSE)</f>
        <v>Surly Wednesday Frameset - 2016</v>
      </c>
      <c r="I1459">
        <f>VLOOKUP(C1459,[1]products!$A:$D,4,FALSE)</f>
        <v>6</v>
      </c>
      <c r="J1459" t="str">
        <f>VLOOKUP(I1459,[2]categories!$A$1:$B$8,2,FALSE)</f>
        <v>Mountain Bikes</v>
      </c>
    </row>
    <row r="1460" customHeight="1" spans="1:10">
      <c r="A1460" s="1">
        <v>524</v>
      </c>
      <c r="B1460" s="1">
        <v>5</v>
      </c>
      <c r="C1460" s="1">
        <v>26</v>
      </c>
      <c r="D1460" s="1">
        <v>1</v>
      </c>
      <c r="E1460" s="1">
        <v>599.99</v>
      </c>
      <c r="F1460" s="1">
        <v>0.05</v>
      </c>
      <c r="G1460">
        <f t="shared" si="22"/>
        <v>599.94</v>
      </c>
      <c r="H1460" t="str">
        <f>VLOOKUP(C1460,[1]products!$A:$B,2,FALSE)</f>
        <v>Electra Townie Original 7D EQ - 2016</v>
      </c>
      <c r="I1460">
        <f>VLOOKUP(C1460,[1]products!$A:$D,4,FALSE)</f>
        <v>2</v>
      </c>
      <c r="J1460" t="str">
        <f>VLOOKUP(I1460,[2]categories!$A$1:$B$8,2,FALSE)</f>
        <v>Comfort Bicycles</v>
      </c>
    </row>
    <row r="1461" customHeight="1" spans="1:10">
      <c r="A1461" s="1">
        <v>525</v>
      </c>
      <c r="B1461" s="1">
        <v>1</v>
      </c>
      <c r="C1461" s="1">
        <v>9</v>
      </c>
      <c r="D1461" s="1">
        <v>2</v>
      </c>
      <c r="E1461" s="1">
        <v>2999.99</v>
      </c>
      <c r="F1461" s="1">
        <v>0.07</v>
      </c>
      <c r="G1461">
        <f t="shared" si="22"/>
        <v>5999.91</v>
      </c>
      <c r="H1461" t="str">
        <f>VLOOKUP(C1461,[1]products!$A:$B,2,FALSE)</f>
        <v>Trek Conduit+ - 2016</v>
      </c>
      <c r="I1461">
        <f>VLOOKUP(C1461,[1]products!$A:$D,4,FALSE)</f>
        <v>5</v>
      </c>
      <c r="J1461" t="str">
        <f>VLOOKUP(I1461,[2]categories!$A$1:$B$8,2,FALSE)</f>
        <v>Electric Bikes</v>
      </c>
    </row>
    <row r="1462" customHeight="1" spans="1:10">
      <c r="A1462" s="1">
        <v>525</v>
      </c>
      <c r="B1462" s="1">
        <v>2</v>
      </c>
      <c r="C1462" s="1">
        <v>6</v>
      </c>
      <c r="D1462" s="1">
        <v>2</v>
      </c>
      <c r="E1462" s="1">
        <v>469.99</v>
      </c>
      <c r="F1462" s="1">
        <v>0.07</v>
      </c>
      <c r="G1462">
        <f t="shared" si="22"/>
        <v>939.91</v>
      </c>
      <c r="H1462" t="str">
        <f>VLOOKUP(C1462,[1]products!$A:$B,2,FALSE)</f>
        <v>Surly Ice Cream Truck Frameset - 2016</v>
      </c>
      <c r="I1462">
        <f>VLOOKUP(C1462,[1]products!$A:$D,4,FALSE)</f>
        <v>6</v>
      </c>
      <c r="J1462" t="str">
        <f>VLOOKUP(I1462,[2]categories!$A$1:$B$8,2,FALSE)</f>
        <v>Mountain Bikes</v>
      </c>
    </row>
    <row r="1463" customHeight="1" spans="1:10">
      <c r="A1463" s="1">
        <v>525</v>
      </c>
      <c r="B1463" s="1">
        <v>3</v>
      </c>
      <c r="C1463" s="1">
        <v>10</v>
      </c>
      <c r="D1463" s="1">
        <v>1</v>
      </c>
      <c r="E1463" s="1">
        <v>1549</v>
      </c>
      <c r="F1463" s="1">
        <v>0.1</v>
      </c>
      <c r="G1463">
        <f t="shared" si="22"/>
        <v>1548.9</v>
      </c>
      <c r="H1463" t="str">
        <f>VLOOKUP(C1463,[1]products!$A:$B,2,FALSE)</f>
        <v>Surly Straggler - 2016</v>
      </c>
      <c r="I1463">
        <f>VLOOKUP(C1463,[1]products!$A:$D,4,FALSE)</f>
        <v>4</v>
      </c>
      <c r="J1463" t="str">
        <f>VLOOKUP(I1463,[2]categories!$A$1:$B$8,2,FALSE)</f>
        <v>Cyclocross Bicycles</v>
      </c>
    </row>
    <row r="1464" customHeight="1" spans="1:10">
      <c r="A1464" s="1">
        <v>526</v>
      </c>
      <c r="B1464" s="1">
        <v>1</v>
      </c>
      <c r="C1464" s="1">
        <v>3</v>
      </c>
      <c r="D1464" s="1">
        <v>2</v>
      </c>
      <c r="E1464" s="1">
        <v>999.99</v>
      </c>
      <c r="F1464" s="1">
        <v>0.1</v>
      </c>
      <c r="G1464">
        <f t="shared" si="22"/>
        <v>1999.88</v>
      </c>
      <c r="H1464" t="str">
        <f>VLOOKUP(C1464,[1]products!$A:$B,2,FALSE)</f>
        <v>Surly Wednesday Frameset - 2016</v>
      </c>
      <c r="I1464">
        <f>VLOOKUP(C1464,[1]products!$A:$D,4,FALSE)</f>
        <v>6</v>
      </c>
      <c r="J1464" t="str">
        <f>VLOOKUP(I1464,[2]categories!$A$1:$B$8,2,FALSE)</f>
        <v>Mountain Bikes</v>
      </c>
    </row>
    <row r="1465" customHeight="1" spans="1:10">
      <c r="A1465" s="1">
        <v>526</v>
      </c>
      <c r="B1465" s="1">
        <v>2</v>
      </c>
      <c r="C1465" s="1">
        <v>8</v>
      </c>
      <c r="D1465" s="1">
        <v>1</v>
      </c>
      <c r="E1465" s="1">
        <v>1799.99</v>
      </c>
      <c r="F1465" s="1">
        <v>0.1</v>
      </c>
      <c r="G1465">
        <f t="shared" si="22"/>
        <v>1799.89</v>
      </c>
      <c r="H1465" t="str">
        <f>VLOOKUP(C1465,[1]products!$A:$B,2,FALSE)</f>
        <v>Trek Remedy 29 Carbon Frameset - 2016</v>
      </c>
      <c r="I1465">
        <f>VLOOKUP(C1465,[1]products!$A:$D,4,FALSE)</f>
        <v>6</v>
      </c>
      <c r="J1465" t="str">
        <f>VLOOKUP(I1465,[2]categories!$A$1:$B$8,2,FALSE)</f>
        <v>Mountain Bikes</v>
      </c>
    </row>
    <row r="1466" customHeight="1" spans="1:10">
      <c r="A1466" s="1">
        <v>526</v>
      </c>
      <c r="B1466" s="1">
        <v>3</v>
      </c>
      <c r="C1466" s="1">
        <v>21</v>
      </c>
      <c r="D1466" s="1">
        <v>1</v>
      </c>
      <c r="E1466" s="1">
        <v>269.99</v>
      </c>
      <c r="F1466" s="1">
        <v>0.05</v>
      </c>
      <c r="G1466">
        <f t="shared" si="22"/>
        <v>269.94</v>
      </c>
      <c r="H1466" t="str">
        <f>VLOOKUP(C1466,[1]products!$A:$B,2,FALSE)</f>
        <v>Electra Cruiser 1 (24-Inch) - 2016</v>
      </c>
      <c r="I1466">
        <f>VLOOKUP(C1466,[1]products!$A:$D,4,FALSE)</f>
        <v>1</v>
      </c>
      <c r="J1466" t="str">
        <f>VLOOKUP(I1466,[2]categories!$A$1:$B$8,2,FALSE)</f>
        <v>Children Bicycles</v>
      </c>
    </row>
    <row r="1467" customHeight="1" spans="1:10">
      <c r="A1467" s="1">
        <v>526</v>
      </c>
      <c r="B1467" s="1">
        <v>4</v>
      </c>
      <c r="C1467" s="1">
        <v>15</v>
      </c>
      <c r="D1467" s="1">
        <v>1</v>
      </c>
      <c r="E1467" s="1">
        <v>529.99</v>
      </c>
      <c r="F1467" s="1">
        <v>0.07</v>
      </c>
      <c r="G1467">
        <f t="shared" si="22"/>
        <v>529.92</v>
      </c>
      <c r="H1467" t="str">
        <f>VLOOKUP(C1467,[1]products!$A:$B,2,FALSE)</f>
        <v>Electra Moto 1 - 2016</v>
      </c>
      <c r="I1467">
        <f>VLOOKUP(C1467,[1]products!$A:$D,4,FALSE)</f>
        <v>3</v>
      </c>
      <c r="J1467" t="str">
        <f>VLOOKUP(I1467,[2]categories!$A$1:$B$8,2,FALSE)</f>
        <v>Cruisers Bicycles</v>
      </c>
    </row>
    <row r="1468" customHeight="1" spans="1:10">
      <c r="A1468" s="1">
        <v>527</v>
      </c>
      <c r="B1468" s="1">
        <v>1</v>
      </c>
      <c r="C1468" s="1">
        <v>18</v>
      </c>
      <c r="D1468" s="1">
        <v>2</v>
      </c>
      <c r="E1468" s="1">
        <v>449</v>
      </c>
      <c r="F1468" s="1">
        <v>0.07</v>
      </c>
      <c r="G1468">
        <f t="shared" si="22"/>
        <v>897.93</v>
      </c>
      <c r="H1468" t="str">
        <f>VLOOKUP(C1468,[1]products!$A:$B,2,FALSE)</f>
        <v>Pure Cycles Western 3-Speed - Women's - 2015/2016</v>
      </c>
      <c r="I1468">
        <f>VLOOKUP(C1468,[1]products!$A:$D,4,FALSE)</f>
        <v>3</v>
      </c>
      <c r="J1468" t="str">
        <f>VLOOKUP(I1468,[2]categories!$A$1:$B$8,2,FALSE)</f>
        <v>Cruisers Bicycles</v>
      </c>
    </row>
    <row r="1469" customHeight="1" spans="1:10">
      <c r="A1469" s="1">
        <v>527</v>
      </c>
      <c r="B1469" s="1">
        <v>2</v>
      </c>
      <c r="C1469" s="1">
        <v>4</v>
      </c>
      <c r="D1469" s="1">
        <v>1</v>
      </c>
      <c r="E1469" s="1">
        <v>2899.99</v>
      </c>
      <c r="F1469" s="1">
        <v>0.2</v>
      </c>
      <c r="G1469">
        <f t="shared" si="22"/>
        <v>2899.79</v>
      </c>
      <c r="H1469" t="str">
        <f>VLOOKUP(C1469,[1]products!$A:$B,2,FALSE)</f>
        <v>Trek Fuel EX 8 29 - 2016</v>
      </c>
      <c r="I1469">
        <f>VLOOKUP(C1469,[1]products!$A:$D,4,FALSE)</f>
        <v>6</v>
      </c>
      <c r="J1469" t="str">
        <f>VLOOKUP(I1469,[2]categories!$A$1:$B$8,2,FALSE)</f>
        <v>Mountain Bikes</v>
      </c>
    </row>
    <row r="1470" customHeight="1" spans="1:10">
      <c r="A1470" s="1">
        <v>527</v>
      </c>
      <c r="B1470" s="1">
        <v>3</v>
      </c>
      <c r="C1470" s="1">
        <v>19</v>
      </c>
      <c r="D1470" s="1">
        <v>1</v>
      </c>
      <c r="E1470" s="1">
        <v>449</v>
      </c>
      <c r="F1470" s="1">
        <v>0.1</v>
      </c>
      <c r="G1470">
        <f t="shared" si="22"/>
        <v>448.9</v>
      </c>
      <c r="H1470" t="str">
        <f>VLOOKUP(C1470,[1]products!$A:$B,2,FALSE)</f>
        <v>Pure Cycles William 3-Speed - 2016</v>
      </c>
      <c r="I1470">
        <f>VLOOKUP(C1470,[1]products!$A:$D,4,FALSE)</f>
        <v>3</v>
      </c>
      <c r="J1470" t="str">
        <f>VLOOKUP(I1470,[2]categories!$A$1:$B$8,2,FALSE)</f>
        <v>Cruisers Bicycles</v>
      </c>
    </row>
    <row r="1471" customHeight="1" spans="1:10">
      <c r="A1471" s="1">
        <v>527</v>
      </c>
      <c r="B1471" s="1">
        <v>4</v>
      </c>
      <c r="C1471" s="1">
        <v>9</v>
      </c>
      <c r="D1471" s="1">
        <v>2</v>
      </c>
      <c r="E1471" s="1">
        <v>2999.99</v>
      </c>
      <c r="F1471" s="1">
        <v>0.2</v>
      </c>
      <c r="G1471">
        <f t="shared" si="22"/>
        <v>5999.78</v>
      </c>
      <c r="H1471" t="str">
        <f>VLOOKUP(C1471,[1]products!$A:$B,2,FALSE)</f>
        <v>Trek Conduit+ - 2016</v>
      </c>
      <c r="I1471">
        <f>VLOOKUP(C1471,[1]products!$A:$D,4,FALSE)</f>
        <v>5</v>
      </c>
      <c r="J1471" t="str">
        <f>VLOOKUP(I1471,[2]categories!$A$1:$B$8,2,FALSE)</f>
        <v>Electric Bikes</v>
      </c>
    </row>
    <row r="1472" customHeight="1" spans="1:10">
      <c r="A1472" s="1">
        <v>528</v>
      </c>
      <c r="B1472" s="1">
        <v>1</v>
      </c>
      <c r="C1472" s="1">
        <v>21</v>
      </c>
      <c r="D1472" s="1">
        <v>2</v>
      </c>
      <c r="E1472" s="1">
        <v>269.99</v>
      </c>
      <c r="F1472" s="1">
        <v>0.05</v>
      </c>
      <c r="G1472">
        <f t="shared" si="22"/>
        <v>539.93</v>
      </c>
      <c r="H1472" t="str">
        <f>VLOOKUP(C1472,[1]products!$A:$B,2,FALSE)</f>
        <v>Electra Cruiser 1 (24-Inch) - 2016</v>
      </c>
      <c r="I1472">
        <f>VLOOKUP(C1472,[1]products!$A:$D,4,FALSE)</f>
        <v>1</v>
      </c>
      <c r="J1472" t="str">
        <f>VLOOKUP(I1472,[2]categories!$A$1:$B$8,2,FALSE)</f>
        <v>Children Bicycles</v>
      </c>
    </row>
    <row r="1473" customHeight="1" spans="1:10">
      <c r="A1473" s="1">
        <v>529</v>
      </c>
      <c r="B1473" s="1">
        <v>1</v>
      </c>
      <c r="C1473" s="1">
        <v>12</v>
      </c>
      <c r="D1473" s="1">
        <v>2</v>
      </c>
      <c r="E1473" s="1">
        <v>549.99</v>
      </c>
      <c r="F1473" s="1">
        <v>0.07</v>
      </c>
      <c r="G1473">
        <f t="shared" si="22"/>
        <v>1099.91</v>
      </c>
      <c r="H1473" t="str">
        <f>VLOOKUP(C1473,[1]products!$A:$B,2,FALSE)</f>
        <v>Electra Townie Original 21D - 2016</v>
      </c>
      <c r="I1473">
        <f>VLOOKUP(C1473,[1]products!$A:$D,4,FALSE)</f>
        <v>3</v>
      </c>
      <c r="J1473" t="str">
        <f>VLOOKUP(I1473,[2]categories!$A$1:$B$8,2,FALSE)</f>
        <v>Cruisers Bicycles</v>
      </c>
    </row>
    <row r="1474" customHeight="1" spans="1:10">
      <c r="A1474" s="1">
        <v>530</v>
      </c>
      <c r="B1474" s="1">
        <v>1</v>
      </c>
      <c r="C1474" s="1">
        <v>2</v>
      </c>
      <c r="D1474" s="1">
        <v>2</v>
      </c>
      <c r="E1474" s="1">
        <v>749.99</v>
      </c>
      <c r="F1474" s="1">
        <v>0.05</v>
      </c>
      <c r="G1474">
        <f t="shared" si="22"/>
        <v>1499.93</v>
      </c>
      <c r="H1474" t="str">
        <f>VLOOKUP(C1474,[1]products!$A:$B,2,FALSE)</f>
        <v>Ritchey Timberwolf Frameset - 2016</v>
      </c>
      <c r="I1474">
        <f>VLOOKUP(C1474,[1]products!$A:$D,4,FALSE)</f>
        <v>6</v>
      </c>
      <c r="J1474" t="str">
        <f>VLOOKUP(I1474,[2]categories!$A$1:$B$8,2,FALSE)</f>
        <v>Mountain Bikes</v>
      </c>
    </row>
    <row r="1475" customHeight="1" spans="1:10">
      <c r="A1475" s="1">
        <v>530</v>
      </c>
      <c r="B1475" s="1">
        <v>2</v>
      </c>
      <c r="C1475" s="1">
        <v>4</v>
      </c>
      <c r="D1475" s="1">
        <v>1</v>
      </c>
      <c r="E1475" s="1">
        <v>2899.99</v>
      </c>
      <c r="F1475" s="1">
        <v>0.07</v>
      </c>
      <c r="G1475">
        <f t="shared" ref="G1475:G1538" si="23">(E1475*D1475)-F1475</f>
        <v>2899.92</v>
      </c>
      <c r="H1475" t="str">
        <f>VLOOKUP(C1475,[1]products!$A:$B,2,FALSE)</f>
        <v>Trek Fuel EX 8 29 - 2016</v>
      </c>
      <c r="I1475">
        <f>VLOOKUP(C1475,[1]products!$A:$D,4,FALSE)</f>
        <v>6</v>
      </c>
      <c r="J1475" t="str">
        <f>VLOOKUP(I1475,[2]categories!$A$1:$B$8,2,FALSE)</f>
        <v>Mountain Bikes</v>
      </c>
    </row>
    <row r="1476" customHeight="1" spans="1:10">
      <c r="A1476" s="1">
        <v>530</v>
      </c>
      <c r="B1476" s="1">
        <v>3</v>
      </c>
      <c r="C1476" s="1">
        <v>6</v>
      </c>
      <c r="D1476" s="1">
        <v>2</v>
      </c>
      <c r="E1476" s="1">
        <v>469.99</v>
      </c>
      <c r="F1476" s="1">
        <v>0.2</v>
      </c>
      <c r="G1476">
        <f t="shared" si="23"/>
        <v>939.78</v>
      </c>
      <c r="H1476" t="str">
        <f>VLOOKUP(C1476,[1]products!$A:$B,2,FALSE)</f>
        <v>Surly Ice Cream Truck Frameset - 2016</v>
      </c>
      <c r="I1476">
        <f>VLOOKUP(C1476,[1]products!$A:$D,4,FALSE)</f>
        <v>6</v>
      </c>
      <c r="J1476" t="str">
        <f>VLOOKUP(I1476,[2]categories!$A$1:$B$8,2,FALSE)</f>
        <v>Mountain Bikes</v>
      </c>
    </row>
    <row r="1477" customHeight="1" spans="1:10">
      <c r="A1477" s="1">
        <v>531</v>
      </c>
      <c r="B1477" s="1">
        <v>1</v>
      </c>
      <c r="C1477" s="1">
        <v>6</v>
      </c>
      <c r="D1477" s="1">
        <v>1</v>
      </c>
      <c r="E1477" s="1">
        <v>469.99</v>
      </c>
      <c r="F1477" s="1">
        <v>0.2</v>
      </c>
      <c r="G1477">
        <f t="shared" si="23"/>
        <v>469.79</v>
      </c>
      <c r="H1477" t="str">
        <f>VLOOKUP(C1477,[1]products!$A:$B,2,FALSE)</f>
        <v>Surly Ice Cream Truck Frameset - 2016</v>
      </c>
      <c r="I1477">
        <f>VLOOKUP(C1477,[1]products!$A:$D,4,FALSE)</f>
        <v>6</v>
      </c>
      <c r="J1477" t="str">
        <f>VLOOKUP(I1477,[2]categories!$A$1:$B$8,2,FALSE)</f>
        <v>Mountain Bikes</v>
      </c>
    </row>
    <row r="1478" customHeight="1" spans="1:10">
      <c r="A1478" s="1">
        <v>531</v>
      </c>
      <c r="B1478" s="1">
        <v>2</v>
      </c>
      <c r="C1478" s="1">
        <v>12</v>
      </c>
      <c r="D1478" s="1">
        <v>2</v>
      </c>
      <c r="E1478" s="1">
        <v>549.99</v>
      </c>
      <c r="F1478" s="1">
        <v>0.2</v>
      </c>
      <c r="G1478">
        <f t="shared" si="23"/>
        <v>1099.78</v>
      </c>
      <c r="H1478" t="str">
        <f>VLOOKUP(C1478,[1]products!$A:$B,2,FALSE)</f>
        <v>Electra Townie Original 21D - 2016</v>
      </c>
      <c r="I1478">
        <f>VLOOKUP(C1478,[1]products!$A:$D,4,FALSE)</f>
        <v>3</v>
      </c>
      <c r="J1478" t="str">
        <f>VLOOKUP(I1478,[2]categories!$A$1:$B$8,2,FALSE)</f>
        <v>Cruisers Bicycles</v>
      </c>
    </row>
    <row r="1479" customHeight="1" spans="1:10">
      <c r="A1479" s="1">
        <v>531</v>
      </c>
      <c r="B1479" s="1">
        <v>3</v>
      </c>
      <c r="C1479" s="1">
        <v>25</v>
      </c>
      <c r="D1479" s="1">
        <v>1</v>
      </c>
      <c r="E1479" s="1">
        <v>499.99</v>
      </c>
      <c r="F1479" s="1">
        <v>0.07</v>
      </c>
      <c r="G1479">
        <f t="shared" si="23"/>
        <v>499.92</v>
      </c>
      <c r="H1479" t="str">
        <f>VLOOKUP(C1479,[1]products!$A:$B,2,FALSE)</f>
        <v>Electra Townie Original 7D - 2015/2016</v>
      </c>
      <c r="I1479">
        <f>VLOOKUP(C1479,[1]products!$A:$D,4,FALSE)</f>
        <v>2</v>
      </c>
      <c r="J1479" t="str">
        <f>VLOOKUP(I1479,[2]categories!$A$1:$B$8,2,FALSE)</f>
        <v>Comfort Bicycles</v>
      </c>
    </row>
    <row r="1480" customHeight="1" spans="1:10">
      <c r="A1480" s="1">
        <v>532</v>
      </c>
      <c r="B1480" s="1">
        <v>1</v>
      </c>
      <c r="C1480" s="1">
        <v>17</v>
      </c>
      <c r="D1480" s="1">
        <v>2</v>
      </c>
      <c r="E1480" s="1">
        <v>429</v>
      </c>
      <c r="F1480" s="1">
        <v>0.07</v>
      </c>
      <c r="G1480">
        <f t="shared" si="23"/>
        <v>857.93</v>
      </c>
      <c r="H1480" t="str">
        <f>VLOOKUP(C1480,[1]products!$A:$B,2,FALSE)</f>
        <v>Pure Cycles Vine 8-Speed - 2016</v>
      </c>
      <c r="I1480">
        <f>VLOOKUP(C1480,[1]products!$A:$D,4,FALSE)</f>
        <v>3</v>
      </c>
      <c r="J1480" t="str">
        <f>VLOOKUP(I1480,[2]categories!$A$1:$B$8,2,FALSE)</f>
        <v>Cruisers Bicycles</v>
      </c>
    </row>
    <row r="1481" customHeight="1" spans="1:10">
      <c r="A1481" s="1">
        <v>532</v>
      </c>
      <c r="B1481" s="1">
        <v>2</v>
      </c>
      <c r="C1481" s="1">
        <v>16</v>
      </c>
      <c r="D1481" s="1">
        <v>2</v>
      </c>
      <c r="E1481" s="1">
        <v>599.99</v>
      </c>
      <c r="F1481" s="1">
        <v>0.2</v>
      </c>
      <c r="G1481">
        <f t="shared" si="23"/>
        <v>1199.78</v>
      </c>
      <c r="H1481" t="str">
        <f>VLOOKUP(C1481,[1]products!$A:$B,2,FALSE)</f>
        <v>Electra Townie Original 7D EQ - 2016</v>
      </c>
      <c r="I1481">
        <f>VLOOKUP(C1481,[1]products!$A:$D,4,FALSE)</f>
        <v>3</v>
      </c>
      <c r="J1481" t="str">
        <f>VLOOKUP(I1481,[2]categories!$A$1:$B$8,2,FALSE)</f>
        <v>Cruisers Bicycles</v>
      </c>
    </row>
    <row r="1482" customHeight="1" spans="1:10">
      <c r="A1482" s="1">
        <v>532</v>
      </c>
      <c r="B1482" s="1">
        <v>3</v>
      </c>
      <c r="C1482" s="1">
        <v>12</v>
      </c>
      <c r="D1482" s="1">
        <v>1</v>
      </c>
      <c r="E1482" s="1">
        <v>549.99</v>
      </c>
      <c r="F1482" s="1">
        <v>0.1</v>
      </c>
      <c r="G1482">
        <f t="shared" si="23"/>
        <v>549.89</v>
      </c>
      <c r="H1482" t="str">
        <f>VLOOKUP(C1482,[1]products!$A:$B,2,FALSE)</f>
        <v>Electra Townie Original 21D - 2016</v>
      </c>
      <c r="I1482">
        <f>VLOOKUP(C1482,[1]products!$A:$D,4,FALSE)</f>
        <v>3</v>
      </c>
      <c r="J1482" t="str">
        <f>VLOOKUP(I1482,[2]categories!$A$1:$B$8,2,FALSE)</f>
        <v>Cruisers Bicycles</v>
      </c>
    </row>
    <row r="1483" customHeight="1" spans="1:10">
      <c r="A1483" s="1">
        <v>533</v>
      </c>
      <c r="B1483" s="1">
        <v>1</v>
      </c>
      <c r="C1483" s="1">
        <v>4</v>
      </c>
      <c r="D1483" s="1">
        <v>1</v>
      </c>
      <c r="E1483" s="1">
        <v>2899.99</v>
      </c>
      <c r="F1483" s="1">
        <v>0.2</v>
      </c>
      <c r="G1483">
        <f t="shared" si="23"/>
        <v>2899.79</v>
      </c>
      <c r="H1483" t="str">
        <f>VLOOKUP(C1483,[1]products!$A:$B,2,FALSE)</f>
        <v>Trek Fuel EX 8 29 - 2016</v>
      </c>
      <c r="I1483">
        <f>VLOOKUP(C1483,[1]products!$A:$D,4,FALSE)</f>
        <v>6</v>
      </c>
      <c r="J1483" t="str">
        <f>VLOOKUP(I1483,[2]categories!$A$1:$B$8,2,FALSE)</f>
        <v>Mountain Bikes</v>
      </c>
    </row>
    <row r="1484" customHeight="1" spans="1:10">
      <c r="A1484" s="1">
        <v>533</v>
      </c>
      <c r="B1484" s="1">
        <v>2</v>
      </c>
      <c r="C1484" s="1">
        <v>12</v>
      </c>
      <c r="D1484" s="1">
        <v>2</v>
      </c>
      <c r="E1484" s="1">
        <v>549.99</v>
      </c>
      <c r="F1484" s="1">
        <v>0.1</v>
      </c>
      <c r="G1484">
        <f t="shared" si="23"/>
        <v>1099.88</v>
      </c>
      <c r="H1484" t="str">
        <f>VLOOKUP(C1484,[1]products!$A:$B,2,FALSE)</f>
        <v>Electra Townie Original 21D - 2016</v>
      </c>
      <c r="I1484">
        <f>VLOOKUP(C1484,[1]products!$A:$D,4,FALSE)</f>
        <v>3</v>
      </c>
      <c r="J1484" t="str">
        <f>VLOOKUP(I1484,[2]categories!$A$1:$B$8,2,FALSE)</f>
        <v>Cruisers Bicycles</v>
      </c>
    </row>
    <row r="1485" customHeight="1" spans="1:10">
      <c r="A1485" s="1">
        <v>533</v>
      </c>
      <c r="B1485" s="1">
        <v>3</v>
      </c>
      <c r="C1485" s="1">
        <v>10</v>
      </c>
      <c r="D1485" s="1">
        <v>1</v>
      </c>
      <c r="E1485" s="1">
        <v>1549</v>
      </c>
      <c r="F1485" s="1">
        <v>0.2</v>
      </c>
      <c r="G1485">
        <f t="shared" si="23"/>
        <v>1548.8</v>
      </c>
      <c r="H1485" t="str">
        <f>VLOOKUP(C1485,[1]products!$A:$B,2,FALSE)</f>
        <v>Surly Straggler - 2016</v>
      </c>
      <c r="I1485">
        <f>VLOOKUP(C1485,[1]products!$A:$D,4,FALSE)</f>
        <v>4</v>
      </c>
      <c r="J1485" t="str">
        <f>VLOOKUP(I1485,[2]categories!$A$1:$B$8,2,FALSE)</f>
        <v>Cyclocross Bicycles</v>
      </c>
    </row>
    <row r="1486" customHeight="1" spans="1:10">
      <c r="A1486" s="1">
        <v>533</v>
      </c>
      <c r="B1486" s="1">
        <v>4</v>
      </c>
      <c r="C1486" s="1">
        <v>25</v>
      </c>
      <c r="D1486" s="1">
        <v>1</v>
      </c>
      <c r="E1486" s="1">
        <v>499.99</v>
      </c>
      <c r="F1486" s="1">
        <v>0.05</v>
      </c>
      <c r="G1486">
        <f t="shared" si="23"/>
        <v>499.94</v>
      </c>
      <c r="H1486" t="str">
        <f>VLOOKUP(C1486,[1]products!$A:$B,2,FALSE)</f>
        <v>Electra Townie Original 7D - 2015/2016</v>
      </c>
      <c r="I1486">
        <f>VLOOKUP(C1486,[1]products!$A:$D,4,FALSE)</f>
        <v>2</v>
      </c>
      <c r="J1486" t="str">
        <f>VLOOKUP(I1486,[2]categories!$A$1:$B$8,2,FALSE)</f>
        <v>Comfort Bicycles</v>
      </c>
    </row>
    <row r="1487" customHeight="1" spans="1:10">
      <c r="A1487" s="1">
        <v>534</v>
      </c>
      <c r="B1487" s="1">
        <v>1</v>
      </c>
      <c r="C1487" s="1">
        <v>21</v>
      </c>
      <c r="D1487" s="1">
        <v>2</v>
      </c>
      <c r="E1487" s="1">
        <v>269.99</v>
      </c>
      <c r="F1487" s="1">
        <v>0.05</v>
      </c>
      <c r="G1487">
        <f t="shared" si="23"/>
        <v>539.93</v>
      </c>
      <c r="H1487" t="str">
        <f>VLOOKUP(C1487,[1]products!$A:$B,2,FALSE)</f>
        <v>Electra Cruiser 1 (24-Inch) - 2016</v>
      </c>
      <c r="I1487">
        <f>VLOOKUP(C1487,[1]products!$A:$D,4,FALSE)</f>
        <v>1</v>
      </c>
      <c r="J1487" t="str">
        <f>VLOOKUP(I1487,[2]categories!$A$1:$B$8,2,FALSE)</f>
        <v>Children Bicycles</v>
      </c>
    </row>
    <row r="1488" customHeight="1" spans="1:10">
      <c r="A1488" s="1">
        <v>534</v>
      </c>
      <c r="B1488" s="1">
        <v>2</v>
      </c>
      <c r="C1488" s="1">
        <v>9</v>
      </c>
      <c r="D1488" s="1">
        <v>2</v>
      </c>
      <c r="E1488" s="1">
        <v>2999.99</v>
      </c>
      <c r="F1488" s="1">
        <v>0.05</v>
      </c>
      <c r="G1488">
        <f t="shared" si="23"/>
        <v>5999.93</v>
      </c>
      <c r="H1488" t="str">
        <f>VLOOKUP(C1488,[1]products!$A:$B,2,FALSE)</f>
        <v>Trek Conduit+ - 2016</v>
      </c>
      <c r="I1488">
        <f>VLOOKUP(C1488,[1]products!$A:$D,4,FALSE)</f>
        <v>5</v>
      </c>
      <c r="J1488" t="str">
        <f>VLOOKUP(I1488,[2]categories!$A$1:$B$8,2,FALSE)</f>
        <v>Electric Bikes</v>
      </c>
    </row>
    <row r="1489" customHeight="1" spans="1:10">
      <c r="A1489" s="1">
        <v>534</v>
      </c>
      <c r="B1489" s="1">
        <v>3</v>
      </c>
      <c r="C1489" s="1">
        <v>2</v>
      </c>
      <c r="D1489" s="1">
        <v>1</v>
      </c>
      <c r="E1489" s="1">
        <v>749.99</v>
      </c>
      <c r="F1489" s="1">
        <v>0.07</v>
      </c>
      <c r="G1489">
        <f t="shared" si="23"/>
        <v>749.92</v>
      </c>
      <c r="H1489" t="str">
        <f>VLOOKUP(C1489,[1]products!$A:$B,2,FALSE)</f>
        <v>Ritchey Timberwolf Frameset - 2016</v>
      </c>
      <c r="I1489">
        <f>VLOOKUP(C1489,[1]products!$A:$D,4,FALSE)</f>
        <v>6</v>
      </c>
      <c r="J1489" t="str">
        <f>VLOOKUP(I1489,[2]categories!$A$1:$B$8,2,FALSE)</f>
        <v>Mountain Bikes</v>
      </c>
    </row>
    <row r="1490" customHeight="1" spans="1:10">
      <c r="A1490" s="1">
        <v>534</v>
      </c>
      <c r="B1490" s="1">
        <v>4</v>
      </c>
      <c r="C1490" s="1">
        <v>24</v>
      </c>
      <c r="D1490" s="1">
        <v>2</v>
      </c>
      <c r="E1490" s="1">
        <v>549.99</v>
      </c>
      <c r="F1490" s="1">
        <v>0.1</v>
      </c>
      <c r="G1490">
        <f t="shared" si="23"/>
        <v>1099.88</v>
      </c>
      <c r="H1490" t="str">
        <f>VLOOKUP(C1490,[1]products!$A:$B,2,FALSE)</f>
        <v>Electra Townie Original 21D - 2016</v>
      </c>
      <c r="I1490">
        <f>VLOOKUP(C1490,[1]products!$A:$D,4,FALSE)</f>
        <v>2</v>
      </c>
      <c r="J1490" t="str">
        <f>VLOOKUP(I1490,[2]categories!$A$1:$B$8,2,FALSE)</f>
        <v>Comfort Bicycles</v>
      </c>
    </row>
    <row r="1491" customHeight="1" spans="1:10">
      <c r="A1491" s="1">
        <v>535</v>
      </c>
      <c r="B1491" s="1">
        <v>1</v>
      </c>
      <c r="C1491" s="1">
        <v>24</v>
      </c>
      <c r="D1491" s="1">
        <v>1</v>
      </c>
      <c r="E1491" s="1">
        <v>549.99</v>
      </c>
      <c r="F1491" s="1">
        <v>0.05</v>
      </c>
      <c r="G1491">
        <f t="shared" si="23"/>
        <v>549.94</v>
      </c>
      <c r="H1491" t="str">
        <f>VLOOKUP(C1491,[1]products!$A:$B,2,FALSE)</f>
        <v>Electra Townie Original 21D - 2016</v>
      </c>
      <c r="I1491">
        <f>VLOOKUP(C1491,[1]products!$A:$D,4,FALSE)</f>
        <v>2</v>
      </c>
      <c r="J1491" t="str">
        <f>VLOOKUP(I1491,[2]categories!$A$1:$B$8,2,FALSE)</f>
        <v>Comfort Bicycles</v>
      </c>
    </row>
    <row r="1492" customHeight="1" spans="1:10">
      <c r="A1492" s="1">
        <v>535</v>
      </c>
      <c r="B1492" s="1">
        <v>2</v>
      </c>
      <c r="C1492" s="1">
        <v>15</v>
      </c>
      <c r="D1492" s="1">
        <v>1</v>
      </c>
      <c r="E1492" s="1">
        <v>529.99</v>
      </c>
      <c r="F1492" s="1">
        <v>0.1</v>
      </c>
      <c r="G1492">
        <f t="shared" si="23"/>
        <v>529.89</v>
      </c>
      <c r="H1492" t="str">
        <f>VLOOKUP(C1492,[1]products!$A:$B,2,FALSE)</f>
        <v>Electra Moto 1 - 2016</v>
      </c>
      <c r="I1492">
        <f>VLOOKUP(C1492,[1]products!$A:$D,4,FALSE)</f>
        <v>3</v>
      </c>
      <c r="J1492" t="str">
        <f>VLOOKUP(I1492,[2]categories!$A$1:$B$8,2,FALSE)</f>
        <v>Cruisers Bicycles</v>
      </c>
    </row>
    <row r="1493" customHeight="1" spans="1:10">
      <c r="A1493" s="1">
        <v>535</v>
      </c>
      <c r="B1493" s="1">
        <v>3</v>
      </c>
      <c r="C1493" s="1">
        <v>22</v>
      </c>
      <c r="D1493" s="1">
        <v>2</v>
      </c>
      <c r="E1493" s="1">
        <v>269.99</v>
      </c>
      <c r="F1493" s="1">
        <v>0.1</v>
      </c>
      <c r="G1493">
        <f t="shared" si="23"/>
        <v>539.88</v>
      </c>
      <c r="H1493" t="str">
        <f>VLOOKUP(C1493,[1]products!$A:$B,2,FALSE)</f>
        <v>Electra Girl's Hawaii 1 (16-inch) - 2015/2016</v>
      </c>
      <c r="I1493">
        <f>VLOOKUP(C1493,[1]products!$A:$D,4,FALSE)</f>
        <v>1</v>
      </c>
      <c r="J1493" t="str">
        <f>VLOOKUP(I1493,[2]categories!$A$1:$B$8,2,FALSE)</f>
        <v>Children Bicycles</v>
      </c>
    </row>
    <row r="1494" customHeight="1" spans="1:10">
      <c r="A1494" s="1">
        <v>536</v>
      </c>
      <c r="B1494" s="1">
        <v>1</v>
      </c>
      <c r="C1494" s="1">
        <v>22</v>
      </c>
      <c r="D1494" s="1">
        <v>1</v>
      </c>
      <c r="E1494" s="1">
        <v>269.99</v>
      </c>
      <c r="F1494" s="1">
        <v>0.1</v>
      </c>
      <c r="G1494">
        <f t="shared" si="23"/>
        <v>269.89</v>
      </c>
      <c r="H1494" t="str">
        <f>VLOOKUP(C1494,[1]products!$A:$B,2,FALSE)</f>
        <v>Electra Girl's Hawaii 1 (16-inch) - 2015/2016</v>
      </c>
      <c r="I1494">
        <f>VLOOKUP(C1494,[1]products!$A:$D,4,FALSE)</f>
        <v>1</v>
      </c>
      <c r="J1494" t="str">
        <f>VLOOKUP(I1494,[2]categories!$A$1:$B$8,2,FALSE)</f>
        <v>Children Bicycles</v>
      </c>
    </row>
    <row r="1495" customHeight="1" spans="1:10">
      <c r="A1495" s="1">
        <v>536</v>
      </c>
      <c r="B1495" s="1">
        <v>2</v>
      </c>
      <c r="C1495" s="1">
        <v>2</v>
      </c>
      <c r="D1495" s="1">
        <v>1</v>
      </c>
      <c r="E1495" s="1">
        <v>749.99</v>
      </c>
      <c r="F1495" s="1">
        <v>0.1</v>
      </c>
      <c r="G1495">
        <f t="shared" si="23"/>
        <v>749.89</v>
      </c>
      <c r="H1495" t="str">
        <f>VLOOKUP(C1495,[1]products!$A:$B,2,FALSE)</f>
        <v>Ritchey Timberwolf Frameset - 2016</v>
      </c>
      <c r="I1495">
        <f>VLOOKUP(C1495,[1]products!$A:$D,4,FALSE)</f>
        <v>6</v>
      </c>
      <c r="J1495" t="str">
        <f>VLOOKUP(I1495,[2]categories!$A$1:$B$8,2,FALSE)</f>
        <v>Mountain Bikes</v>
      </c>
    </row>
    <row r="1496" customHeight="1" spans="1:10">
      <c r="A1496" s="1">
        <v>536</v>
      </c>
      <c r="B1496" s="1">
        <v>3</v>
      </c>
      <c r="C1496" s="1">
        <v>12</v>
      </c>
      <c r="D1496" s="1">
        <v>2</v>
      </c>
      <c r="E1496" s="1">
        <v>549.99</v>
      </c>
      <c r="F1496" s="1">
        <v>0.05</v>
      </c>
      <c r="G1496">
        <f t="shared" si="23"/>
        <v>1099.93</v>
      </c>
      <c r="H1496" t="str">
        <f>VLOOKUP(C1496,[1]products!$A:$B,2,FALSE)</f>
        <v>Electra Townie Original 21D - 2016</v>
      </c>
      <c r="I1496">
        <f>VLOOKUP(C1496,[1]products!$A:$D,4,FALSE)</f>
        <v>3</v>
      </c>
      <c r="J1496" t="str">
        <f>VLOOKUP(I1496,[2]categories!$A$1:$B$8,2,FALSE)</f>
        <v>Cruisers Bicycles</v>
      </c>
    </row>
    <row r="1497" customHeight="1" spans="1:10">
      <c r="A1497" s="1">
        <v>536</v>
      </c>
      <c r="B1497" s="1">
        <v>4</v>
      </c>
      <c r="C1497" s="1">
        <v>14</v>
      </c>
      <c r="D1497" s="1">
        <v>1</v>
      </c>
      <c r="E1497" s="1">
        <v>269.99</v>
      </c>
      <c r="F1497" s="1">
        <v>0.07</v>
      </c>
      <c r="G1497">
        <f t="shared" si="23"/>
        <v>269.92</v>
      </c>
      <c r="H1497" t="str">
        <f>VLOOKUP(C1497,[1]products!$A:$B,2,FALSE)</f>
        <v>Electra Girl's Hawaii 1 (16-inch) - 2015/2016</v>
      </c>
      <c r="I1497">
        <f>VLOOKUP(C1497,[1]products!$A:$D,4,FALSE)</f>
        <v>3</v>
      </c>
      <c r="J1497" t="str">
        <f>VLOOKUP(I1497,[2]categories!$A$1:$B$8,2,FALSE)</f>
        <v>Cruisers Bicycles</v>
      </c>
    </row>
    <row r="1498" customHeight="1" spans="1:10">
      <c r="A1498" s="1">
        <v>537</v>
      </c>
      <c r="B1498" s="1">
        <v>1</v>
      </c>
      <c r="C1498" s="1">
        <v>10</v>
      </c>
      <c r="D1498" s="1">
        <v>1</v>
      </c>
      <c r="E1498" s="1">
        <v>1549</v>
      </c>
      <c r="F1498" s="1">
        <v>0.05</v>
      </c>
      <c r="G1498">
        <f t="shared" si="23"/>
        <v>1548.95</v>
      </c>
      <c r="H1498" t="str">
        <f>VLOOKUP(C1498,[1]products!$A:$B,2,FALSE)</f>
        <v>Surly Straggler - 2016</v>
      </c>
      <c r="I1498">
        <f>VLOOKUP(C1498,[1]products!$A:$D,4,FALSE)</f>
        <v>4</v>
      </c>
      <c r="J1498" t="str">
        <f>VLOOKUP(I1498,[2]categories!$A$1:$B$8,2,FALSE)</f>
        <v>Cyclocross Bicycles</v>
      </c>
    </row>
    <row r="1499" customHeight="1" spans="1:10">
      <c r="A1499" s="1">
        <v>537</v>
      </c>
      <c r="B1499" s="1">
        <v>2</v>
      </c>
      <c r="C1499" s="1">
        <v>26</v>
      </c>
      <c r="D1499" s="1">
        <v>1</v>
      </c>
      <c r="E1499" s="1">
        <v>599.99</v>
      </c>
      <c r="F1499" s="1">
        <v>0.05</v>
      </c>
      <c r="G1499">
        <f t="shared" si="23"/>
        <v>599.94</v>
      </c>
      <c r="H1499" t="str">
        <f>VLOOKUP(C1499,[1]products!$A:$B,2,FALSE)</f>
        <v>Electra Townie Original 7D EQ - 2016</v>
      </c>
      <c r="I1499">
        <f>VLOOKUP(C1499,[1]products!$A:$D,4,FALSE)</f>
        <v>2</v>
      </c>
      <c r="J1499" t="str">
        <f>VLOOKUP(I1499,[2]categories!$A$1:$B$8,2,FALSE)</f>
        <v>Comfort Bicycles</v>
      </c>
    </row>
    <row r="1500" customHeight="1" spans="1:10">
      <c r="A1500" s="1">
        <v>537</v>
      </c>
      <c r="B1500" s="1">
        <v>3</v>
      </c>
      <c r="C1500" s="1">
        <v>17</v>
      </c>
      <c r="D1500" s="1">
        <v>2</v>
      </c>
      <c r="E1500" s="1">
        <v>429</v>
      </c>
      <c r="F1500" s="1">
        <v>0.1</v>
      </c>
      <c r="G1500">
        <f t="shared" si="23"/>
        <v>857.9</v>
      </c>
      <c r="H1500" t="str">
        <f>VLOOKUP(C1500,[1]products!$A:$B,2,FALSE)</f>
        <v>Pure Cycles Vine 8-Speed - 2016</v>
      </c>
      <c r="I1500">
        <f>VLOOKUP(C1500,[1]products!$A:$D,4,FALSE)</f>
        <v>3</v>
      </c>
      <c r="J1500" t="str">
        <f>VLOOKUP(I1500,[2]categories!$A$1:$B$8,2,FALSE)</f>
        <v>Cruisers Bicycles</v>
      </c>
    </row>
    <row r="1501" customHeight="1" spans="1:10">
      <c r="A1501" s="1">
        <v>537</v>
      </c>
      <c r="B1501" s="1">
        <v>4</v>
      </c>
      <c r="C1501" s="1">
        <v>25</v>
      </c>
      <c r="D1501" s="1">
        <v>2</v>
      </c>
      <c r="E1501" s="1">
        <v>499.99</v>
      </c>
      <c r="F1501" s="1">
        <v>0.2</v>
      </c>
      <c r="G1501">
        <f t="shared" si="23"/>
        <v>999.78</v>
      </c>
      <c r="H1501" t="str">
        <f>VLOOKUP(C1501,[1]products!$A:$B,2,FALSE)</f>
        <v>Electra Townie Original 7D - 2015/2016</v>
      </c>
      <c r="I1501">
        <f>VLOOKUP(C1501,[1]products!$A:$D,4,FALSE)</f>
        <v>2</v>
      </c>
      <c r="J1501" t="str">
        <f>VLOOKUP(I1501,[2]categories!$A$1:$B$8,2,FALSE)</f>
        <v>Comfort Bicycles</v>
      </c>
    </row>
    <row r="1502" customHeight="1" spans="1:10">
      <c r="A1502" s="1">
        <v>538</v>
      </c>
      <c r="B1502" s="1">
        <v>1</v>
      </c>
      <c r="C1502" s="1">
        <v>2</v>
      </c>
      <c r="D1502" s="1">
        <v>2</v>
      </c>
      <c r="E1502" s="1">
        <v>749.99</v>
      </c>
      <c r="F1502" s="1">
        <v>0.2</v>
      </c>
      <c r="G1502">
        <f t="shared" si="23"/>
        <v>1499.78</v>
      </c>
      <c r="H1502" t="str">
        <f>VLOOKUP(C1502,[1]products!$A:$B,2,FALSE)</f>
        <v>Ritchey Timberwolf Frameset - 2016</v>
      </c>
      <c r="I1502">
        <f>VLOOKUP(C1502,[1]products!$A:$D,4,FALSE)</f>
        <v>6</v>
      </c>
      <c r="J1502" t="str">
        <f>VLOOKUP(I1502,[2]categories!$A$1:$B$8,2,FALSE)</f>
        <v>Mountain Bikes</v>
      </c>
    </row>
    <row r="1503" customHeight="1" spans="1:10">
      <c r="A1503" s="1">
        <v>539</v>
      </c>
      <c r="B1503" s="1">
        <v>1</v>
      </c>
      <c r="C1503" s="1">
        <v>9</v>
      </c>
      <c r="D1503" s="1">
        <v>2</v>
      </c>
      <c r="E1503" s="1">
        <v>2999.99</v>
      </c>
      <c r="F1503" s="1">
        <v>0.1</v>
      </c>
      <c r="G1503">
        <f t="shared" si="23"/>
        <v>5999.88</v>
      </c>
      <c r="H1503" t="str">
        <f>VLOOKUP(C1503,[1]products!$A:$B,2,FALSE)</f>
        <v>Trek Conduit+ - 2016</v>
      </c>
      <c r="I1503">
        <f>VLOOKUP(C1503,[1]products!$A:$D,4,FALSE)</f>
        <v>5</v>
      </c>
      <c r="J1503" t="str">
        <f>VLOOKUP(I1503,[2]categories!$A$1:$B$8,2,FALSE)</f>
        <v>Electric Bikes</v>
      </c>
    </row>
    <row r="1504" customHeight="1" spans="1:10">
      <c r="A1504" s="1">
        <v>539</v>
      </c>
      <c r="B1504" s="1">
        <v>2</v>
      </c>
      <c r="C1504" s="1">
        <v>23</v>
      </c>
      <c r="D1504" s="1">
        <v>1</v>
      </c>
      <c r="E1504" s="1">
        <v>299.99</v>
      </c>
      <c r="F1504" s="1">
        <v>0.05</v>
      </c>
      <c r="G1504">
        <f t="shared" si="23"/>
        <v>299.94</v>
      </c>
      <c r="H1504" t="str">
        <f>VLOOKUP(C1504,[1]products!$A:$B,2,FALSE)</f>
        <v>Electra Girl's Hawaii 1 (20-inch) - 2015/2016</v>
      </c>
      <c r="I1504">
        <f>VLOOKUP(C1504,[1]products!$A:$D,4,FALSE)</f>
        <v>1</v>
      </c>
      <c r="J1504" t="str">
        <f>VLOOKUP(I1504,[2]categories!$A$1:$B$8,2,FALSE)</f>
        <v>Children Bicycles</v>
      </c>
    </row>
    <row r="1505" customHeight="1" spans="1:10">
      <c r="A1505" s="1">
        <v>539</v>
      </c>
      <c r="B1505" s="1">
        <v>3</v>
      </c>
      <c r="C1505" s="1">
        <v>21</v>
      </c>
      <c r="D1505" s="1">
        <v>2</v>
      </c>
      <c r="E1505" s="1">
        <v>269.99</v>
      </c>
      <c r="F1505" s="1">
        <v>0.07</v>
      </c>
      <c r="G1505">
        <f t="shared" si="23"/>
        <v>539.91</v>
      </c>
      <c r="H1505" t="str">
        <f>VLOOKUP(C1505,[1]products!$A:$B,2,FALSE)</f>
        <v>Electra Cruiser 1 (24-Inch) - 2016</v>
      </c>
      <c r="I1505">
        <f>VLOOKUP(C1505,[1]products!$A:$D,4,FALSE)</f>
        <v>1</v>
      </c>
      <c r="J1505" t="str">
        <f>VLOOKUP(I1505,[2]categories!$A$1:$B$8,2,FALSE)</f>
        <v>Children Bicycles</v>
      </c>
    </row>
    <row r="1506" customHeight="1" spans="1:10">
      <c r="A1506" s="1">
        <v>540</v>
      </c>
      <c r="B1506" s="1">
        <v>1</v>
      </c>
      <c r="C1506" s="1">
        <v>19</v>
      </c>
      <c r="D1506" s="1">
        <v>1</v>
      </c>
      <c r="E1506" s="1">
        <v>449</v>
      </c>
      <c r="F1506" s="1">
        <v>0.1</v>
      </c>
      <c r="G1506">
        <f t="shared" si="23"/>
        <v>448.9</v>
      </c>
      <c r="H1506" t="str">
        <f>VLOOKUP(C1506,[1]products!$A:$B,2,FALSE)</f>
        <v>Pure Cycles William 3-Speed - 2016</v>
      </c>
      <c r="I1506">
        <f>VLOOKUP(C1506,[1]products!$A:$D,4,FALSE)</f>
        <v>3</v>
      </c>
      <c r="J1506" t="str">
        <f>VLOOKUP(I1506,[2]categories!$A$1:$B$8,2,FALSE)</f>
        <v>Cruisers Bicycles</v>
      </c>
    </row>
    <row r="1507" customHeight="1" spans="1:10">
      <c r="A1507" s="1">
        <v>540</v>
      </c>
      <c r="B1507" s="1">
        <v>2</v>
      </c>
      <c r="C1507" s="1">
        <v>26</v>
      </c>
      <c r="D1507" s="1">
        <v>2</v>
      </c>
      <c r="E1507" s="1">
        <v>599.99</v>
      </c>
      <c r="F1507" s="1">
        <v>0.1</v>
      </c>
      <c r="G1507">
        <f t="shared" si="23"/>
        <v>1199.88</v>
      </c>
      <c r="H1507" t="str">
        <f>VLOOKUP(C1507,[1]products!$A:$B,2,FALSE)</f>
        <v>Electra Townie Original 7D EQ - 2016</v>
      </c>
      <c r="I1507">
        <f>VLOOKUP(C1507,[1]products!$A:$D,4,FALSE)</f>
        <v>2</v>
      </c>
      <c r="J1507" t="str">
        <f>VLOOKUP(I1507,[2]categories!$A$1:$B$8,2,FALSE)</f>
        <v>Comfort Bicycles</v>
      </c>
    </row>
    <row r="1508" customHeight="1" spans="1:10">
      <c r="A1508" s="1">
        <v>540</v>
      </c>
      <c r="B1508" s="1">
        <v>3</v>
      </c>
      <c r="C1508" s="1">
        <v>23</v>
      </c>
      <c r="D1508" s="1">
        <v>2</v>
      </c>
      <c r="E1508" s="1">
        <v>299.99</v>
      </c>
      <c r="F1508" s="1">
        <v>0.07</v>
      </c>
      <c r="G1508">
        <f t="shared" si="23"/>
        <v>599.91</v>
      </c>
      <c r="H1508" t="str">
        <f>VLOOKUP(C1508,[1]products!$A:$B,2,FALSE)</f>
        <v>Electra Girl's Hawaii 1 (20-inch) - 2015/2016</v>
      </c>
      <c r="I1508">
        <f>VLOOKUP(C1508,[1]products!$A:$D,4,FALSE)</f>
        <v>1</v>
      </c>
      <c r="J1508" t="str">
        <f>VLOOKUP(I1508,[2]categories!$A$1:$B$8,2,FALSE)</f>
        <v>Children Bicycles</v>
      </c>
    </row>
    <row r="1509" customHeight="1" spans="1:10">
      <c r="A1509" s="1">
        <v>541</v>
      </c>
      <c r="B1509" s="1">
        <v>1</v>
      </c>
      <c r="C1509" s="1">
        <v>22</v>
      </c>
      <c r="D1509" s="1">
        <v>2</v>
      </c>
      <c r="E1509" s="1">
        <v>269.99</v>
      </c>
      <c r="F1509" s="1">
        <v>0.05</v>
      </c>
      <c r="G1509">
        <f t="shared" si="23"/>
        <v>539.93</v>
      </c>
      <c r="H1509" t="str">
        <f>VLOOKUP(C1509,[1]products!$A:$B,2,FALSE)</f>
        <v>Electra Girl's Hawaii 1 (16-inch) - 2015/2016</v>
      </c>
      <c r="I1509">
        <f>VLOOKUP(C1509,[1]products!$A:$D,4,FALSE)</f>
        <v>1</v>
      </c>
      <c r="J1509" t="str">
        <f>VLOOKUP(I1509,[2]categories!$A$1:$B$8,2,FALSE)</f>
        <v>Children Bicycles</v>
      </c>
    </row>
    <row r="1510" customHeight="1" spans="1:10">
      <c r="A1510" s="1">
        <v>542</v>
      </c>
      <c r="B1510" s="1">
        <v>1</v>
      </c>
      <c r="C1510" s="1">
        <v>16</v>
      </c>
      <c r="D1510" s="1">
        <v>2</v>
      </c>
      <c r="E1510" s="1">
        <v>599.99</v>
      </c>
      <c r="F1510" s="1">
        <v>0.2</v>
      </c>
      <c r="G1510">
        <f t="shared" si="23"/>
        <v>1199.78</v>
      </c>
      <c r="H1510" t="str">
        <f>VLOOKUP(C1510,[1]products!$A:$B,2,FALSE)</f>
        <v>Electra Townie Original 7D EQ - 2016</v>
      </c>
      <c r="I1510">
        <f>VLOOKUP(C1510,[1]products!$A:$D,4,FALSE)</f>
        <v>3</v>
      </c>
      <c r="J1510" t="str">
        <f>VLOOKUP(I1510,[2]categories!$A$1:$B$8,2,FALSE)</f>
        <v>Cruisers Bicycles</v>
      </c>
    </row>
    <row r="1511" customHeight="1" spans="1:10">
      <c r="A1511" s="1">
        <v>542</v>
      </c>
      <c r="B1511" s="1">
        <v>2</v>
      </c>
      <c r="C1511" s="1">
        <v>9</v>
      </c>
      <c r="D1511" s="1">
        <v>1</v>
      </c>
      <c r="E1511" s="1">
        <v>2999.99</v>
      </c>
      <c r="F1511" s="1">
        <v>0.1</v>
      </c>
      <c r="G1511">
        <f t="shared" si="23"/>
        <v>2999.89</v>
      </c>
      <c r="H1511" t="str">
        <f>VLOOKUP(C1511,[1]products!$A:$B,2,FALSE)</f>
        <v>Trek Conduit+ - 2016</v>
      </c>
      <c r="I1511">
        <f>VLOOKUP(C1511,[1]products!$A:$D,4,FALSE)</f>
        <v>5</v>
      </c>
      <c r="J1511" t="str">
        <f>VLOOKUP(I1511,[2]categories!$A$1:$B$8,2,FALSE)</f>
        <v>Electric Bikes</v>
      </c>
    </row>
    <row r="1512" customHeight="1" spans="1:10">
      <c r="A1512" s="1">
        <v>542</v>
      </c>
      <c r="B1512" s="1">
        <v>3</v>
      </c>
      <c r="C1512" s="1">
        <v>20</v>
      </c>
      <c r="D1512" s="1">
        <v>1</v>
      </c>
      <c r="E1512" s="1">
        <v>599.99</v>
      </c>
      <c r="F1512" s="1">
        <v>0.1</v>
      </c>
      <c r="G1512">
        <f t="shared" si="23"/>
        <v>599.89</v>
      </c>
      <c r="H1512" t="str">
        <f>VLOOKUP(C1512,[1]products!$A:$B,2,FALSE)</f>
        <v>Electra Townie Original 7D EQ - Women's - 2016</v>
      </c>
      <c r="I1512">
        <f>VLOOKUP(C1512,[1]products!$A:$D,4,FALSE)</f>
        <v>3</v>
      </c>
      <c r="J1512" t="str">
        <f>VLOOKUP(I1512,[2]categories!$A$1:$B$8,2,FALSE)</f>
        <v>Cruisers Bicycles</v>
      </c>
    </row>
    <row r="1513" customHeight="1" spans="1:10">
      <c r="A1513" s="1">
        <v>542</v>
      </c>
      <c r="B1513" s="1">
        <v>4</v>
      </c>
      <c r="C1513" s="1">
        <v>19</v>
      </c>
      <c r="D1513" s="1">
        <v>2</v>
      </c>
      <c r="E1513" s="1">
        <v>449</v>
      </c>
      <c r="F1513" s="1">
        <v>0.2</v>
      </c>
      <c r="G1513">
        <f t="shared" si="23"/>
        <v>897.8</v>
      </c>
      <c r="H1513" t="str">
        <f>VLOOKUP(C1513,[1]products!$A:$B,2,FALSE)</f>
        <v>Pure Cycles William 3-Speed - 2016</v>
      </c>
      <c r="I1513">
        <f>VLOOKUP(C1513,[1]products!$A:$D,4,FALSE)</f>
        <v>3</v>
      </c>
      <c r="J1513" t="str">
        <f>VLOOKUP(I1513,[2]categories!$A$1:$B$8,2,FALSE)</f>
        <v>Cruisers Bicycles</v>
      </c>
    </row>
    <row r="1514" customHeight="1" spans="1:10">
      <c r="A1514" s="1">
        <v>543</v>
      </c>
      <c r="B1514" s="1">
        <v>1</v>
      </c>
      <c r="C1514" s="1">
        <v>25</v>
      </c>
      <c r="D1514" s="1">
        <v>1</v>
      </c>
      <c r="E1514" s="1">
        <v>499.99</v>
      </c>
      <c r="F1514" s="1">
        <v>0.2</v>
      </c>
      <c r="G1514">
        <f t="shared" si="23"/>
        <v>499.79</v>
      </c>
      <c r="H1514" t="str">
        <f>VLOOKUP(C1514,[1]products!$A:$B,2,FALSE)</f>
        <v>Electra Townie Original 7D - 2015/2016</v>
      </c>
      <c r="I1514">
        <f>VLOOKUP(C1514,[1]products!$A:$D,4,FALSE)</f>
        <v>2</v>
      </c>
      <c r="J1514" t="str">
        <f>VLOOKUP(I1514,[2]categories!$A$1:$B$8,2,FALSE)</f>
        <v>Comfort Bicycles</v>
      </c>
    </row>
    <row r="1515" customHeight="1" spans="1:10">
      <c r="A1515" s="1">
        <v>543</v>
      </c>
      <c r="B1515" s="1">
        <v>2</v>
      </c>
      <c r="C1515" s="1">
        <v>18</v>
      </c>
      <c r="D1515" s="1">
        <v>1</v>
      </c>
      <c r="E1515" s="1">
        <v>449</v>
      </c>
      <c r="F1515" s="1">
        <v>0.2</v>
      </c>
      <c r="G1515">
        <f t="shared" si="23"/>
        <v>448.8</v>
      </c>
      <c r="H1515" t="str">
        <f>VLOOKUP(C1515,[1]products!$A:$B,2,FALSE)</f>
        <v>Pure Cycles Western 3-Speed - Women's - 2015/2016</v>
      </c>
      <c r="I1515">
        <f>VLOOKUP(C1515,[1]products!$A:$D,4,FALSE)</f>
        <v>3</v>
      </c>
      <c r="J1515" t="str">
        <f>VLOOKUP(I1515,[2]categories!$A$1:$B$8,2,FALSE)</f>
        <v>Cruisers Bicycles</v>
      </c>
    </row>
    <row r="1516" customHeight="1" spans="1:10">
      <c r="A1516" s="1">
        <v>543</v>
      </c>
      <c r="B1516" s="1">
        <v>3</v>
      </c>
      <c r="C1516" s="1">
        <v>26</v>
      </c>
      <c r="D1516" s="1">
        <v>2</v>
      </c>
      <c r="E1516" s="1">
        <v>599.99</v>
      </c>
      <c r="F1516" s="1">
        <v>0.05</v>
      </c>
      <c r="G1516">
        <f t="shared" si="23"/>
        <v>1199.93</v>
      </c>
      <c r="H1516" t="str">
        <f>VLOOKUP(C1516,[1]products!$A:$B,2,FALSE)</f>
        <v>Electra Townie Original 7D EQ - 2016</v>
      </c>
      <c r="I1516">
        <f>VLOOKUP(C1516,[1]products!$A:$D,4,FALSE)</f>
        <v>2</v>
      </c>
      <c r="J1516" t="str">
        <f>VLOOKUP(I1516,[2]categories!$A$1:$B$8,2,FALSE)</f>
        <v>Comfort Bicycles</v>
      </c>
    </row>
    <row r="1517" customHeight="1" spans="1:10">
      <c r="A1517" s="1">
        <v>544</v>
      </c>
      <c r="B1517" s="1">
        <v>1</v>
      </c>
      <c r="C1517" s="1">
        <v>12</v>
      </c>
      <c r="D1517" s="1">
        <v>1</v>
      </c>
      <c r="E1517" s="1">
        <v>549.99</v>
      </c>
      <c r="F1517" s="1">
        <v>0.05</v>
      </c>
      <c r="G1517">
        <f t="shared" si="23"/>
        <v>549.94</v>
      </c>
      <c r="H1517" t="str">
        <f>VLOOKUP(C1517,[1]products!$A:$B,2,FALSE)</f>
        <v>Electra Townie Original 21D - 2016</v>
      </c>
      <c r="I1517">
        <f>VLOOKUP(C1517,[1]products!$A:$D,4,FALSE)</f>
        <v>3</v>
      </c>
      <c r="J1517" t="str">
        <f>VLOOKUP(I1517,[2]categories!$A$1:$B$8,2,FALSE)</f>
        <v>Cruisers Bicycles</v>
      </c>
    </row>
    <row r="1518" customHeight="1" spans="1:10">
      <c r="A1518" s="1">
        <v>544</v>
      </c>
      <c r="B1518" s="1">
        <v>2</v>
      </c>
      <c r="C1518" s="1">
        <v>17</v>
      </c>
      <c r="D1518" s="1">
        <v>1</v>
      </c>
      <c r="E1518" s="1">
        <v>429</v>
      </c>
      <c r="F1518" s="1">
        <v>0.1</v>
      </c>
      <c r="G1518">
        <f t="shared" si="23"/>
        <v>428.9</v>
      </c>
      <c r="H1518" t="str">
        <f>VLOOKUP(C1518,[1]products!$A:$B,2,FALSE)</f>
        <v>Pure Cycles Vine 8-Speed - 2016</v>
      </c>
      <c r="I1518">
        <f>VLOOKUP(C1518,[1]products!$A:$D,4,FALSE)</f>
        <v>3</v>
      </c>
      <c r="J1518" t="str">
        <f>VLOOKUP(I1518,[2]categories!$A$1:$B$8,2,FALSE)</f>
        <v>Cruisers Bicycles</v>
      </c>
    </row>
    <row r="1519" customHeight="1" spans="1:10">
      <c r="A1519" s="1">
        <v>544</v>
      </c>
      <c r="B1519" s="1">
        <v>3</v>
      </c>
      <c r="C1519" s="1">
        <v>21</v>
      </c>
      <c r="D1519" s="1">
        <v>1</v>
      </c>
      <c r="E1519" s="1">
        <v>269.99</v>
      </c>
      <c r="F1519" s="1">
        <v>0.05</v>
      </c>
      <c r="G1519">
        <f t="shared" si="23"/>
        <v>269.94</v>
      </c>
      <c r="H1519" t="str">
        <f>VLOOKUP(C1519,[1]products!$A:$B,2,FALSE)</f>
        <v>Electra Cruiser 1 (24-Inch) - 2016</v>
      </c>
      <c r="I1519">
        <f>VLOOKUP(C1519,[1]products!$A:$D,4,FALSE)</f>
        <v>1</v>
      </c>
      <c r="J1519" t="str">
        <f>VLOOKUP(I1519,[2]categories!$A$1:$B$8,2,FALSE)</f>
        <v>Children Bicycles</v>
      </c>
    </row>
    <row r="1520" customHeight="1" spans="1:10">
      <c r="A1520" s="1">
        <v>545</v>
      </c>
      <c r="B1520" s="1">
        <v>1</v>
      </c>
      <c r="C1520" s="1">
        <v>25</v>
      </c>
      <c r="D1520" s="1">
        <v>2</v>
      </c>
      <c r="E1520" s="1">
        <v>499.99</v>
      </c>
      <c r="F1520" s="1">
        <v>0.2</v>
      </c>
      <c r="G1520">
        <f t="shared" si="23"/>
        <v>999.78</v>
      </c>
      <c r="H1520" t="str">
        <f>VLOOKUP(C1520,[1]products!$A:$B,2,FALSE)</f>
        <v>Electra Townie Original 7D - 2015/2016</v>
      </c>
      <c r="I1520">
        <f>VLOOKUP(C1520,[1]products!$A:$D,4,FALSE)</f>
        <v>2</v>
      </c>
      <c r="J1520" t="str">
        <f>VLOOKUP(I1520,[2]categories!$A$1:$B$8,2,FALSE)</f>
        <v>Comfort Bicycles</v>
      </c>
    </row>
    <row r="1521" customHeight="1" spans="1:10">
      <c r="A1521" s="1">
        <v>545</v>
      </c>
      <c r="B1521" s="1">
        <v>2</v>
      </c>
      <c r="C1521" s="1">
        <v>6</v>
      </c>
      <c r="D1521" s="1">
        <v>1</v>
      </c>
      <c r="E1521" s="1">
        <v>469.99</v>
      </c>
      <c r="F1521" s="1">
        <v>0.07</v>
      </c>
      <c r="G1521">
        <f t="shared" si="23"/>
        <v>469.92</v>
      </c>
      <c r="H1521" t="str">
        <f>VLOOKUP(C1521,[1]products!$A:$B,2,FALSE)</f>
        <v>Surly Ice Cream Truck Frameset - 2016</v>
      </c>
      <c r="I1521">
        <f>VLOOKUP(C1521,[1]products!$A:$D,4,FALSE)</f>
        <v>6</v>
      </c>
      <c r="J1521" t="str">
        <f>VLOOKUP(I1521,[2]categories!$A$1:$B$8,2,FALSE)</f>
        <v>Mountain Bikes</v>
      </c>
    </row>
    <row r="1522" customHeight="1" spans="1:10">
      <c r="A1522" s="1">
        <v>545</v>
      </c>
      <c r="B1522" s="1">
        <v>3</v>
      </c>
      <c r="C1522" s="1">
        <v>24</v>
      </c>
      <c r="D1522" s="1">
        <v>1</v>
      </c>
      <c r="E1522" s="1">
        <v>549.99</v>
      </c>
      <c r="F1522" s="1">
        <v>0.2</v>
      </c>
      <c r="G1522">
        <f t="shared" si="23"/>
        <v>549.79</v>
      </c>
      <c r="H1522" t="str">
        <f>VLOOKUP(C1522,[1]products!$A:$B,2,FALSE)</f>
        <v>Electra Townie Original 21D - 2016</v>
      </c>
      <c r="I1522">
        <f>VLOOKUP(C1522,[1]products!$A:$D,4,FALSE)</f>
        <v>2</v>
      </c>
      <c r="J1522" t="str">
        <f>VLOOKUP(I1522,[2]categories!$A$1:$B$8,2,FALSE)</f>
        <v>Comfort Bicycles</v>
      </c>
    </row>
    <row r="1523" customHeight="1" spans="1:10">
      <c r="A1523" s="1">
        <v>545</v>
      </c>
      <c r="B1523" s="1">
        <v>4</v>
      </c>
      <c r="C1523" s="1">
        <v>20</v>
      </c>
      <c r="D1523" s="1">
        <v>2</v>
      </c>
      <c r="E1523" s="1">
        <v>599.99</v>
      </c>
      <c r="F1523" s="1">
        <v>0.07</v>
      </c>
      <c r="G1523">
        <f t="shared" si="23"/>
        <v>1199.91</v>
      </c>
      <c r="H1523" t="str">
        <f>VLOOKUP(C1523,[1]products!$A:$B,2,FALSE)</f>
        <v>Electra Townie Original 7D EQ - Women's - 2016</v>
      </c>
      <c r="I1523">
        <f>VLOOKUP(C1523,[1]products!$A:$D,4,FALSE)</f>
        <v>3</v>
      </c>
      <c r="J1523" t="str">
        <f>VLOOKUP(I1523,[2]categories!$A$1:$B$8,2,FALSE)</f>
        <v>Cruisers Bicycles</v>
      </c>
    </row>
    <row r="1524" customHeight="1" spans="1:10">
      <c r="A1524" s="1">
        <v>546</v>
      </c>
      <c r="B1524" s="1">
        <v>1</v>
      </c>
      <c r="C1524" s="1">
        <v>17</v>
      </c>
      <c r="D1524" s="1">
        <v>2</v>
      </c>
      <c r="E1524" s="1">
        <v>429</v>
      </c>
      <c r="F1524" s="1">
        <v>0.05</v>
      </c>
      <c r="G1524">
        <f t="shared" si="23"/>
        <v>857.95</v>
      </c>
      <c r="H1524" t="str">
        <f>VLOOKUP(C1524,[1]products!$A:$B,2,FALSE)</f>
        <v>Pure Cycles Vine 8-Speed - 2016</v>
      </c>
      <c r="I1524">
        <f>VLOOKUP(C1524,[1]products!$A:$D,4,FALSE)</f>
        <v>3</v>
      </c>
      <c r="J1524" t="str">
        <f>VLOOKUP(I1524,[2]categories!$A$1:$B$8,2,FALSE)</f>
        <v>Cruisers Bicycles</v>
      </c>
    </row>
    <row r="1525" customHeight="1" spans="1:10">
      <c r="A1525" s="1">
        <v>546</v>
      </c>
      <c r="B1525" s="1">
        <v>2</v>
      </c>
      <c r="C1525" s="1">
        <v>8</v>
      </c>
      <c r="D1525" s="1">
        <v>1</v>
      </c>
      <c r="E1525" s="1">
        <v>1799.99</v>
      </c>
      <c r="F1525" s="1">
        <v>0.1</v>
      </c>
      <c r="G1525">
        <f t="shared" si="23"/>
        <v>1799.89</v>
      </c>
      <c r="H1525" t="str">
        <f>VLOOKUP(C1525,[1]products!$A:$B,2,FALSE)</f>
        <v>Trek Remedy 29 Carbon Frameset - 2016</v>
      </c>
      <c r="I1525">
        <f>VLOOKUP(C1525,[1]products!$A:$D,4,FALSE)</f>
        <v>6</v>
      </c>
      <c r="J1525" t="str">
        <f>VLOOKUP(I1525,[2]categories!$A$1:$B$8,2,FALSE)</f>
        <v>Mountain Bikes</v>
      </c>
    </row>
    <row r="1526" customHeight="1" spans="1:10">
      <c r="A1526" s="1">
        <v>546</v>
      </c>
      <c r="B1526" s="1">
        <v>3</v>
      </c>
      <c r="C1526" s="1">
        <v>18</v>
      </c>
      <c r="D1526" s="1">
        <v>2</v>
      </c>
      <c r="E1526" s="1">
        <v>449</v>
      </c>
      <c r="F1526" s="1">
        <v>0.07</v>
      </c>
      <c r="G1526">
        <f t="shared" si="23"/>
        <v>897.93</v>
      </c>
      <c r="H1526" t="str">
        <f>VLOOKUP(C1526,[1]products!$A:$B,2,FALSE)</f>
        <v>Pure Cycles Western 3-Speed - Women's - 2015/2016</v>
      </c>
      <c r="I1526">
        <f>VLOOKUP(C1526,[1]products!$A:$D,4,FALSE)</f>
        <v>3</v>
      </c>
      <c r="J1526" t="str">
        <f>VLOOKUP(I1526,[2]categories!$A$1:$B$8,2,FALSE)</f>
        <v>Cruisers Bicycles</v>
      </c>
    </row>
    <row r="1527" customHeight="1" spans="1:10">
      <c r="A1527" s="1">
        <v>547</v>
      </c>
      <c r="B1527" s="1">
        <v>1</v>
      </c>
      <c r="C1527" s="1">
        <v>11</v>
      </c>
      <c r="D1527" s="1">
        <v>2</v>
      </c>
      <c r="E1527" s="1">
        <v>1680.99</v>
      </c>
      <c r="F1527" s="1">
        <v>0.05</v>
      </c>
      <c r="G1527">
        <f t="shared" si="23"/>
        <v>3361.93</v>
      </c>
      <c r="H1527" t="str">
        <f>VLOOKUP(C1527,[1]products!$A:$B,2,FALSE)</f>
        <v>Surly Straggler 650b - 2016</v>
      </c>
      <c r="I1527">
        <f>VLOOKUP(C1527,[1]products!$A:$D,4,FALSE)</f>
        <v>4</v>
      </c>
      <c r="J1527" t="str">
        <f>VLOOKUP(I1527,[2]categories!$A$1:$B$8,2,FALSE)</f>
        <v>Cyclocross Bicycles</v>
      </c>
    </row>
    <row r="1528" customHeight="1" spans="1:10">
      <c r="A1528" s="1">
        <v>547</v>
      </c>
      <c r="B1528" s="1">
        <v>2</v>
      </c>
      <c r="C1528" s="1">
        <v>9</v>
      </c>
      <c r="D1528" s="1">
        <v>1</v>
      </c>
      <c r="E1528" s="1">
        <v>2999.99</v>
      </c>
      <c r="F1528" s="1">
        <v>0.2</v>
      </c>
      <c r="G1528">
        <f t="shared" si="23"/>
        <v>2999.79</v>
      </c>
      <c r="H1528" t="str">
        <f>VLOOKUP(C1528,[1]products!$A:$B,2,FALSE)</f>
        <v>Trek Conduit+ - 2016</v>
      </c>
      <c r="I1528">
        <f>VLOOKUP(C1528,[1]products!$A:$D,4,FALSE)</f>
        <v>5</v>
      </c>
      <c r="J1528" t="str">
        <f>VLOOKUP(I1528,[2]categories!$A$1:$B$8,2,FALSE)</f>
        <v>Electric Bikes</v>
      </c>
    </row>
    <row r="1529" customHeight="1" spans="1:10">
      <c r="A1529" s="1">
        <v>547</v>
      </c>
      <c r="B1529" s="1">
        <v>3</v>
      </c>
      <c r="C1529" s="1">
        <v>5</v>
      </c>
      <c r="D1529" s="1">
        <v>1</v>
      </c>
      <c r="E1529" s="1">
        <v>1320.99</v>
      </c>
      <c r="F1529" s="1">
        <v>0.1</v>
      </c>
      <c r="G1529">
        <f t="shared" si="23"/>
        <v>1320.89</v>
      </c>
      <c r="H1529" t="str">
        <f>VLOOKUP(C1529,[1]products!$A:$B,2,FALSE)</f>
        <v>Heller Shagamaw Frame - 2016</v>
      </c>
      <c r="I1529">
        <f>VLOOKUP(C1529,[1]products!$A:$D,4,FALSE)</f>
        <v>6</v>
      </c>
      <c r="J1529" t="str">
        <f>VLOOKUP(I1529,[2]categories!$A$1:$B$8,2,FALSE)</f>
        <v>Mountain Bikes</v>
      </c>
    </row>
    <row r="1530" customHeight="1" spans="1:10">
      <c r="A1530" s="1">
        <v>548</v>
      </c>
      <c r="B1530" s="1">
        <v>1</v>
      </c>
      <c r="C1530" s="1">
        <v>8</v>
      </c>
      <c r="D1530" s="1">
        <v>1</v>
      </c>
      <c r="E1530" s="1">
        <v>1799.99</v>
      </c>
      <c r="F1530" s="1">
        <v>0.1</v>
      </c>
      <c r="G1530">
        <f t="shared" si="23"/>
        <v>1799.89</v>
      </c>
      <c r="H1530" t="str">
        <f>VLOOKUP(C1530,[1]products!$A:$B,2,FALSE)</f>
        <v>Trek Remedy 29 Carbon Frameset - 2016</v>
      </c>
      <c r="I1530">
        <f>VLOOKUP(C1530,[1]products!$A:$D,4,FALSE)</f>
        <v>6</v>
      </c>
      <c r="J1530" t="str">
        <f>VLOOKUP(I1530,[2]categories!$A$1:$B$8,2,FALSE)</f>
        <v>Mountain Bikes</v>
      </c>
    </row>
    <row r="1531" customHeight="1" spans="1:10">
      <c r="A1531" s="1">
        <v>548</v>
      </c>
      <c r="B1531" s="1">
        <v>2</v>
      </c>
      <c r="C1531" s="1">
        <v>11</v>
      </c>
      <c r="D1531" s="1">
        <v>2</v>
      </c>
      <c r="E1531" s="1">
        <v>1680.99</v>
      </c>
      <c r="F1531" s="1">
        <v>0.07</v>
      </c>
      <c r="G1531">
        <f t="shared" si="23"/>
        <v>3361.91</v>
      </c>
      <c r="H1531" t="str">
        <f>VLOOKUP(C1531,[1]products!$A:$B,2,FALSE)</f>
        <v>Surly Straggler 650b - 2016</v>
      </c>
      <c r="I1531">
        <f>VLOOKUP(C1531,[1]products!$A:$D,4,FALSE)</f>
        <v>4</v>
      </c>
      <c r="J1531" t="str">
        <f>VLOOKUP(I1531,[2]categories!$A$1:$B$8,2,FALSE)</f>
        <v>Cyclocross Bicycles</v>
      </c>
    </row>
    <row r="1532" customHeight="1" spans="1:10">
      <c r="A1532" s="1">
        <v>549</v>
      </c>
      <c r="B1532" s="1">
        <v>1</v>
      </c>
      <c r="C1532" s="1">
        <v>15</v>
      </c>
      <c r="D1532" s="1">
        <v>1</v>
      </c>
      <c r="E1532" s="1">
        <v>529.99</v>
      </c>
      <c r="F1532" s="1">
        <v>0.07</v>
      </c>
      <c r="G1532">
        <f t="shared" si="23"/>
        <v>529.92</v>
      </c>
      <c r="H1532" t="str">
        <f>VLOOKUP(C1532,[1]products!$A:$B,2,FALSE)</f>
        <v>Electra Moto 1 - 2016</v>
      </c>
      <c r="I1532">
        <f>VLOOKUP(C1532,[1]products!$A:$D,4,FALSE)</f>
        <v>3</v>
      </c>
      <c r="J1532" t="str">
        <f>VLOOKUP(I1532,[2]categories!$A$1:$B$8,2,FALSE)</f>
        <v>Cruisers Bicycles</v>
      </c>
    </row>
    <row r="1533" customHeight="1" spans="1:10">
      <c r="A1533" s="1">
        <v>549</v>
      </c>
      <c r="B1533" s="1">
        <v>2</v>
      </c>
      <c r="C1533" s="1">
        <v>16</v>
      </c>
      <c r="D1533" s="1">
        <v>1</v>
      </c>
      <c r="E1533" s="1">
        <v>599.99</v>
      </c>
      <c r="F1533" s="1">
        <v>0.05</v>
      </c>
      <c r="G1533">
        <f t="shared" si="23"/>
        <v>599.94</v>
      </c>
      <c r="H1533" t="str">
        <f>VLOOKUP(C1533,[1]products!$A:$B,2,FALSE)</f>
        <v>Electra Townie Original 7D EQ - 2016</v>
      </c>
      <c r="I1533">
        <f>VLOOKUP(C1533,[1]products!$A:$D,4,FALSE)</f>
        <v>3</v>
      </c>
      <c r="J1533" t="str">
        <f>VLOOKUP(I1533,[2]categories!$A$1:$B$8,2,FALSE)</f>
        <v>Cruisers Bicycles</v>
      </c>
    </row>
    <row r="1534" customHeight="1" spans="1:10">
      <c r="A1534" s="1">
        <v>549</v>
      </c>
      <c r="B1534" s="1">
        <v>3</v>
      </c>
      <c r="C1534" s="1">
        <v>3</v>
      </c>
      <c r="D1534" s="1">
        <v>1</v>
      </c>
      <c r="E1534" s="1">
        <v>999.99</v>
      </c>
      <c r="F1534" s="1">
        <v>0.07</v>
      </c>
      <c r="G1534">
        <f t="shared" si="23"/>
        <v>999.92</v>
      </c>
      <c r="H1534" t="str">
        <f>VLOOKUP(C1534,[1]products!$A:$B,2,FALSE)</f>
        <v>Surly Wednesday Frameset - 2016</v>
      </c>
      <c r="I1534">
        <f>VLOOKUP(C1534,[1]products!$A:$D,4,FALSE)</f>
        <v>6</v>
      </c>
      <c r="J1534" t="str">
        <f>VLOOKUP(I1534,[2]categories!$A$1:$B$8,2,FALSE)</f>
        <v>Mountain Bikes</v>
      </c>
    </row>
    <row r="1535" customHeight="1" spans="1:10">
      <c r="A1535" s="1">
        <v>549</v>
      </c>
      <c r="B1535" s="1">
        <v>4</v>
      </c>
      <c r="C1535" s="1">
        <v>7</v>
      </c>
      <c r="D1535" s="1">
        <v>1</v>
      </c>
      <c r="E1535" s="1">
        <v>3999.99</v>
      </c>
      <c r="F1535" s="1">
        <v>0.05</v>
      </c>
      <c r="G1535">
        <f t="shared" si="23"/>
        <v>3999.94</v>
      </c>
      <c r="H1535" t="str">
        <f>VLOOKUP(C1535,[1]products!$A:$B,2,FALSE)</f>
        <v>Trek Slash 8 27.5 - 2016</v>
      </c>
      <c r="I1535">
        <f>VLOOKUP(C1535,[1]products!$A:$D,4,FALSE)</f>
        <v>6</v>
      </c>
      <c r="J1535" t="str">
        <f>VLOOKUP(I1535,[2]categories!$A$1:$B$8,2,FALSE)</f>
        <v>Mountain Bikes</v>
      </c>
    </row>
    <row r="1536" customHeight="1" spans="1:10">
      <c r="A1536" s="1">
        <v>549</v>
      </c>
      <c r="B1536" s="1">
        <v>5</v>
      </c>
      <c r="C1536" s="1">
        <v>13</v>
      </c>
      <c r="D1536" s="1">
        <v>2</v>
      </c>
      <c r="E1536" s="1">
        <v>269.99</v>
      </c>
      <c r="F1536" s="1">
        <v>0.1</v>
      </c>
      <c r="G1536">
        <f t="shared" si="23"/>
        <v>539.88</v>
      </c>
      <c r="H1536" t="str">
        <f>VLOOKUP(C1536,[1]products!$A:$B,2,FALSE)</f>
        <v>Electra Cruiser 1 (24-Inch) - 2016</v>
      </c>
      <c r="I1536">
        <f>VLOOKUP(C1536,[1]products!$A:$D,4,FALSE)</f>
        <v>3</v>
      </c>
      <c r="J1536" t="str">
        <f>VLOOKUP(I1536,[2]categories!$A$1:$B$8,2,FALSE)</f>
        <v>Cruisers Bicycles</v>
      </c>
    </row>
    <row r="1537" customHeight="1" spans="1:10">
      <c r="A1537" s="1">
        <v>550</v>
      </c>
      <c r="B1537" s="1">
        <v>1</v>
      </c>
      <c r="C1537" s="1">
        <v>4</v>
      </c>
      <c r="D1537" s="1">
        <v>1</v>
      </c>
      <c r="E1537" s="1">
        <v>2899.99</v>
      </c>
      <c r="F1537" s="1">
        <v>0.05</v>
      </c>
      <c r="G1537">
        <f t="shared" si="23"/>
        <v>2899.94</v>
      </c>
      <c r="H1537" t="str">
        <f>VLOOKUP(C1537,[1]products!$A:$B,2,FALSE)</f>
        <v>Trek Fuel EX 8 29 - 2016</v>
      </c>
      <c r="I1537">
        <f>VLOOKUP(C1537,[1]products!$A:$D,4,FALSE)</f>
        <v>6</v>
      </c>
      <c r="J1537" t="str">
        <f>VLOOKUP(I1537,[2]categories!$A$1:$B$8,2,FALSE)</f>
        <v>Mountain Bikes</v>
      </c>
    </row>
    <row r="1538" customHeight="1" spans="1:10">
      <c r="A1538" s="1">
        <v>551</v>
      </c>
      <c r="B1538" s="1">
        <v>1</v>
      </c>
      <c r="C1538" s="1">
        <v>16</v>
      </c>
      <c r="D1538" s="1">
        <v>1</v>
      </c>
      <c r="E1538" s="1">
        <v>599.99</v>
      </c>
      <c r="F1538" s="1">
        <v>0.05</v>
      </c>
      <c r="G1538">
        <f t="shared" si="23"/>
        <v>599.94</v>
      </c>
      <c r="H1538" t="str">
        <f>VLOOKUP(C1538,[1]products!$A:$B,2,FALSE)</f>
        <v>Electra Townie Original 7D EQ - 2016</v>
      </c>
      <c r="I1538">
        <f>VLOOKUP(C1538,[1]products!$A:$D,4,FALSE)</f>
        <v>3</v>
      </c>
      <c r="J1538" t="str">
        <f>VLOOKUP(I1538,[2]categories!$A$1:$B$8,2,FALSE)</f>
        <v>Cruisers Bicycles</v>
      </c>
    </row>
    <row r="1539" customHeight="1" spans="1:10">
      <c r="A1539" s="1">
        <v>551</v>
      </c>
      <c r="B1539" s="1">
        <v>2</v>
      </c>
      <c r="C1539" s="1">
        <v>26</v>
      </c>
      <c r="D1539" s="1">
        <v>1</v>
      </c>
      <c r="E1539" s="1">
        <v>599.99</v>
      </c>
      <c r="F1539" s="1">
        <v>0.07</v>
      </c>
      <c r="G1539">
        <f t="shared" ref="G1539:G1602" si="24">(E1539*D1539)-F1539</f>
        <v>599.92</v>
      </c>
      <c r="H1539" t="str">
        <f>VLOOKUP(C1539,[1]products!$A:$B,2,FALSE)</f>
        <v>Electra Townie Original 7D EQ - 2016</v>
      </c>
      <c r="I1539">
        <f>VLOOKUP(C1539,[1]products!$A:$D,4,FALSE)</f>
        <v>2</v>
      </c>
      <c r="J1539" t="str">
        <f>VLOOKUP(I1539,[2]categories!$A$1:$B$8,2,FALSE)</f>
        <v>Comfort Bicycles</v>
      </c>
    </row>
    <row r="1540" customHeight="1" spans="1:10">
      <c r="A1540" s="1">
        <v>551</v>
      </c>
      <c r="B1540" s="1">
        <v>3</v>
      </c>
      <c r="C1540" s="1">
        <v>11</v>
      </c>
      <c r="D1540" s="1">
        <v>2</v>
      </c>
      <c r="E1540" s="1">
        <v>1680.99</v>
      </c>
      <c r="F1540" s="1">
        <v>0.2</v>
      </c>
      <c r="G1540">
        <f t="shared" si="24"/>
        <v>3361.78</v>
      </c>
      <c r="H1540" t="str">
        <f>VLOOKUP(C1540,[1]products!$A:$B,2,FALSE)</f>
        <v>Surly Straggler 650b - 2016</v>
      </c>
      <c r="I1540">
        <f>VLOOKUP(C1540,[1]products!$A:$D,4,FALSE)</f>
        <v>4</v>
      </c>
      <c r="J1540" t="str">
        <f>VLOOKUP(I1540,[2]categories!$A$1:$B$8,2,FALSE)</f>
        <v>Cyclocross Bicycles</v>
      </c>
    </row>
    <row r="1541" customHeight="1" spans="1:10">
      <c r="A1541" s="1">
        <v>551</v>
      </c>
      <c r="B1541" s="1">
        <v>4</v>
      </c>
      <c r="C1541" s="1">
        <v>15</v>
      </c>
      <c r="D1541" s="1">
        <v>2</v>
      </c>
      <c r="E1541" s="1">
        <v>529.99</v>
      </c>
      <c r="F1541" s="1">
        <v>0.2</v>
      </c>
      <c r="G1541">
        <f t="shared" si="24"/>
        <v>1059.78</v>
      </c>
      <c r="H1541" t="str">
        <f>VLOOKUP(C1541,[1]products!$A:$B,2,FALSE)</f>
        <v>Electra Moto 1 - 2016</v>
      </c>
      <c r="I1541">
        <f>VLOOKUP(C1541,[1]products!$A:$D,4,FALSE)</f>
        <v>3</v>
      </c>
      <c r="J1541" t="str">
        <f>VLOOKUP(I1541,[2]categories!$A$1:$B$8,2,FALSE)</f>
        <v>Cruisers Bicycles</v>
      </c>
    </row>
    <row r="1542" customHeight="1" spans="1:10">
      <c r="A1542" s="1">
        <v>552</v>
      </c>
      <c r="B1542" s="1">
        <v>1</v>
      </c>
      <c r="C1542" s="1">
        <v>23</v>
      </c>
      <c r="D1542" s="1">
        <v>1</v>
      </c>
      <c r="E1542" s="1">
        <v>299.99</v>
      </c>
      <c r="F1542" s="1">
        <v>0.2</v>
      </c>
      <c r="G1542">
        <f t="shared" si="24"/>
        <v>299.79</v>
      </c>
      <c r="H1542" t="str">
        <f>VLOOKUP(C1542,[1]products!$A:$B,2,FALSE)</f>
        <v>Electra Girl's Hawaii 1 (20-inch) - 2015/2016</v>
      </c>
      <c r="I1542">
        <f>VLOOKUP(C1542,[1]products!$A:$D,4,FALSE)</f>
        <v>1</v>
      </c>
      <c r="J1542" t="str">
        <f>VLOOKUP(I1542,[2]categories!$A$1:$B$8,2,FALSE)</f>
        <v>Children Bicycles</v>
      </c>
    </row>
    <row r="1543" customHeight="1" spans="1:10">
      <c r="A1543" s="1">
        <v>552</v>
      </c>
      <c r="B1543" s="1">
        <v>2</v>
      </c>
      <c r="C1543" s="1">
        <v>2</v>
      </c>
      <c r="D1543" s="1">
        <v>1</v>
      </c>
      <c r="E1543" s="1">
        <v>749.99</v>
      </c>
      <c r="F1543" s="1">
        <v>0.2</v>
      </c>
      <c r="G1543">
        <f t="shared" si="24"/>
        <v>749.79</v>
      </c>
      <c r="H1543" t="str">
        <f>VLOOKUP(C1543,[1]products!$A:$B,2,FALSE)</f>
        <v>Ritchey Timberwolf Frameset - 2016</v>
      </c>
      <c r="I1543">
        <f>VLOOKUP(C1543,[1]products!$A:$D,4,FALSE)</f>
        <v>6</v>
      </c>
      <c r="J1543" t="str">
        <f>VLOOKUP(I1543,[2]categories!$A$1:$B$8,2,FALSE)</f>
        <v>Mountain Bikes</v>
      </c>
    </row>
    <row r="1544" customHeight="1" spans="1:10">
      <c r="A1544" s="1">
        <v>552</v>
      </c>
      <c r="B1544" s="1">
        <v>3</v>
      </c>
      <c r="C1544" s="1">
        <v>24</v>
      </c>
      <c r="D1544" s="1">
        <v>1</v>
      </c>
      <c r="E1544" s="1">
        <v>549.99</v>
      </c>
      <c r="F1544" s="1">
        <v>0.2</v>
      </c>
      <c r="G1544">
        <f t="shared" si="24"/>
        <v>549.79</v>
      </c>
      <c r="H1544" t="str">
        <f>VLOOKUP(C1544,[1]products!$A:$B,2,FALSE)</f>
        <v>Electra Townie Original 21D - 2016</v>
      </c>
      <c r="I1544">
        <f>VLOOKUP(C1544,[1]products!$A:$D,4,FALSE)</f>
        <v>2</v>
      </c>
      <c r="J1544" t="str">
        <f>VLOOKUP(I1544,[2]categories!$A$1:$B$8,2,FALSE)</f>
        <v>Comfort Bicycles</v>
      </c>
    </row>
    <row r="1545" customHeight="1" spans="1:10">
      <c r="A1545" s="1">
        <v>552</v>
      </c>
      <c r="B1545" s="1">
        <v>4</v>
      </c>
      <c r="C1545" s="1">
        <v>18</v>
      </c>
      <c r="D1545" s="1">
        <v>1</v>
      </c>
      <c r="E1545" s="1">
        <v>449</v>
      </c>
      <c r="F1545" s="1">
        <v>0.1</v>
      </c>
      <c r="G1545">
        <f t="shared" si="24"/>
        <v>448.9</v>
      </c>
      <c r="H1545" t="str">
        <f>VLOOKUP(C1545,[1]products!$A:$B,2,FALSE)</f>
        <v>Pure Cycles Western 3-Speed - Women's - 2015/2016</v>
      </c>
      <c r="I1545">
        <f>VLOOKUP(C1545,[1]products!$A:$D,4,FALSE)</f>
        <v>3</v>
      </c>
      <c r="J1545" t="str">
        <f>VLOOKUP(I1545,[2]categories!$A$1:$B$8,2,FALSE)</f>
        <v>Cruisers Bicycles</v>
      </c>
    </row>
    <row r="1546" customHeight="1" spans="1:10">
      <c r="A1546" s="1">
        <v>552</v>
      </c>
      <c r="B1546" s="1">
        <v>5</v>
      </c>
      <c r="C1546" s="1">
        <v>19</v>
      </c>
      <c r="D1546" s="1">
        <v>2</v>
      </c>
      <c r="E1546" s="1">
        <v>449</v>
      </c>
      <c r="F1546" s="1">
        <v>0.2</v>
      </c>
      <c r="G1546">
        <f t="shared" si="24"/>
        <v>897.8</v>
      </c>
      <c r="H1546" t="str">
        <f>VLOOKUP(C1546,[1]products!$A:$B,2,FALSE)</f>
        <v>Pure Cycles William 3-Speed - 2016</v>
      </c>
      <c r="I1546">
        <f>VLOOKUP(C1546,[1]products!$A:$D,4,FALSE)</f>
        <v>3</v>
      </c>
      <c r="J1546" t="str">
        <f>VLOOKUP(I1546,[2]categories!$A$1:$B$8,2,FALSE)</f>
        <v>Cruisers Bicycles</v>
      </c>
    </row>
    <row r="1547" customHeight="1" spans="1:10">
      <c r="A1547" s="1">
        <v>553</v>
      </c>
      <c r="B1547" s="1">
        <v>1</v>
      </c>
      <c r="C1547" s="1">
        <v>24</v>
      </c>
      <c r="D1547" s="1">
        <v>1</v>
      </c>
      <c r="E1547" s="1">
        <v>549.99</v>
      </c>
      <c r="F1547" s="1">
        <v>0.1</v>
      </c>
      <c r="G1547">
        <f t="shared" si="24"/>
        <v>549.89</v>
      </c>
      <c r="H1547" t="str">
        <f>VLOOKUP(C1547,[1]products!$A:$B,2,FALSE)</f>
        <v>Electra Townie Original 21D - 2016</v>
      </c>
      <c r="I1547">
        <f>VLOOKUP(C1547,[1]products!$A:$D,4,FALSE)</f>
        <v>2</v>
      </c>
      <c r="J1547" t="str">
        <f>VLOOKUP(I1547,[2]categories!$A$1:$B$8,2,FALSE)</f>
        <v>Comfort Bicycles</v>
      </c>
    </row>
    <row r="1548" customHeight="1" spans="1:10">
      <c r="A1548" s="1">
        <v>553</v>
      </c>
      <c r="B1548" s="1">
        <v>2</v>
      </c>
      <c r="C1548" s="1">
        <v>18</v>
      </c>
      <c r="D1548" s="1">
        <v>2</v>
      </c>
      <c r="E1548" s="1">
        <v>449</v>
      </c>
      <c r="F1548" s="1">
        <v>0.07</v>
      </c>
      <c r="G1548">
        <f t="shared" si="24"/>
        <v>897.93</v>
      </c>
      <c r="H1548" t="str">
        <f>VLOOKUP(C1548,[1]products!$A:$B,2,FALSE)</f>
        <v>Pure Cycles Western 3-Speed - Women's - 2015/2016</v>
      </c>
      <c r="I1548">
        <f>VLOOKUP(C1548,[1]products!$A:$D,4,FALSE)</f>
        <v>3</v>
      </c>
      <c r="J1548" t="str">
        <f>VLOOKUP(I1548,[2]categories!$A$1:$B$8,2,FALSE)</f>
        <v>Cruisers Bicycles</v>
      </c>
    </row>
    <row r="1549" customHeight="1" spans="1:10">
      <c r="A1549" s="1">
        <v>553</v>
      </c>
      <c r="B1549" s="1">
        <v>3</v>
      </c>
      <c r="C1549" s="1">
        <v>12</v>
      </c>
      <c r="D1549" s="1">
        <v>1</v>
      </c>
      <c r="E1549" s="1">
        <v>549.99</v>
      </c>
      <c r="F1549" s="1">
        <v>0.07</v>
      </c>
      <c r="G1549">
        <f t="shared" si="24"/>
        <v>549.92</v>
      </c>
      <c r="H1549" t="str">
        <f>VLOOKUP(C1549,[1]products!$A:$B,2,FALSE)</f>
        <v>Electra Townie Original 21D - 2016</v>
      </c>
      <c r="I1549">
        <f>VLOOKUP(C1549,[1]products!$A:$D,4,FALSE)</f>
        <v>3</v>
      </c>
      <c r="J1549" t="str">
        <f>VLOOKUP(I1549,[2]categories!$A$1:$B$8,2,FALSE)</f>
        <v>Cruisers Bicycles</v>
      </c>
    </row>
    <row r="1550" customHeight="1" spans="1:10">
      <c r="A1550" s="1">
        <v>554</v>
      </c>
      <c r="B1550" s="1">
        <v>1</v>
      </c>
      <c r="C1550" s="1">
        <v>3</v>
      </c>
      <c r="D1550" s="1">
        <v>2</v>
      </c>
      <c r="E1550" s="1">
        <v>999.99</v>
      </c>
      <c r="F1550" s="1">
        <v>0.07</v>
      </c>
      <c r="G1550">
        <f t="shared" si="24"/>
        <v>1999.91</v>
      </c>
      <c r="H1550" t="str">
        <f>VLOOKUP(C1550,[1]products!$A:$B,2,FALSE)</f>
        <v>Surly Wednesday Frameset - 2016</v>
      </c>
      <c r="I1550">
        <f>VLOOKUP(C1550,[1]products!$A:$D,4,FALSE)</f>
        <v>6</v>
      </c>
      <c r="J1550" t="str">
        <f>VLOOKUP(I1550,[2]categories!$A$1:$B$8,2,FALSE)</f>
        <v>Mountain Bikes</v>
      </c>
    </row>
    <row r="1551" customHeight="1" spans="1:10">
      <c r="A1551" s="1">
        <v>554</v>
      </c>
      <c r="B1551" s="1">
        <v>2</v>
      </c>
      <c r="C1551" s="1">
        <v>22</v>
      </c>
      <c r="D1551" s="1">
        <v>1</v>
      </c>
      <c r="E1551" s="1">
        <v>269.99</v>
      </c>
      <c r="F1551" s="1">
        <v>0.05</v>
      </c>
      <c r="G1551">
        <f t="shared" si="24"/>
        <v>269.94</v>
      </c>
      <c r="H1551" t="str">
        <f>VLOOKUP(C1551,[1]products!$A:$B,2,FALSE)</f>
        <v>Electra Girl's Hawaii 1 (16-inch) - 2015/2016</v>
      </c>
      <c r="I1551">
        <f>VLOOKUP(C1551,[1]products!$A:$D,4,FALSE)</f>
        <v>1</v>
      </c>
      <c r="J1551" t="str">
        <f>VLOOKUP(I1551,[2]categories!$A$1:$B$8,2,FALSE)</f>
        <v>Children Bicycles</v>
      </c>
    </row>
    <row r="1552" customHeight="1" spans="1:10">
      <c r="A1552" s="1">
        <v>554</v>
      </c>
      <c r="B1552" s="1">
        <v>3</v>
      </c>
      <c r="C1552" s="1">
        <v>4</v>
      </c>
      <c r="D1552" s="1">
        <v>2</v>
      </c>
      <c r="E1552" s="1">
        <v>2899.99</v>
      </c>
      <c r="F1552" s="1">
        <v>0.2</v>
      </c>
      <c r="G1552">
        <f t="shared" si="24"/>
        <v>5799.78</v>
      </c>
      <c r="H1552" t="str">
        <f>VLOOKUP(C1552,[1]products!$A:$B,2,FALSE)</f>
        <v>Trek Fuel EX 8 29 - 2016</v>
      </c>
      <c r="I1552">
        <f>VLOOKUP(C1552,[1]products!$A:$D,4,FALSE)</f>
        <v>6</v>
      </c>
      <c r="J1552" t="str">
        <f>VLOOKUP(I1552,[2]categories!$A$1:$B$8,2,FALSE)</f>
        <v>Mountain Bikes</v>
      </c>
    </row>
    <row r="1553" customHeight="1" spans="1:10">
      <c r="A1553" s="1">
        <v>555</v>
      </c>
      <c r="B1553" s="1">
        <v>1</v>
      </c>
      <c r="C1553" s="1">
        <v>8</v>
      </c>
      <c r="D1553" s="1">
        <v>1</v>
      </c>
      <c r="E1553" s="1">
        <v>1799.99</v>
      </c>
      <c r="F1553" s="1">
        <v>0.2</v>
      </c>
      <c r="G1553">
        <f t="shared" si="24"/>
        <v>1799.79</v>
      </c>
      <c r="H1553" t="str">
        <f>VLOOKUP(C1553,[1]products!$A:$B,2,FALSE)</f>
        <v>Trek Remedy 29 Carbon Frameset - 2016</v>
      </c>
      <c r="I1553">
        <f>VLOOKUP(C1553,[1]products!$A:$D,4,FALSE)</f>
        <v>6</v>
      </c>
      <c r="J1553" t="str">
        <f>VLOOKUP(I1553,[2]categories!$A$1:$B$8,2,FALSE)</f>
        <v>Mountain Bikes</v>
      </c>
    </row>
    <row r="1554" customHeight="1" spans="1:10">
      <c r="A1554" s="1">
        <v>555</v>
      </c>
      <c r="B1554" s="1">
        <v>2</v>
      </c>
      <c r="C1554" s="1">
        <v>7</v>
      </c>
      <c r="D1554" s="1">
        <v>1</v>
      </c>
      <c r="E1554" s="1">
        <v>3999.99</v>
      </c>
      <c r="F1554" s="1">
        <v>0.1</v>
      </c>
      <c r="G1554">
        <f t="shared" si="24"/>
        <v>3999.89</v>
      </c>
      <c r="H1554" t="str">
        <f>VLOOKUP(C1554,[1]products!$A:$B,2,FALSE)</f>
        <v>Trek Slash 8 27.5 - 2016</v>
      </c>
      <c r="I1554">
        <f>VLOOKUP(C1554,[1]products!$A:$D,4,FALSE)</f>
        <v>6</v>
      </c>
      <c r="J1554" t="str">
        <f>VLOOKUP(I1554,[2]categories!$A$1:$B$8,2,FALSE)</f>
        <v>Mountain Bikes</v>
      </c>
    </row>
    <row r="1555" customHeight="1" spans="1:10">
      <c r="A1555" s="1">
        <v>555</v>
      </c>
      <c r="B1555" s="1">
        <v>3</v>
      </c>
      <c r="C1555" s="1">
        <v>20</v>
      </c>
      <c r="D1555" s="1">
        <v>2</v>
      </c>
      <c r="E1555" s="1">
        <v>599.99</v>
      </c>
      <c r="F1555" s="1">
        <v>0.07</v>
      </c>
      <c r="G1555">
        <f t="shared" si="24"/>
        <v>1199.91</v>
      </c>
      <c r="H1555" t="str">
        <f>VLOOKUP(C1555,[1]products!$A:$B,2,FALSE)</f>
        <v>Electra Townie Original 7D EQ - Women's - 2016</v>
      </c>
      <c r="I1555">
        <f>VLOOKUP(C1555,[1]products!$A:$D,4,FALSE)</f>
        <v>3</v>
      </c>
      <c r="J1555" t="str">
        <f>VLOOKUP(I1555,[2]categories!$A$1:$B$8,2,FALSE)</f>
        <v>Cruisers Bicycles</v>
      </c>
    </row>
    <row r="1556" customHeight="1" spans="1:10">
      <c r="A1556" s="1">
        <v>556</v>
      </c>
      <c r="B1556" s="1">
        <v>1</v>
      </c>
      <c r="C1556" s="1">
        <v>16</v>
      </c>
      <c r="D1556" s="1">
        <v>1</v>
      </c>
      <c r="E1556" s="1">
        <v>599.99</v>
      </c>
      <c r="F1556" s="1">
        <v>0.1</v>
      </c>
      <c r="G1556">
        <f t="shared" si="24"/>
        <v>599.89</v>
      </c>
      <c r="H1556" t="str">
        <f>VLOOKUP(C1556,[1]products!$A:$B,2,FALSE)</f>
        <v>Electra Townie Original 7D EQ - 2016</v>
      </c>
      <c r="I1556">
        <f>VLOOKUP(C1556,[1]products!$A:$D,4,FALSE)</f>
        <v>3</v>
      </c>
      <c r="J1556" t="str">
        <f>VLOOKUP(I1556,[2]categories!$A$1:$B$8,2,FALSE)</f>
        <v>Cruisers Bicycles</v>
      </c>
    </row>
    <row r="1557" customHeight="1" spans="1:10">
      <c r="A1557" s="1">
        <v>556</v>
      </c>
      <c r="B1557" s="1">
        <v>2</v>
      </c>
      <c r="C1557" s="1">
        <v>4</v>
      </c>
      <c r="D1557" s="1">
        <v>2</v>
      </c>
      <c r="E1557" s="1">
        <v>2899.99</v>
      </c>
      <c r="F1557" s="1">
        <v>0.2</v>
      </c>
      <c r="G1557">
        <f t="shared" si="24"/>
        <v>5799.78</v>
      </c>
      <c r="H1557" t="str">
        <f>VLOOKUP(C1557,[1]products!$A:$B,2,FALSE)</f>
        <v>Trek Fuel EX 8 29 - 2016</v>
      </c>
      <c r="I1557">
        <f>VLOOKUP(C1557,[1]products!$A:$D,4,FALSE)</f>
        <v>6</v>
      </c>
      <c r="J1557" t="str">
        <f>VLOOKUP(I1557,[2]categories!$A$1:$B$8,2,FALSE)</f>
        <v>Mountain Bikes</v>
      </c>
    </row>
    <row r="1558" customHeight="1" spans="1:10">
      <c r="A1558" s="1">
        <v>557</v>
      </c>
      <c r="B1558" s="1">
        <v>1</v>
      </c>
      <c r="C1558" s="1">
        <v>9</v>
      </c>
      <c r="D1558" s="1">
        <v>2</v>
      </c>
      <c r="E1558" s="1">
        <v>2999.99</v>
      </c>
      <c r="F1558" s="1">
        <v>0.1</v>
      </c>
      <c r="G1558">
        <f t="shared" si="24"/>
        <v>5999.88</v>
      </c>
      <c r="H1558" t="str">
        <f>VLOOKUP(C1558,[1]products!$A:$B,2,FALSE)</f>
        <v>Trek Conduit+ - 2016</v>
      </c>
      <c r="I1558">
        <f>VLOOKUP(C1558,[1]products!$A:$D,4,FALSE)</f>
        <v>5</v>
      </c>
      <c r="J1558" t="str">
        <f>VLOOKUP(I1558,[2]categories!$A$1:$B$8,2,FALSE)</f>
        <v>Electric Bikes</v>
      </c>
    </row>
    <row r="1559" customHeight="1" spans="1:10">
      <c r="A1559" s="1">
        <v>557</v>
      </c>
      <c r="B1559" s="1">
        <v>2</v>
      </c>
      <c r="C1559" s="1">
        <v>10</v>
      </c>
      <c r="D1559" s="1">
        <v>1</v>
      </c>
      <c r="E1559" s="1">
        <v>1549</v>
      </c>
      <c r="F1559" s="1">
        <v>0.1</v>
      </c>
      <c r="G1559">
        <f t="shared" si="24"/>
        <v>1548.9</v>
      </c>
      <c r="H1559" t="str">
        <f>VLOOKUP(C1559,[1]products!$A:$B,2,FALSE)</f>
        <v>Surly Straggler - 2016</v>
      </c>
      <c r="I1559">
        <f>VLOOKUP(C1559,[1]products!$A:$D,4,FALSE)</f>
        <v>4</v>
      </c>
      <c r="J1559" t="str">
        <f>VLOOKUP(I1559,[2]categories!$A$1:$B$8,2,FALSE)</f>
        <v>Cyclocross Bicycles</v>
      </c>
    </row>
    <row r="1560" customHeight="1" spans="1:10">
      <c r="A1560" s="1">
        <v>558</v>
      </c>
      <c r="B1560" s="1">
        <v>1</v>
      </c>
      <c r="C1560" s="1">
        <v>7</v>
      </c>
      <c r="D1560" s="1">
        <v>1</v>
      </c>
      <c r="E1560" s="1">
        <v>3999.99</v>
      </c>
      <c r="F1560" s="1">
        <v>0.07</v>
      </c>
      <c r="G1560">
        <f t="shared" si="24"/>
        <v>3999.92</v>
      </c>
      <c r="H1560" t="str">
        <f>VLOOKUP(C1560,[1]products!$A:$B,2,FALSE)</f>
        <v>Trek Slash 8 27.5 - 2016</v>
      </c>
      <c r="I1560">
        <f>VLOOKUP(C1560,[1]products!$A:$D,4,FALSE)</f>
        <v>6</v>
      </c>
      <c r="J1560" t="str">
        <f>VLOOKUP(I1560,[2]categories!$A$1:$B$8,2,FALSE)</f>
        <v>Mountain Bikes</v>
      </c>
    </row>
    <row r="1561" customHeight="1" spans="1:10">
      <c r="A1561" s="1">
        <v>558</v>
      </c>
      <c r="B1561" s="1">
        <v>2</v>
      </c>
      <c r="C1561" s="1">
        <v>16</v>
      </c>
      <c r="D1561" s="1">
        <v>1</v>
      </c>
      <c r="E1561" s="1">
        <v>599.99</v>
      </c>
      <c r="F1561" s="1">
        <v>0.07</v>
      </c>
      <c r="G1561">
        <f t="shared" si="24"/>
        <v>599.92</v>
      </c>
      <c r="H1561" t="str">
        <f>VLOOKUP(C1561,[1]products!$A:$B,2,FALSE)</f>
        <v>Electra Townie Original 7D EQ - 2016</v>
      </c>
      <c r="I1561">
        <f>VLOOKUP(C1561,[1]products!$A:$D,4,FALSE)</f>
        <v>3</v>
      </c>
      <c r="J1561" t="str">
        <f>VLOOKUP(I1561,[2]categories!$A$1:$B$8,2,FALSE)</f>
        <v>Cruisers Bicycles</v>
      </c>
    </row>
    <row r="1562" customHeight="1" spans="1:10">
      <c r="A1562" s="1">
        <v>558</v>
      </c>
      <c r="B1562" s="1">
        <v>3</v>
      </c>
      <c r="C1562" s="1">
        <v>9</v>
      </c>
      <c r="D1562" s="1">
        <v>1</v>
      </c>
      <c r="E1562" s="1">
        <v>2999.99</v>
      </c>
      <c r="F1562" s="1">
        <v>0.1</v>
      </c>
      <c r="G1562">
        <f t="shared" si="24"/>
        <v>2999.89</v>
      </c>
      <c r="H1562" t="str">
        <f>VLOOKUP(C1562,[1]products!$A:$B,2,FALSE)</f>
        <v>Trek Conduit+ - 2016</v>
      </c>
      <c r="I1562">
        <f>VLOOKUP(C1562,[1]products!$A:$D,4,FALSE)</f>
        <v>5</v>
      </c>
      <c r="J1562" t="str">
        <f>VLOOKUP(I1562,[2]categories!$A$1:$B$8,2,FALSE)</f>
        <v>Electric Bikes</v>
      </c>
    </row>
    <row r="1563" customHeight="1" spans="1:10">
      <c r="A1563" s="1">
        <v>558</v>
      </c>
      <c r="B1563" s="1">
        <v>4</v>
      </c>
      <c r="C1563" s="1">
        <v>21</v>
      </c>
      <c r="D1563" s="1">
        <v>2</v>
      </c>
      <c r="E1563" s="1">
        <v>269.99</v>
      </c>
      <c r="F1563" s="1">
        <v>0.05</v>
      </c>
      <c r="G1563">
        <f t="shared" si="24"/>
        <v>539.93</v>
      </c>
      <c r="H1563" t="str">
        <f>VLOOKUP(C1563,[1]products!$A:$B,2,FALSE)</f>
        <v>Electra Cruiser 1 (24-Inch) - 2016</v>
      </c>
      <c r="I1563">
        <f>VLOOKUP(C1563,[1]products!$A:$D,4,FALSE)</f>
        <v>1</v>
      </c>
      <c r="J1563" t="str">
        <f>VLOOKUP(I1563,[2]categories!$A$1:$B$8,2,FALSE)</f>
        <v>Children Bicycles</v>
      </c>
    </row>
    <row r="1564" customHeight="1" spans="1:10">
      <c r="A1564" s="1">
        <v>558</v>
      </c>
      <c r="B1564" s="1">
        <v>5</v>
      </c>
      <c r="C1564" s="1">
        <v>10</v>
      </c>
      <c r="D1564" s="1">
        <v>2</v>
      </c>
      <c r="E1564" s="1">
        <v>1549</v>
      </c>
      <c r="F1564" s="1">
        <v>0.07</v>
      </c>
      <c r="G1564">
        <f t="shared" si="24"/>
        <v>3097.93</v>
      </c>
      <c r="H1564" t="str">
        <f>VLOOKUP(C1564,[1]products!$A:$B,2,FALSE)</f>
        <v>Surly Straggler - 2016</v>
      </c>
      <c r="I1564">
        <f>VLOOKUP(C1564,[1]products!$A:$D,4,FALSE)</f>
        <v>4</v>
      </c>
      <c r="J1564" t="str">
        <f>VLOOKUP(I1564,[2]categories!$A$1:$B$8,2,FALSE)</f>
        <v>Cyclocross Bicycles</v>
      </c>
    </row>
    <row r="1565" customHeight="1" spans="1:10">
      <c r="A1565" s="1">
        <v>559</v>
      </c>
      <c r="B1565" s="1">
        <v>1</v>
      </c>
      <c r="C1565" s="1">
        <v>15</v>
      </c>
      <c r="D1565" s="1">
        <v>2</v>
      </c>
      <c r="E1565" s="1">
        <v>529.99</v>
      </c>
      <c r="F1565" s="1">
        <v>0.1</v>
      </c>
      <c r="G1565">
        <f t="shared" si="24"/>
        <v>1059.88</v>
      </c>
      <c r="H1565" t="str">
        <f>VLOOKUP(C1565,[1]products!$A:$B,2,FALSE)</f>
        <v>Electra Moto 1 - 2016</v>
      </c>
      <c r="I1565">
        <f>VLOOKUP(C1565,[1]products!$A:$D,4,FALSE)</f>
        <v>3</v>
      </c>
      <c r="J1565" t="str">
        <f>VLOOKUP(I1565,[2]categories!$A$1:$B$8,2,FALSE)</f>
        <v>Cruisers Bicycles</v>
      </c>
    </row>
    <row r="1566" customHeight="1" spans="1:10">
      <c r="A1566" s="1">
        <v>559</v>
      </c>
      <c r="B1566" s="1">
        <v>2</v>
      </c>
      <c r="C1566" s="1">
        <v>6</v>
      </c>
      <c r="D1566" s="1">
        <v>1</v>
      </c>
      <c r="E1566" s="1">
        <v>469.99</v>
      </c>
      <c r="F1566" s="1">
        <v>0.1</v>
      </c>
      <c r="G1566">
        <f t="shared" si="24"/>
        <v>469.89</v>
      </c>
      <c r="H1566" t="str">
        <f>VLOOKUP(C1566,[1]products!$A:$B,2,FALSE)</f>
        <v>Surly Ice Cream Truck Frameset - 2016</v>
      </c>
      <c r="I1566">
        <f>VLOOKUP(C1566,[1]products!$A:$D,4,FALSE)</f>
        <v>6</v>
      </c>
      <c r="J1566" t="str">
        <f>VLOOKUP(I1566,[2]categories!$A$1:$B$8,2,FALSE)</f>
        <v>Mountain Bikes</v>
      </c>
    </row>
    <row r="1567" customHeight="1" spans="1:10">
      <c r="A1567" s="1">
        <v>559</v>
      </c>
      <c r="B1567" s="1">
        <v>3</v>
      </c>
      <c r="C1567" s="1">
        <v>7</v>
      </c>
      <c r="D1567" s="1">
        <v>2</v>
      </c>
      <c r="E1567" s="1">
        <v>3999.99</v>
      </c>
      <c r="F1567" s="1">
        <v>0.07</v>
      </c>
      <c r="G1567">
        <f t="shared" si="24"/>
        <v>7999.91</v>
      </c>
      <c r="H1567" t="str">
        <f>VLOOKUP(C1567,[1]products!$A:$B,2,FALSE)</f>
        <v>Trek Slash 8 27.5 - 2016</v>
      </c>
      <c r="I1567">
        <f>VLOOKUP(C1567,[1]products!$A:$D,4,FALSE)</f>
        <v>6</v>
      </c>
      <c r="J1567" t="str">
        <f>VLOOKUP(I1567,[2]categories!$A$1:$B$8,2,FALSE)</f>
        <v>Mountain Bikes</v>
      </c>
    </row>
    <row r="1568" customHeight="1" spans="1:10">
      <c r="A1568" s="1">
        <v>560</v>
      </c>
      <c r="B1568" s="1">
        <v>1</v>
      </c>
      <c r="C1568" s="1">
        <v>16</v>
      </c>
      <c r="D1568" s="1">
        <v>1</v>
      </c>
      <c r="E1568" s="1">
        <v>599.99</v>
      </c>
      <c r="F1568" s="1">
        <v>0.05</v>
      </c>
      <c r="G1568">
        <f t="shared" si="24"/>
        <v>599.94</v>
      </c>
      <c r="H1568" t="str">
        <f>VLOOKUP(C1568,[1]products!$A:$B,2,FALSE)</f>
        <v>Electra Townie Original 7D EQ - 2016</v>
      </c>
      <c r="I1568">
        <f>VLOOKUP(C1568,[1]products!$A:$D,4,FALSE)</f>
        <v>3</v>
      </c>
      <c r="J1568" t="str">
        <f>VLOOKUP(I1568,[2]categories!$A$1:$B$8,2,FALSE)</f>
        <v>Cruisers Bicycles</v>
      </c>
    </row>
    <row r="1569" customHeight="1" spans="1:10">
      <c r="A1569" s="1">
        <v>560</v>
      </c>
      <c r="B1569" s="1">
        <v>2</v>
      </c>
      <c r="C1569" s="1">
        <v>26</v>
      </c>
      <c r="D1569" s="1">
        <v>2</v>
      </c>
      <c r="E1569" s="1">
        <v>599.99</v>
      </c>
      <c r="F1569" s="1">
        <v>0.1</v>
      </c>
      <c r="G1569">
        <f t="shared" si="24"/>
        <v>1199.88</v>
      </c>
      <c r="H1569" t="str">
        <f>VLOOKUP(C1569,[1]products!$A:$B,2,FALSE)</f>
        <v>Electra Townie Original 7D EQ - 2016</v>
      </c>
      <c r="I1569">
        <f>VLOOKUP(C1569,[1]products!$A:$D,4,FALSE)</f>
        <v>2</v>
      </c>
      <c r="J1569" t="str">
        <f>VLOOKUP(I1569,[2]categories!$A$1:$B$8,2,FALSE)</f>
        <v>Comfort Bicycles</v>
      </c>
    </row>
    <row r="1570" customHeight="1" spans="1:10">
      <c r="A1570" s="1">
        <v>561</v>
      </c>
      <c r="B1570" s="1">
        <v>1</v>
      </c>
      <c r="C1570" s="1">
        <v>15</v>
      </c>
      <c r="D1570" s="1">
        <v>2</v>
      </c>
      <c r="E1570" s="1">
        <v>529.99</v>
      </c>
      <c r="F1570" s="1">
        <v>0.05</v>
      </c>
      <c r="G1570">
        <f t="shared" si="24"/>
        <v>1059.93</v>
      </c>
      <c r="H1570" t="str">
        <f>VLOOKUP(C1570,[1]products!$A:$B,2,FALSE)</f>
        <v>Electra Moto 1 - 2016</v>
      </c>
      <c r="I1570">
        <f>VLOOKUP(C1570,[1]products!$A:$D,4,FALSE)</f>
        <v>3</v>
      </c>
      <c r="J1570" t="str">
        <f>VLOOKUP(I1570,[2]categories!$A$1:$B$8,2,FALSE)</f>
        <v>Cruisers Bicycles</v>
      </c>
    </row>
    <row r="1571" customHeight="1" spans="1:10">
      <c r="A1571" s="1">
        <v>561</v>
      </c>
      <c r="B1571" s="1">
        <v>2</v>
      </c>
      <c r="C1571" s="1">
        <v>18</v>
      </c>
      <c r="D1571" s="1">
        <v>1</v>
      </c>
      <c r="E1571" s="1">
        <v>449</v>
      </c>
      <c r="F1571" s="1">
        <v>0.05</v>
      </c>
      <c r="G1571">
        <f t="shared" si="24"/>
        <v>448.95</v>
      </c>
      <c r="H1571" t="str">
        <f>VLOOKUP(C1571,[1]products!$A:$B,2,FALSE)</f>
        <v>Pure Cycles Western 3-Speed - Women's - 2015/2016</v>
      </c>
      <c r="I1571">
        <f>VLOOKUP(C1571,[1]products!$A:$D,4,FALSE)</f>
        <v>3</v>
      </c>
      <c r="J1571" t="str">
        <f>VLOOKUP(I1571,[2]categories!$A$1:$B$8,2,FALSE)</f>
        <v>Cruisers Bicycles</v>
      </c>
    </row>
    <row r="1572" customHeight="1" spans="1:10">
      <c r="A1572" s="1">
        <v>561</v>
      </c>
      <c r="B1572" s="1">
        <v>3</v>
      </c>
      <c r="C1572" s="1">
        <v>5</v>
      </c>
      <c r="D1572" s="1">
        <v>1</v>
      </c>
      <c r="E1572" s="1">
        <v>1320.99</v>
      </c>
      <c r="F1572" s="1">
        <v>0.05</v>
      </c>
      <c r="G1572">
        <f t="shared" si="24"/>
        <v>1320.94</v>
      </c>
      <c r="H1572" t="str">
        <f>VLOOKUP(C1572,[1]products!$A:$B,2,FALSE)</f>
        <v>Heller Shagamaw Frame - 2016</v>
      </c>
      <c r="I1572">
        <f>VLOOKUP(C1572,[1]products!$A:$D,4,FALSE)</f>
        <v>6</v>
      </c>
      <c r="J1572" t="str">
        <f>VLOOKUP(I1572,[2]categories!$A$1:$B$8,2,FALSE)</f>
        <v>Mountain Bikes</v>
      </c>
    </row>
    <row r="1573" customHeight="1" spans="1:10">
      <c r="A1573" s="1">
        <v>561</v>
      </c>
      <c r="B1573" s="1">
        <v>4</v>
      </c>
      <c r="C1573" s="1">
        <v>17</v>
      </c>
      <c r="D1573" s="1">
        <v>2</v>
      </c>
      <c r="E1573" s="1">
        <v>429</v>
      </c>
      <c r="F1573" s="1">
        <v>0.07</v>
      </c>
      <c r="G1573">
        <f t="shared" si="24"/>
        <v>857.93</v>
      </c>
      <c r="H1573" t="str">
        <f>VLOOKUP(C1573,[1]products!$A:$B,2,FALSE)</f>
        <v>Pure Cycles Vine 8-Speed - 2016</v>
      </c>
      <c r="I1573">
        <f>VLOOKUP(C1573,[1]products!$A:$D,4,FALSE)</f>
        <v>3</v>
      </c>
      <c r="J1573" t="str">
        <f>VLOOKUP(I1573,[2]categories!$A$1:$B$8,2,FALSE)</f>
        <v>Cruisers Bicycles</v>
      </c>
    </row>
    <row r="1574" customHeight="1" spans="1:10">
      <c r="A1574" s="1">
        <v>562</v>
      </c>
      <c r="B1574" s="1">
        <v>1</v>
      </c>
      <c r="C1574" s="1">
        <v>25</v>
      </c>
      <c r="D1574" s="1">
        <v>2</v>
      </c>
      <c r="E1574" s="1">
        <v>499.99</v>
      </c>
      <c r="F1574" s="1">
        <v>0.07</v>
      </c>
      <c r="G1574">
        <f t="shared" si="24"/>
        <v>999.91</v>
      </c>
      <c r="H1574" t="str">
        <f>VLOOKUP(C1574,[1]products!$A:$B,2,FALSE)</f>
        <v>Electra Townie Original 7D - 2015/2016</v>
      </c>
      <c r="I1574">
        <f>VLOOKUP(C1574,[1]products!$A:$D,4,FALSE)</f>
        <v>2</v>
      </c>
      <c r="J1574" t="str">
        <f>VLOOKUP(I1574,[2]categories!$A$1:$B$8,2,FALSE)</f>
        <v>Comfort Bicycles</v>
      </c>
    </row>
    <row r="1575" customHeight="1" spans="1:10">
      <c r="A1575" s="1">
        <v>562</v>
      </c>
      <c r="B1575" s="1">
        <v>2</v>
      </c>
      <c r="C1575" s="1">
        <v>26</v>
      </c>
      <c r="D1575" s="1">
        <v>1</v>
      </c>
      <c r="E1575" s="1">
        <v>599.99</v>
      </c>
      <c r="F1575" s="1">
        <v>0.05</v>
      </c>
      <c r="G1575">
        <f t="shared" si="24"/>
        <v>599.94</v>
      </c>
      <c r="H1575" t="str">
        <f>VLOOKUP(C1575,[1]products!$A:$B,2,FALSE)</f>
        <v>Electra Townie Original 7D EQ - 2016</v>
      </c>
      <c r="I1575">
        <f>VLOOKUP(C1575,[1]products!$A:$D,4,FALSE)</f>
        <v>2</v>
      </c>
      <c r="J1575" t="str">
        <f>VLOOKUP(I1575,[2]categories!$A$1:$B$8,2,FALSE)</f>
        <v>Comfort Bicycles</v>
      </c>
    </row>
    <row r="1576" customHeight="1" spans="1:10">
      <c r="A1576" s="1">
        <v>563</v>
      </c>
      <c r="B1576" s="1">
        <v>1</v>
      </c>
      <c r="C1576" s="1">
        <v>6</v>
      </c>
      <c r="D1576" s="1">
        <v>2</v>
      </c>
      <c r="E1576" s="1">
        <v>469.99</v>
      </c>
      <c r="F1576" s="1">
        <v>0.1</v>
      </c>
      <c r="G1576">
        <f t="shared" si="24"/>
        <v>939.88</v>
      </c>
      <c r="H1576" t="str">
        <f>VLOOKUP(C1576,[1]products!$A:$B,2,FALSE)</f>
        <v>Surly Ice Cream Truck Frameset - 2016</v>
      </c>
      <c r="I1576">
        <f>VLOOKUP(C1576,[1]products!$A:$D,4,FALSE)</f>
        <v>6</v>
      </c>
      <c r="J1576" t="str">
        <f>VLOOKUP(I1576,[2]categories!$A$1:$B$8,2,FALSE)</f>
        <v>Mountain Bikes</v>
      </c>
    </row>
    <row r="1577" customHeight="1" spans="1:10">
      <c r="A1577" s="1">
        <v>563</v>
      </c>
      <c r="B1577" s="1">
        <v>2</v>
      </c>
      <c r="C1577" s="1">
        <v>19</v>
      </c>
      <c r="D1577" s="1">
        <v>1</v>
      </c>
      <c r="E1577" s="1">
        <v>449</v>
      </c>
      <c r="F1577" s="1">
        <v>0.05</v>
      </c>
      <c r="G1577">
        <f t="shared" si="24"/>
        <v>448.95</v>
      </c>
      <c r="H1577" t="str">
        <f>VLOOKUP(C1577,[1]products!$A:$B,2,FALSE)</f>
        <v>Pure Cycles William 3-Speed - 2016</v>
      </c>
      <c r="I1577">
        <f>VLOOKUP(C1577,[1]products!$A:$D,4,FALSE)</f>
        <v>3</v>
      </c>
      <c r="J1577" t="str">
        <f>VLOOKUP(I1577,[2]categories!$A$1:$B$8,2,FALSE)</f>
        <v>Cruisers Bicycles</v>
      </c>
    </row>
    <row r="1578" customHeight="1" spans="1:10">
      <c r="A1578" s="1">
        <v>563</v>
      </c>
      <c r="B1578" s="1">
        <v>3</v>
      </c>
      <c r="C1578" s="1">
        <v>13</v>
      </c>
      <c r="D1578" s="1">
        <v>2</v>
      </c>
      <c r="E1578" s="1">
        <v>269.99</v>
      </c>
      <c r="F1578" s="1">
        <v>0.1</v>
      </c>
      <c r="G1578">
        <f t="shared" si="24"/>
        <v>539.88</v>
      </c>
      <c r="H1578" t="str">
        <f>VLOOKUP(C1578,[1]products!$A:$B,2,FALSE)</f>
        <v>Electra Cruiser 1 (24-Inch) - 2016</v>
      </c>
      <c r="I1578">
        <f>VLOOKUP(C1578,[1]products!$A:$D,4,FALSE)</f>
        <v>3</v>
      </c>
      <c r="J1578" t="str">
        <f>VLOOKUP(I1578,[2]categories!$A$1:$B$8,2,FALSE)</f>
        <v>Cruisers Bicycles</v>
      </c>
    </row>
    <row r="1579" customHeight="1" spans="1:10">
      <c r="A1579" s="1">
        <v>564</v>
      </c>
      <c r="B1579" s="1">
        <v>1</v>
      </c>
      <c r="C1579" s="1">
        <v>4</v>
      </c>
      <c r="D1579" s="1">
        <v>1</v>
      </c>
      <c r="E1579" s="1">
        <v>2899.99</v>
      </c>
      <c r="F1579" s="1">
        <v>0.2</v>
      </c>
      <c r="G1579">
        <f t="shared" si="24"/>
        <v>2899.79</v>
      </c>
      <c r="H1579" t="str">
        <f>VLOOKUP(C1579,[1]products!$A:$B,2,FALSE)</f>
        <v>Trek Fuel EX 8 29 - 2016</v>
      </c>
      <c r="I1579">
        <f>VLOOKUP(C1579,[1]products!$A:$D,4,FALSE)</f>
        <v>6</v>
      </c>
      <c r="J1579" t="str">
        <f>VLOOKUP(I1579,[2]categories!$A$1:$B$8,2,FALSE)</f>
        <v>Mountain Bikes</v>
      </c>
    </row>
    <row r="1580" customHeight="1" spans="1:10">
      <c r="A1580" s="1">
        <v>564</v>
      </c>
      <c r="B1580" s="1">
        <v>2</v>
      </c>
      <c r="C1580" s="1">
        <v>15</v>
      </c>
      <c r="D1580" s="1">
        <v>1</v>
      </c>
      <c r="E1580" s="1">
        <v>529.99</v>
      </c>
      <c r="F1580" s="1">
        <v>0.2</v>
      </c>
      <c r="G1580">
        <f t="shared" si="24"/>
        <v>529.79</v>
      </c>
      <c r="H1580" t="str">
        <f>VLOOKUP(C1580,[1]products!$A:$B,2,FALSE)</f>
        <v>Electra Moto 1 - 2016</v>
      </c>
      <c r="I1580">
        <f>VLOOKUP(C1580,[1]products!$A:$D,4,FALSE)</f>
        <v>3</v>
      </c>
      <c r="J1580" t="str">
        <f>VLOOKUP(I1580,[2]categories!$A$1:$B$8,2,FALSE)</f>
        <v>Cruisers Bicycles</v>
      </c>
    </row>
    <row r="1581" customHeight="1" spans="1:10">
      <c r="A1581" s="1">
        <v>565</v>
      </c>
      <c r="B1581" s="1">
        <v>1</v>
      </c>
      <c r="C1581" s="1">
        <v>18</v>
      </c>
      <c r="D1581" s="1">
        <v>1</v>
      </c>
      <c r="E1581" s="1">
        <v>449</v>
      </c>
      <c r="F1581" s="1">
        <v>0.2</v>
      </c>
      <c r="G1581">
        <f t="shared" si="24"/>
        <v>448.8</v>
      </c>
      <c r="H1581" t="str">
        <f>VLOOKUP(C1581,[1]products!$A:$B,2,FALSE)</f>
        <v>Pure Cycles Western 3-Speed - Women's - 2015/2016</v>
      </c>
      <c r="I1581">
        <f>VLOOKUP(C1581,[1]products!$A:$D,4,FALSE)</f>
        <v>3</v>
      </c>
      <c r="J1581" t="str">
        <f>VLOOKUP(I1581,[2]categories!$A$1:$B$8,2,FALSE)</f>
        <v>Cruisers Bicycles</v>
      </c>
    </row>
    <row r="1582" customHeight="1" spans="1:10">
      <c r="A1582" s="1">
        <v>565</v>
      </c>
      <c r="B1582" s="1">
        <v>2</v>
      </c>
      <c r="C1582" s="1">
        <v>25</v>
      </c>
      <c r="D1582" s="1">
        <v>2</v>
      </c>
      <c r="E1582" s="1">
        <v>499.99</v>
      </c>
      <c r="F1582" s="1">
        <v>0.1</v>
      </c>
      <c r="G1582">
        <f t="shared" si="24"/>
        <v>999.88</v>
      </c>
      <c r="H1582" t="str">
        <f>VLOOKUP(C1582,[1]products!$A:$B,2,FALSE)</f>
        <v>Electra Townie Original 7D - 2015/2016</v>
      </c>
      <c r="I1582">
        <f>VLOOKUP(C1582,[1]products!$A:$D,4,FALSE)</f>
        <v>2</v>
      </c>
      <c r="J1582" t="str">
        <f>VLOOKUP(I1582,[2]categories!$A$1:$B$8,2,FALSE)</f>
        <v>Comfort Bicycles</v>
      </c>
    </row>
    <row r="1583" customHeight="1" spans="1:10">
      <c r="A1583" s="1">
        <v>565</v>
      </c>
      <c r="B1583" s="1">
        <v>3</v>
      </c>
      <c r="C1583" s="1">
        <v>9</v>
      </c>
      <c r="D1583" s="1">
        <v>1</v>
      </c>
      <c r="E1583" s="1">
        <v>2999.99</v>
      </c>
      <c r="F1583" s="1">
        <v>0.05</v>
      </c>
      <c r="G1583">
        <f t="shared" si="24"/>
        <v>2999.94</v>
      </c>
      <c r="H1583" t="str">
        <f>VLOOKUP(C1583,[1]products!$A:$B,2,FALSE)</f>
        <v>Trek Conduit+ - 2016</v>
      </c>
      <c r="I1583">
        <f>VLOOKUP(C1583,[1]products!$A:$D,4,FALSE)</f>
        <v>5</v>
      </c>
      <c r="J1583" t="str">
        <f>VLOOKUP(I1583,[2]categories!$A$1:$B$8,2,FALSE)</f>
        <v>Electric Bikes</v>
      </c>
    </row>
    <row r="1584" customHeight="1" spans="1:10">
      <c r="A1584" s="1">
        <v>565</v>
      </c>
      <c r="B1584" s="1">
        <v>4</v>
      </c>
      <c r="C1584" s="1">
        <v>17</v>
      </c>
      <c r="D1584" s="1">
        <v>1</v>
      </c>
      <c r="E1584" s="1">
        <v>429</v>
      </c>
      <c r="F1584" s="1">
        <v>0.1</v>
      </c>
      <c r="G1584">
        <f t="shared" si="24"/>
        <v>428.9</v>
      </c>
      <c r="H1584" t="str">
        <f>VLOOKUP(C1584,[1]products!$A:$B,2,FALSE)</f>
        <v>Pure Cycles Vine 8-Speed - 2016</v>
      </c>
      <c r="I1584">
        <f>VLOOKUP(C1584,[1]products!$A:$D,4,FALSE)</f>
        <v>3</v>
      </c>
      <c r="J1584" t="str">
        <f>VLOOKUP(I1584,[2]categories!$A$1:$B$8,2,FALSE)</f>
        <v>Cruisers Bicycles</v>
      </c>
    </row>
    <row r="1585" customHeight="1" spans="1:10">
      <c r="A1585" s="1">
        <v>566</v>
      </c>
      <c r="B1585" s="1">
        <v>1</v>
      </c>
      <c r="C1585" s="1">
        <v>24</v>
      </c>
      <c r="D1585" s="1">
        <v>2</v>
      </c>
      <c r="E1585" s="1">
        <v>549.99</v>
      </c>
      <c r="F1585" s="1">
        <v>0.07</v>
      </c>
      <c r="G1585">
        <f t="shared" si="24"/>
        <v>1099.91</v>
      </c>
      <c r="H1585" t="str">
        <f>VLOOKUP(C1585,[1]products!$A:$B,2,FALSE)</f>
        <v>Electra Townie Original 21D - 2016</v>
      </c>
      <c r="I1585">
        <f>VLOOKUP(C1585,[1]products!$A:$D,4,FALSE)</f>
        <v>2</v>
      </c>
      <c r="J1585" t="str">
        <f>VLOOKUP(I1585,[2]categories!$A$1:$B$8,2,FALSE)</f>
        <v>Comfort Bicycles</v>
      </c>
    </row>
    <row r="1586" customHeight="1" spans="1:10">
      <c r="A1586" s="1">
        <v>566</v>
      </c>
      <c r="B1586" s="1">
        <v>2</v>
      </c>
      <c r="C1586" s="1">
        <v>7</v>
      </c>
      <c r="D1586" s="1">
        <v>2</v>
      </c>
      <c r="E1586" s="1">
        <v>3999.99</v>
      </c>
      <c r="F1586" s="1">
        <v>0.2</v>
      </c>
      <c r="G1586">
        <f t="shared" si="24"/>
        <v>7999.78</v>
      </c>
      <c r="H1586" t="str">
        <f>VLOOKUP(C1586,[1]products!$A:$B,2,FALSE)</f>
        <v>Trek Slash 8 27.5 - 2016</v>
      </c>
      <c r="I1586">
        <f>VLOOKUP(C1586,[1]products!$A:$D,4,FALSE)</f>
        <v>6</v>
      </c>
      <c r="J1586" t="str">
        <f>VLOOKUP(I1586,[2]categories!$A$1:$B$8,2,FALSE)</f>
        <v>Mountain Bikes</v>
      </c>
    </row>
    <row r="1587" customHeight="1" spans="1:10">
      <c r="A1587" s="1">
        <v>566</v>
      </c>
      <c r="B1587" s="1">
        <v>3</v>
      </c>
      <c r="C1587" s="1">
        <v>8</v>
      </c>
      <c r="D1587" s="1">
        <v>1</v>
      </c>
      <c r="E1587" s="1">
        <v>1799.99</v>
      </c>
      <c r="F1587" s="1">
        <v>0.1</v>
      </c>
      <c r="G1587">
        <f t="shared" si="24"/>
        <v>1799.89</v>
      </c>
      <c r="H1587" t="str">
        <f>VLOOKUP(C1587,[1]products!$A:$B,2,FALSE)</f>
        <v>Trek Remedy 29 Carbon Frameset - 2016</v>
      </c>
      <c r="I1587">
        <f>VLOOKUP(C1587,[1]products!$A:$D,4,FALSE)</f>
        <v>6</v>
      </c>
      <c r="J1587" t="str">
        <f>VLOOKUP(I1587,[2]categories!$A$1:$B$8,2,FALSE)</f>
        <v>Mountain Bikes</v>
      </c>
    </row>
    <row r="1588" customHeight="1" spans="1:10">
      <c r="A1588" s="1">
        <v>566</v>
      </c>
      <c r="B1588" s="1">
        <v>4</v>
      </c>
      <c r="C1588" s="1">
        <v>21</v>
      </c>
      <c r="D1588" s="1">
        <v>2</v>
      </c>
      <c r="E1588" s="1">
        <v>269.99</v>
      </c>
      <c r="F1588" s="1">
        <v>0.2</v>
      </c>
      <c r="G1588">
        <f t="shared" si="24"/>
        <v>539.78</v>
      </c>
      <c r="H1588" t="str">
        <f>VLOOKUP(C1588,[1]products!$A:$B,2,FALSE)</f>
        <v>Electra Cruiser 1 (24-Inch) - 2016</v>
      </c>
      <c r="I1588">
        <f>VLOOKUP(C1588,[1]products!$A:$D,4,FALSE)</f>
        <v>1</v>
      </c>
      <c r="J1588" t="str">
        <f>VLOOKUP(I1588,[2]categories!$A$1:$B$8,2,FALSE)</f>
        <v>Children Bicycles</v>
      </c>
    </row>
    <row r="1589" customHeight="1" spans="1:10">
      <c r="A1589" s="1">
        <v>567</v>
      </c>
      <c r="B1589" s="1">
        <v>1</v>
      </c>
      <c r="C1589" s="1">
        <v>9</v>
      </c>
      <c r="D1589" s="1">
        <v>1</v>
      </c>
      <c r="E1589" s="1">
        <v>2999.99</v>
      </c>
      <c r="F1589" s="1">
        <v>0.2</v>
      </c>
      <c r="G1589">
        <f t="shared" si="24"/>
        <v>2999.79</v>
      </c>
      <c r="H1589" t="str">
        <f>VLOOKUP(C1589,[1]products!$A:$B,2,FALSE)</f>
        <v>Trek Conduit+ - 2016</v>
      </c>
      <c r="I1589">
        <f>VLOOKUP(C1589,[1]products!$A:$D,4,FALSE)</f>
        <v>5</v>
      </c>
      <c r="J1589" t="str">
        <f>VLOOKUP(I1589,[2]categories!$A$1:$B$8,2,FALSE)</f>
        <v>Electric Bikes</v>
      </c>
    </row>
    <row r="1590" customHeight="1" spans="1:10">
      <c r="A1590" s="1">
        <v>567</v>
      </c>
      <c r="B1590" s="1">
        <v>2</v>
      </c>
      <c r="C1590" s="1">
        <v>5</v>
      </c>
      <c r="D1590" s="1">
        <v>1</v>
      </c>
      <c r="E1590" s="1">
        <v>1320.99</v>
      </c>
      <c r="F1590" s="1">
        <v>0.07</v>
      </c>
      <c r="G1590">
        <f t="shared" si="24"/>
        <v>1320.92</v>
      </c>
      <c r="H1590" t="str">
        <f>VLOOKUP(C1590,[1]products!$A:$B,2,FALSE)</f>
        <v>Heller Shagamaw Frame - 2016</v>
      </c>
      <c r="I1590">
        <f>VLOOKUP(C1590,[1]products!$A:$D,4,FALSE)</f>
        <v>6</v>
      </c>
      <c r="J1590" t="str">
        <f>VLOOKUP(I1590,[2]categories!$A$1:$B$8,2,FALSE)</f>
        <v>Mountain Bikes</v>
      </c>
    </row>
    <row r="1591" customHeight="1" spans="1:10">
      <c r="A1591" s="1">
        <v>568</v>
      </c>
      <c r="B1591" s="1">
        <v>1</v>
      </c>
      <c r="C1591" s="1">
        <v>5</v>
      </c>
      <c r="D1591" s="1">
        <v>1</v>
      </c>
      <c r="E1591" s="1">
        <v>1320.99</v>
      </c>
      <c r="F1591" s="1">
        <v>0.05</v>
      </c>
      <c r="G1591">
        <f t="shared" si="24"/>
        <v>1320.94</v>
      </c>
      <c r="H1591" t="str">
        <f>VLOOKUP(C1591,[1]products!$A:$B,2,FALSE)</f>
        <v>Heller Shagamaw Frame - 2016</v>
      </c>
      <c r="I1591">
        <f>VLOOKUP(C1591,[1]products!$A:$D,4,FALSE)</f>
        <v>6</v>
      </c>
      <c r="J1591" t="str">
        <f>VLOOKUP(I1591,[2]categories!$A$1:$B$8,2,FALSE)</f>
        <v>Mountain Bikes</v>
      </c>
    </row>
    <row r="1592" customHeight="1" spans="1:10">
      <c r="A1592" s="1">
        <v>568</v>
      </c>
      <c r="B1592" s="1">
        <v>2</v>
      </c>
      <c r="C1592" s="1">
        <v>10</v>
      </c>
      <c r="D1592" s="1">
        <v>1</v>
      </c>
      <c r="E1592" s="1">
        <v>1549</v>
      </c>
      <c r="F1592" s="1">
        <v>0.05</v>
      </c>
      <c r="G1592">
        <f t="shared" si="24"/>
        <v>1548.95</v>
      </c>
      <c r="H1592" t="str">
        <f>VLOOKUP(C1592,[1]products!$A:$B,2,FALSE)</f>
        <v>Surly Straggler - 2016</v>
      </c>
      <c r="I1592">
        <f>VLOOKUP(C1592,[1]products!$A:$D,4,FALSE)</f>
        <v>4</v>
      </c>
      <c r="J1592" t="str">
        <f>VLOOKUP(I1592,[2]categories!$A$1:$B$8,2,FALSE)</f>
        <v>Cyclocross Bicycles</v>
      </c>
    </row>
    <row r="1593" customHeight="1" spans="1:10">
      <c r="A1593" s="1">
        <v>569</v>
      </c>
      <c r="B1593" s="1">
        <v>1</v>
      </c>
      <c r="C1593" s="1">
        <v>16</v>
      </c>
      <c r="D1593" s="1">
        <v>1</v>
      </c>
      <c r="E1593" s="1">
        <v>599.99</v>
      </c>
      <c r="F1593" s="1">
        <v>0.05</v>
      </c>
      <c r="G1593">
        <f t="shared" si="24"/>
        <v>599.94</v>
      </c>
      <c r="H1593" t="str">
        <f>VLOOKUP(C1593,[1]products!$A:$B,2,FALSE)</f>
        <v>Electra Townie Original 7D EQ - 2016</v>
      </c>
      <c r="I1593">
        <f>VLOOKUP(C1593,[1]products!$A:$D,4,FALSE)</f>
        <v>3</v>
      </c>
      <c r="J1593" t="str">
        <f>VLOOKUP(I1593,[2]categories!$A$1:$B$8,2,FALSE)</f>
        <v>Cruisers Bicycles</v>
      </c>
    </row>
    <row r="1594" customHeight="1" spans="1:10">
      <c r="A1594" s="1">
        <v>569</v>
      </c>
      <c r="B1594" s="1">
        <v>2</v>
      </c>
      <c r="C1594" s="1">
        <v>24</v>
      </c>
      <c r="D1594" s="1">
        <v>2</v>
      </c>
      <c r="E1594" s="1">
        <v>549.99</v>
      </c>
      <c r="F1594" s="1">
        <v>0.1</v>
      </c>
      <c r="G1594">
        <f t="shared" si="24"/>
        <v>1099.88</v>
      </c>
      <c r="H1594" t="str">
        <f>VLOOKUP(C1594,[1]products!$A:$B,2,FALSE)</f>
        <v>Electra Townie Original 21D - 2016</v>
      </c>
      <c r="I1594">
        <f>VLOOKUP(C1594,[1]products!$A:$D,4,FALSE)</f>
        <v>2</v>
      </c>
      <c r="J1594" t="str">
        <f>VLOOKUP(I1594,[2]categories!$A$1:$B$8,2,FALSE)</f>
        <v>Comfort Bicycles</v>
      </c>
    </row>
    <row r="1595" customHeight="1" spans="1:10">
      <c r="A1595" s="1">
        <v>570</v>
      </c>
      <c r="B1595" s="1">
        <v>1</v>
      </c>
      <c r="C1595" s="1">
        <v>18</v>
      </c>
      <c r="D1595" s="1">
        <v>1</v>
      </c>
      <c r="E1595" s="1">
        <v>449</v>
      </c>
      <c r="F1595" s="1">
        <v>0.07</v>
      </c>
      <c r="G1595">
        <f t="shared" si="24"/>
        <v>448.93</v>
      </c>
      <c r="H1595" t="str">
        <f>VLOOKUP(C1595,[1]products!$A:$B,2,FALSE)</f>
        <v>Pure Cycles Western 3-Speed - Women's - 2015/2016</v>
      </c>
      <c r="I1595">
        <f>VLOOKUP(C1595,[1]products!$A:$D,4,FALSE)</f>
        <v>3</v>
      </c>
      <c r="J1595" t="str">
        <f>VLOOKUP(I1595,[2]categories!$A$1:$B$8,2,FALSE)</f>
        <v>Cruisers Bicycles</v>
      </c>
    </row>
    <row r="1596" customHeight="1" spans="1:10">
      <c r="A1596" s="1">
        <v>570</v>
      </c>
      <c r="B1596" s="1">
        <v>2</v>
      </c>
      <c r="C1596" s="1">
        <v>24</v>
      </c>
      <c r="D1596" s="1">
        <v>2</v>
      </c>
      <c r="E1596" s="1">
        <v>549.99</v>
      </c>
      <c r="F1596" s="1">
        <v>0.1</v>
      </c>
      <c r="G1596">
        <f t="shared" si="24"/>
        <v>1099.88</v>
      </c>
      <c r="H1596" t="str">
        <f>VLOOKUP(C1596,[1]products!$A:$B,2,FALSE)</f>
        <v>Electra Townie Original 21D - 2016</v>
      </c>
      <c r="I1596">
        <f>VLOOKUP(C1596,[1]products!$A:$D,4,FALSE)</f>
        <v>2</v>
      </c>
      <c r="J1596" t="str">
        <f>VLOOKUP(I1596,[2]categories!$A$1:$B$8,2,FALSE)</f>
        <v>Comfort Bicycles</v>
      </c>
    </row>
    <row r="1597" customHeight="1" spans="1:10">
      <c r="A1597" s="1">
        <v>570</v>
      </c>
      <c r="B1597" s="1">
        <v>3</v>
      </c>
      <c r="C1597" s="1">
        <v>3</v>
      </c>
      <c r="D1597" s="1">
        <v>2</v>
      </c>
      <c r="E1597" s="1">
        <v>999.99</v>
      </c>
      <c r="F1597" s="1">
        <v>0.2</v>
      </c>
      <c r="G1597">
        <f t="shared" si="24"/>
        <v>1999.78</v>
      </c>
      <c r="H1597" t="str">
        <f>VLOOKUP(C1597,[1]products!$A:$B,2,FALSE)</f>
        <v>Surly Wednesday Frameset - 2016</v>
      </c>
      <c r="I1597">
        <f>VLOOKUP(C1597,[1]products!$A:$D,4,FALSE)</f>
        <v>6</v>
      </c>
      <c r="J1597" t="str">
        <f>VLOOKUP(I1597,[2]categories!$A$1:$B$8,2,FALSE)</f>
        <v>Mountain Bikes</v>
      </c>
    </row>
    <row r="1598" customHeight="1" spans="1:10">
      <c r="A1598" s="1">
        <v>570</v>
      </c>
      <c r="B1598" s="1">
        <v>4</v>
      </c>
      <c r="C1598" s="1">
        <v>11</v>
      </c>
      <c r="D1598" s="1">
        <v>1</v>
      </c>
      <c r="E1598" s="1">
        <v>1680.99</v>
      </c>
      <c r="F1598" s="1">
        <v>0.1</v>
      </c>
      <c r="G1598">
        <f t="shared" si="24"/>
        <v>1680.89</v>
      </c>
      <c r="H1598" t="str">
        <f>VLOOKUP(C1598,[1]products!$A:$B,2,FALSE)</f>
        <v>Surly Straggler 650b - 2016</v>
      </c>
      <c r="I1598">
        <f>VLOOKUP(C1598,[1]products!$A:$D,4,FALSE)</f>
        <v>4</v>
      </c>
      <c r="J1598" t="str">
        <f>VLOOKUP(I1598,[2]categories!$A$1:$B$8,2,FALSE)</f>
        <v>Cyclocross Bicycles</v>
      </c>
    </row>
    <row r="1599" customHeight="1" spans="1:10">
      <c r="A1599" s="1">
        <v>570</v>
      </c>
      <c r="B1599" s="1">
        <v>5</v>
      </c>
      <c r="C1599" s="1">
        <v>16</v>
      </c>
      <c r="D1599" s="1">
        <v>1</v>
      </c>
      <c r="E1599" s="1">
        <v>599.99</v>
      </c>
      <c r="F1599" s="1">
        <v>0.05</v>
      </c>
      <c r="G1599">
        <f t="shared" si="24"/>
        <v>599.94</v>
      </c>
      <c r="H1599" t="str">
        <f>VLOOKUP(C1599,[1]products!$A:$B,2,FALSE)</f>
        <v>Electra Townie Original 7D EQ - 2016</v>
      </c>
      <c r="I1599">
        <f>VLOOKUP(C1599,[1]products!$A:$D,4,FALSE)</f>
        <v>3</v>
      </c>
      <c r="J1599" t="str">
        <f>VLOOKUP(I1599,[2]categories!$A$1:$B$8,2,FALSE)</f>
        <v>Cruisers Bicycles</v>
      </c>
    </row>
    <row r="1600" customHeight="1" spans="1:10">
      <c r="A1600" s="1">
        <v>571</v>
      </c>
      <c r="B1600" s="1">
        <v>1</v>
      </c>
      <c r="C1600" s="1">
        <v>4</v>
      </c>
      <c r="D1600" s="1">
        <v>1</v>
      </c>
      <c r="E1600" s="1">
        <v>2899.99</v>
      </c>
      <c r="F1600" s="1">
        <v>0.05</v>
      </c>
      <c r="G1600">
        <f t="shared" si="24"/>
        <v>2899.94</v>
      </c>
      <c r="H1600" t="str">
        <f>VLOOKUP(C1600,[1]products!$A:$B,2,FALSE)</f>
        <v>Trek Fuel EX 8 29 - 2016</v>
      </c>
      <c r="I1600">
        <f>VLOOKUP(C1600,[1]products!$A:$D,4,FALSE)</f>
        <v>6</v>
      </c>
      <c r="J1600" t="str">
        <f>VLOOKUP(I1600,[2]categories!$A$1:$B$8,2,FALSE)</f>
        <v>Mountain Bikes</v>
      </c>
    </row>
    <row r="1601" customHeight="1" spans="1:10">
      <c r="A1601" s="1">
        <v>571</v>
      </c>
      <c r="B1601" s="1">
        <v>2</v>
      </c>
      <c r="C1601" s="1">
        <v>9</v>
      </c>
      <c r="D1601" s="1">
        <v>1</v>
      </c>
      <c r="E1601" s="1">
        <v>2999.99</v>
      </c>
      <c r="F1601" s="1">
        <v>0.1</v>
      </c>
      <c r="G1601">
        <f t="shared" si="24"/>
        <v>2999.89</v>
      </c>
      <c r="H1601" t="str">
        <f>VLOOKUP(C1601,[1]products!$A:$B,2,FALSE)</f>
        <v>Trek Conduit+ - 2016</v>
      </c>
      <c r="I1601">
        <f>VLOOKUP(C1601,[1]products!$A:$D,4,FALSE)</f>
        <v>5</v>
      </c>
      <c r="J1601" t="str">
        <f>VLOOKUP(I1601,[2]categories!$A$1:$B$8,2,FALSE)</f>
        <v>Electric Bikes</v>
      </c>
    </row>
    <row r="1602" customHeight="1" spans="1:10">
      <c r="A1602" s="1">
        <v>572</v>
      </c>
      <c r="B1602" s="1">
        <v>1</v>
      </c>
      <c r="C1602" s="1">
        <v>3</v>
      </c>
      <c r="D1602" s="1">
        <v>1</v>
      </c>
      <c r="E1602" s="1">
        <v>999.99</v>
      </c>
      <c r="F1602" s="1">
        <v>0.05</v>
      </c>
      <c r="G1602">
        <f t="shared" si="24"/>
        <v>999.94</v>
      </c>
      <c r="H1602" t="str">
        <f>VLOOKUP(C1602,[1]products!$A:$B,2,FALSE)</f>
        <v>Surly Wednesday Frameset - 2016</v>
      </c>
      <c r="I1602">
        <f>VLOOKUP(C1602,[1]products!$A:$D,4,FALSE)</f>
        <v>6</v>
      </c>
      <c r="J1602" t="str">
        <f>VLOOKUP(I1602,[2]categories!$A$1:$B$8,2,FALSE)</f>
        <v>Mountain Bikes</v>
      </c>
    </row>
    <row r="1603" customHeight="1" spans="1:10">
      <c r="A1603" s="1">
        <v>572</v>
      </c>
      <c r="B1603" s="1">
        <v>2</v>
      </c>
      <c r="C1603" s="1">
        <v>13</v>
      </c>
      <c r="D1603" s="1">
        <v>2</v>
      </c>
      <c r="E1603" s="1">
        <v>269.99</v>
      </c>
      <c r="F1603" s="1">
        <v>0.1</v>
      </c>
      <c r="G1603">
        <f t="shared" ref="G1603:G1666" si="25">(E1603*D1603)-F1603</f>
        <v>539.88</v>
      </c>
      <c r="H1603" t="str">
        <f>VLOOKUP(C1603,[1]products!$A:$B,2,FALSE)</f>
        <v>Electra Cruiser 1 (24-Inch) - 2016</v>
      </c>
      <c r="I1603">
        <f>VLOOKUP(C1603,[1]products!$A:$D,4,FALSE)</f>
        <v>3</v>
      </c>
      <c r="J1603" t="str">
        <f>VLOOKUP(I1603,[2]categories!$A$1:$B$8,2,FALSE)</f>
        <v>Cruisers Bicycles</v>
      </c>
    </row>
    <row r="1604" customHeight="1" spans="1:10">
      <c r="A1604" s="1">
        <v>572</v>
      </c>
      <c r="B1604" s="1">
        <v>3</v>
      </c>
      <c r="C1604" s="1">
        <v>11</v>
      </c>
      <c r="D1604" s="1">
        <v>2</v>
      </c>
      <c r="E1604" s="1">
        <v>1680.99</v>
      </c>
      <c r="F1604" s="1">
        <v>0.2</v>
      </c>
      <c r="G1604">
        <f t="shared" si="25"/>
        <v>3361.78</v>
      </c>
      <c r="H1604" t="str">
        <f>VLOOKUP(C1604,[1]products!$A:$B,2,FALSE)</f>
        <v>Surly Straggler 650b - 2016</v>
      </c>
      <c r="I1604">
        <f>VLOOKUP(C1604,[1]products!$A:$D,4,FALSE)</f>
        <v>4</v>
      </c>
      <c r="J1604" t="str">
        <f>VLOOKUP(I1604,[2]categories!$A$1:$B$8,2,FALSE)</f>
        <v>Cyclocross Bicycles</v>
      </c>
    </row>
    <row r="1605" customHeight="1" spans="1:10">
      <c r="A1605" s="1">
        <v>573</v>
      </c>
      <c r="B1605" s="1">
        <v>1</v>
      </c>
      <c r="C1605" s="1">
        <v>2</v>
      </c>
      <c r="D1605" s="1">
        <v>1</v>
      </c>
      <c r="E1605" s="1">
        <v>749.99</v>
      </c>
      <c r="F1605" s="1">
        <v>0.2</v>
      </c>
      <c r="G1605">
        <f t="shared" si="25"/>
        <v>749.79</v>
      </c>
      <c r="H1605" t="str">
        <f>VLOOKUP(C1605,[1]products!$A:$B,2,FALSE)</f>
        <v>Ritchey Timberwolf Frameset - 2016</v>
      </c>
      <c r="I1605">
        <f>VLOOKUP(C1605,[1]products!$A:$D,4,FALSE)</f>
        <v>6</v>
      </c>
      <c r="J1605" t="str">
        <f>VLOOKUP(I1605,[2]categories!$A$1:$B$8,2,FALSE)</f>
        <v>Mountain Bikes</v>
      </c>
    </row>
    <row r="1606" customHeight="1" spans="1:10">
      <c r="A1606" s="1">
        <v>574</v>
      </c>
      <c r="B1606" s="1">
        <v>1</v>
      </c>
      <c r="C1606" s="1">
        <v>26</v>
      </c>
      <c r="D1606" s="1">
        <v>1</v>
      </c>
      <c r="E1606" s="1">
        <v>599.99</v>
      </c>
      <c r="F1606" s="1">
        <v>0.05</v>
      </c>
      <c r="G1606">
        <f t="shared" si="25"/>
        <v>599.94</v>
      </c>
      <c r="H1606" t="str">
        <f>VLOOKUP(C1606,[1]products!$A:$B,2,FALSE)</f>
        <v>Electra Townie Original 7D EQ - 2016</v>
      </c>
      <c r="I1606">
        <f>VLOOKUP(C1606,[1]products!$A:$D,4,FALSE)</f>
        <v>2</v>
      </c>
      <c r="J1606" t="str">
        <f>VLOOKUP(I1606,[2]categories!$A$1:$B$8,2,FALSE)</f>
        <v>Comfort Bicycles</v>
      </c>
    </row>
    <row r="1607" customHeight="1" spans="1:10">
      <c r="A1607" s="1">
        <v>574</v>
      </c>
      <c r="B1607" s="1">
        <v>2</v>
      </c>
      <c r="C1607" s="1">
        <v>13</v>
      </c>
      <c r="D1607" s="1">
        <v>2</v>
      </c>
      <c r="E1607" s="1">
        <v>269.99</v>
      </c>
      <c r="F1607" s="1">
        <v>0.1</v>
      </c>
      <c r="G1607">
        <f t="shared" si="25"/>
        <v>539.88</v>
      </c>
      <c r="H1607" t="str">
        <f>VLOOKUP(C1607,[1]products!$A:$B,2,FALSE)</f>
        <v>Electra Cruiser 1 (24-Inch) - 2016</v>
      </c>
      <c r="I1607">
        <f>VLOOKUP(C1607,[1]products!$A:$D,4,FALSE)</f>
        <v>3</v>
      </c>
      <c r="J1607" t="str">
        <f>VLOOKUP(I1607,[2]categories!$A$1:$B$8,2,FALSE)</f>
        <v>Cruisers Bicycles</v>
      </c>
    </row>
    <row r="1608" customHeight="1" spans="1:10">
      <c r="A1608" s="1">
        <v>574</v>
      </c>
      <c r="B1608" s="1">
        <v>3</v>
      </c>
      <c r="C1608" s="1">
        <v>12</v>
      </c>
      <c r="D1608" s="1">
        <v>2</v>
      </c>
      <c r="E1608" s="1">
        <v>549.99</v>
      </c>
      <c r="F1608" s="1">
        <v>0.1</v>
      </c>
      <c r="G1608">
        <f t="shared" si="25"/>
        <v>1099.88</v>
      </c>
      <c r="H1608" t="str">
        <f>VLOOKUP(C1608,[1]products!$A:$B,2,FALSE)</f>
        <v>Electra Townie Original 21D - 2016</v>
      </c>
      <c r="I1608">
        <f>VLOOKUP(C1608,[1]products!$A:$D,4,FALSE)</f>
        <v>3</v>
      </c>
      <c r="J1608" t="str">
        <f>VLOOKUP(I1608,[2]categories!$A$1:$B$8,2,FALSE)</f>
        <v>Cruisers Bicycles</v>
      </c>
    </row>
    <row r="1609" customHeight="1" spans="1:10">
      <c r="A1609" s="1">
        <v>574</v>
      </c>
      <c r="B1609" s="1">
        <v>4</v>
      </c>
      <c r="C1609" s="1">
        <v>23</v>
      </c>
      <c r="D1609" s="1">
        <v>2</v>
      </c>
      <c r="E1609" s="1">
        <v>299.99</v>
      </c>
      <c r="F1609" s="1">
        <v>0.1</v>
      </c>
      <c r="G1609">
        <f t="shared" si="25"/>
        <v>599.88</v>
      </c>
      <c r="H1609" t="str">
        <f>VLOOKUP(C1609,[1]products!$A:$B,2,FALSE)</f>
        <v>Electra Girl's Hawaii 1 (20-inch) - 2015/2016</v>
      </c>
      <c r="I1609">
        <f>VLOOKUP(C1609,[1]products!$A:$D,4,FALSE)</f>
        <v>1</v>
      </c>
      <c r="J1609" t="str">
        <f>VLOOKUP(I1609,[2]categories!$A$1:$B$8,2,FALSE)</f>
        <v>Children Bicycles</v>
      </c>
    </row>
    <row r="1610" customHeight="1" spans="1:10">
      <c r="A1610" s="1">
        <v>574</v>
      </c>
      <c r="B1610" s="1">
        <v>5</v>
      </c>
      <c r="C1610" s="1">
        <v>11</v>
      </c>
      <c r="D1610" s="1">
        <v>2</v>
      </c>
      <c r="E1610" s="1">
        <v>1680.99</v>
      </c>
      <c r="F1610" s="1">
        <v>0.05</v>
      </c>
      <c r="G1610">
        <f t="shared" si="25"/>
        <v>3361.93</v>
      </c>
      <c r="H1610" t="str">
        <f>VLOOKUP(C1610,[1]products!$A:$B,2,FALSE)</f>
        <v>Surly Straggler 650b - 2016</v>
      </c>
      <c r="I1610">
        <f>VLOOKUP(C1610,[1]products!$A:$D,4,FALSE)</f>
        <v>4</v>
      </c>
      <c r="J1610" t="str">
        <f>VLOOKUP(I1610,[2]categories!$A$1:$B$8,2,FALSE)</f>
        <v>Cyclocross Bicycles</v>
      </c>
    </row>
    <row r="1611" customHeight="1" spans="1:10">
      <c r="A1611" s="1">
        <v>575</v>
      </c>
      <c r="B1611" s="1">
        <v>1</v>
      </c>
      <c r="C1611" s="1">
        <v>4</v>
      </c>
      <c r="D1611" s="1">
        <v>2</v>
      </c>
      <c r="E1611" s="1">
        <v>2899.99</v>
      </c>
      <c r="F1611" s="1">
        <v>0.07</v>
      </c>
      <c r="G1611">
        <f t="shared" si="25"/>
        <v>5799.91</v>
      </c>
      <c r="H1611" t="str">
        <f>VLOOKUP(C1611,[1]products!$A:$B,2,FALSE)</f>
        <v>Trek Fuel EX 8 29 - 2016</v>
      </c>
      <c r="I1611">
        <f>VLOOKUP(C1611,[1]products!$A:$D,4,FALSE)</f>
        <v>6</v>
      </c>
      <c r="J1611" t="str">
        <f>VLOOKUP(I1611,[2]categories!$A$1:$B$8,2,FALSE)</f>
        <v>Mountain Bikes</v>
      </c>
    </row>
    <row r="1612" customHeight="1" spans="1:10">
      <c r="A1612" s="1">
        <v>575</v>
      </c>
      <c r="B1612" s="1">
        <v>2</v>
      </c>
      <c r="C1612" s="1">
        <v>12</v>
      </c>
      <c r="D1612" s="1">
        <v>1</v>
      </c>
      <c r="E1612" s="1">
        <v>549.99</v>
      </c>
      <c r="F1612" s="1">
        <v>0.2</v>
      </c>
      <c r="G1612">
        <f t="shared" si="25"/>
        <v>549.79</v>
      </c>
      <c r="H1612" t="str">
        <f>VLOOKUP(C1612,[1]products!$A:$B,2,FALSE)</f>
        <v>Electra Townie Original 21D - 2016</v>
      </c>
      <c r="I1612">
        <f>VLOOKUP(C1612,[1]products!$A:$D,4,FALSE)</f>
        <v>3</v>
      </c>
      <c r="J1612" t="str">
        <f>VLOOKUP(I1612,[2]categories!$A$1:$B$8,2,FALSE)</f>
        <v>Cruisers Bicycles</v>
      </c>
    </row>
    <row r="1613" customHeight="1" spans="1:10">
      <c r="A1613" s="1">
        <v>576</v>
      </c>
      <c r="B1613" s="1">
        <v>1</v>
      </c>
      <c r="C1613" s="1">
        <v>9</v>
      </c>
      <c r="D1613" s="1">
        <v>1</v>
      </c>
      <c r="E1613" s="1">
        <v>2999.99</v>
      </c>
      <c r="F1613" s="1">
        <v>0.1</v>
      </c>
      <c r="G1613">
        <f t="shared" si="25"/>
        <v>2999.89</v>
      </c>
      <c r="H1613" t="str">
        <f>VLOOKUP(C1613,[1]products!$A:$B,2,FALSE)</f>
        <v>Trek Conduit+ - 2016</v>
      </c>
      <c r="I1613">
        <f>VLOOKUP(C1613,[1]products!$A:$D,4,FALSE)</f>
        <v>5</v>
      </c>
      <c r="J1613" t="str">
        <f>VLOOKUP(I1613,[2]categories!$A$1:$B$8,2,FALSE)</f>
        <v>Electric Bikes</v>
      </c>
    </row>
    <row r="1614" customHeight="1" spans="1:10">
      <c r="A1614" s="1">
        <v>577</v>
      </c>
      <c r="B1614" s="1">
        <v>1</v>
      </c>
      <c r="C1614" s="1">
        <v>3</v>
      </c>
      <c r="D1614" s="1">
        <v>2</v>
      </c>
      <c r="E1614" s="1">
        <v>999.99</v>
      </c>
      <c r="F1614" s="1">
        <v>0.2</v>
      </c>
      <c r="G1614">
        <f t="shared" si="25"/>
        <v>1999.78</v>
      </c>
      <c r="H1614" t="str">
        <f>VLOOKUP(C1614,[1]products!$A:$B,2,FALSE)</f>
        <v>Surly Wednesday Frameset - 2016</v>
      </c>
      <c r="I1614">
        <f>VLOOKUP(C1614,[1]products!$A:$D,4,FALSE)</f>
        <v>6</v>
      </c>
      <c r="J1614" t="str">
        <f>VLOOKUP(I1614,[2]categories!$A$1:$B$8,2,FALSE)</f>
        <v>Mountain Bikes</v>
      </c>
    </row>
    <row r="1615" customHeight="1" spans="1:10">
      <c r="A1615" s="1">
        <v>578</v>
      </c>
      <c r="B1615" s="1">
        <v>1</v>
      </c>
      <c r="C1615" s="1">
        <v>21</v>
      </c>
      <c r="D1615" s="1">
        <v>1</v>
      </c>
      <c r="E1615" s="1">
        <v>269.99</v>
      </c>
      <c r="F1615" s="1">
        <v>0.07</v>
      </c>
      <c r="G1615">
        <f t="shared" si="25"/>
        <v>269.92</v>
      </c>
      <c r="H1615" t="str">
        <f>VLOOKUP(C1615,[1]products!$A:$B,2,FALSE)</f>
        <v>Electra Cruiser 1 (24-Inch) - 2016</v>
      </c>
      <c r="I1615">
        <f>VLOOKUP(C1615,[1]products!$A:$D,4,FALSE)</f>
        <v>1</v>
      </c>
      <c r="J1615" t="str">
        <f>VLOOKUP(I1615,[2]categories!$A$1:$B$8,2,FALSE)</f>
        <v>Children Bicycles</v>
      </c>
    </row>
    <row r="1616" customHeight="1" spans="1:10">
      <c r="A1616" s="1">
        <v>578</v>
      </c>
      <c r="B1616" s="1">
        <v>2</v>
      </c>
      <c r="C1616" s="1">
        <v>25</v>
      </c>
      <c r="D1616" s="1">
        <v>2</v>
      </c>
      <c r="E1616" s="1">
        <v>499.99</v>
      </c>
      <c r="F1616" s="1">
        <v>0.2</v>
      </c>
      <c r="G1616">
        <f t="shared" si="25"/>
        <v>999.78</v>
      </c>
      <c r="H1616" t="str">
        <f>VLOOKUP(C1616,[1]products!$A:$B,2,FALSE)</f>
        <v>Electra Townie Original 7D - 2015/2016</v>
      </c>
      <c r="I1616">
        <f>VLOOKUP(C1616,[1]products!$A:$D,4,FALSE)</f>
        <v>2</v>
      </c>
      <c r="J1616" t="str">
        <f>VLOOKUP(I1616,[2]categories!$A$1:$B$8,2,FALSE)</f>
        <v>Comfort Bicycles</v>
      </c>
    </row>
    <row r="1617" customHeight="1" spans="1:10">
      <c r="A1617" s="1">
        <v>578</v>
      </c>
      <c r="B1617" s="1">
        <v>3</v>
      </c>
      <c r="C1617" s="1">
        <v>18</v>
      </c>
      <c r="D1617" s="1">
        <v>2</v>
      </c>
      <c r="E1617" s="1">
        <v>449</v>
      </c>
      <c r="F1617" s="1">
        <v>0.05</v>
      </c>
      <c r="G1617">
        <f t="shared" si="25"/>
        <v>897.95</v>
      </c>
      <c r="H1617" t="str">
        <f>VLOOKUP(C1617,[1]products!$A:$B,2,FALSE)</f>
        <v>Pure Cycles Western 3-Speed - Women's - 2015/2016</v>
      </c>
      <c r="I1617">
        <f>VLOOKUP(C1617,[1]products!$A:$D,4,FALSE)</f>
        <v>3</v>
      </c>
      <c r="J1617" t="str">
        <f>VLOOKUP(I1617,[2]categories!$A$1:$B$8,2,FALSE)</f>
        <v>Cruisers Bicycles</v>
      </c>
    </row>
    <row r="1618" customHeight="1" spans="1:10">
      <c r="A1618" s="1">
        <v>578</v>
      </c>
      <c r="B1618" s="1">
        <v>4</v>
      </c>
      <c r="C1618" s="1">
        <v>8</v>
      </c>
      <c r="D1618" s="1">
        <v>2</v>
      </c>
      <c r="E1618" s="1">
        <v>1799.99</v>
      </c>
      <c r="F1618" s="1">
        <v>0.2</v>
      </c>
      <c r="G1618">
        <f t="shared" si="25"/>
        <v>3599.78</v>
      </c>
      <c r="H1618" t="str">
        <f>VLOOKUP(C1618,[1]products!$A:$B,2,FALSE)</f>
        <v>Trek Remedy 29 Carbon Frameset - 2016</v>
      </c>
      <c r="I1618">
        <f>VLOOKUP(C1618,[1]products!$A:$D,4,FALSE)</f>
        <v>6</v>
      </c>
      <c r="J1618" t="str">
        <f>VLOOKUP(I1618,[2]categories!$A$1:$B$8,2,FALSE)</f>
        <v>Mountain Bikes</v>
      </c>
    </row>
    <row r="1619" customHeight="1" spans="1:10">
      <c r="A1619" s="1">
        <v>579</v>
      </c>
      <c r="B1619" s="1">
        <v>1</v>
      </c>
      <c r="C1619" s="1">
        <v>7</v>
      </c>
      <c r="D1619" s="1">
        <v>2</v>
      </c>
      <c r="E1619" s="1">
        <v>3999.99</v>
      </c>
      <c r="F1619" s="1">
        <v>0.05</v>
      </c>
      <c r="G1619">
        <f t="shared" si="25"/>
        <v>7999.93</v>
      </c>
      <c r="H1619" t="str">
        <f>VLOOKUP(C1619,[1]products!$A:$B,2,FALSE)</f>
        <v>Trek Slash 8 27.5 - 2016</v>
      </c>
      <c r="I1619">
        <f>VLOOKUP(C1619,[1]products!$A:$D,4,FALSE)</f>
        <v>6</v>
      </c>
      <c r="J1619" t="str">
        <f>VLOOKUP(I1619,[2]categories!$A$1:$B$8,2,FALSE)</f>
        <v>Mountain Bikes</v>
      </c>
    </row>
    <row r="1620" customHeight="1" spans="1:10">
      <c r="A1620" s="1">
        <v>579</v>
      </c>
      <c r="B1620" s="1">
        <v>2</v>
      </c>
      <c r="C1620" s="1">
        <v>6</v>
      </c>
      <c r="D1620" s="1">
        <v>1</v>
      </c>
      <c r="E1620" s="1">
        <v>469.99</v>
      </c>
      <c r="F1620" s="1">
        <v>0.2</v>
      </c>
      <c r="G1620">
        <f t="shared" si="25"/>
        <v>469.79</v>
      </c>
      <c r="H1620" t="str">
        <f>VLOOKUP(C1620,[1]products!$A:$B,2,FALSE)</f>
        <v>Surly Ice Cream Truck Frameset - 2016</v>
      </c>
      <c r="I1620">
        <f>VLOOKUP(C1620,[1]products!$A:$D,4,FALSE)</f>
        <v>6</v>
      </c>
      <c r="J1620" t="str">
        <f>VLOOKUP(I1620,[2]categories!$A$1:$B$8,2,FALSE)</f>
        <v>Mountain Bikes</v>
      </c>
    </row>
    <row r="1621" customHeight="1" spans="1:10">
      <c r="A1621" s="1">
        <v>580</v>
      </c>
      <c r="B1621" s="1">
        <v>1</v>
      </c>
      <c r="C1621" s="1">
        <v>16</v>
      </c>
      <c r="D1621" s="1">
        <v>2</v>
      </c>
      <c r="E1621" s="1">
        <v>599.99</v>
      </c>
      <c r="F1621" s="1">
        <v>0.2</v>
      </c>
      <c r="G1621">
        <f t="shared" si="25"/>
        <v>1199.78</v>
      </c>
      <c r="H1621" t="str">
        <f>VLOOKUP(C1621,[1]products!$A:$B,2,FALSE)</f>
        <v>Electra Townie Original 7D EQ - 2016</v>
      </c>
      <c r="I1621">
        <f>VLOOKUP(C1621,[1]products!$A:$D,4,FALSE)</f>
        <v>3</v>
      </c>
      <c r="J1621" t="str">
        <f>VLOOKUP(I1621,[2]categories!$A$1:$B$8,2,FALSE)</f>
        <v>Cruisers Bicycles</v>
      </c>
    </row>
    <row r="1622" customHeight="1" spans="1:10">
      <c r="A1622" s="1">
        <v>580</v>
      </c>
      <c r="B1622" s="1">
        <v>2</v>
      </c>
      <c r="C1622" s="1">
        <v>15</v>
      </c>
      <c r="D1622" s="1">
        <v>1</v>
      </c>
      <c r="E1622" s="1">
        <v>529.99</v>
      </c>
      <c r="F1622" s="1">
        <v>0.07</v>
      </c>
      <c r="G1622">
        <f t="shared" si="25"/>
        <v>529.92</v>
      </c>
      <c r="H1622" t="str">
        <f>VLOOKUP(C1622,[1]products!$A:$B,2,FALSE)</f>
        <v>Electra Moto 1 - 2016</v>
      </c>
      <c r="I1622">
        <f>VLOOKUP(C1622,[1]products!$A:$D,4,FALSE)</f>
        <v>3</v>
      </c>
      <c r="J1622" t="str">
        <f>VLOOKUP(I1622,[2]categories!$A$1:$B$8,2,FALSE)</f>
        <v>Cruisers Bicycles</v>
      </c>
    </row>
    <row r="1623" customHeight="1" spans="1:10">
      <c r="A1623" s="1">
        <v>580</v>
      </c>
      <c r="B1623" s="1">
        <v>3</v>
      </c>
      <c r="C1623" s="1">
        <v>21</v>
      </c>
      <c r="D1623" s="1">
        <v>2</v>
      </c>
      <c r="E1623" s="1">
        <v>269.99</v>
      </c>
      <c r="F1623" s="1">
        <v>0.2</v>
      </c>
      <c r="G1623">
        <f t="shared" si="25"/>
        <v>539.78</v>
      </c>
      <c r="H1623" t="str">
        <f>VLOOKUP(C1623,[1]products!$A:$B,2,FALSE)</f>
        <v>Electra Cruiser 1 (24-Inch) - 2016</v>
      </c>
      <c r="I1623">
        <f>VLOOKUP(C1623,[1]products!$A:$D,4,FALSE)</f>
        <v>1</v>
      </c>
      <c r="J1623" t="str">
        <f>VLOOKUP(I1623,[2]categories!$A$1:$B$8,2,FALSE)</f>
        <v>Children Bicycles</v>
      </c>
    </row>
    <row r="1624" customHeight="1" spans="1:10">
      <c r="A1624" s="1">
        <v>580</v>
      </c>
      <c r="B1624" s="1">
        <v>4</v>
      </c>
      <c r="C1624" s="1">
        <v>9</v>
      </c>
      <c r="D1624" s="1">
        <v>2</v>
      </c>
      <c r="E1624" s="1">
        <v>2999.99</v>
      </c>
      <c r="F1624" s="1">
        <v>0.07</v>
      </c>
      <c r="G1624">
        <f t="shared" si="25"/>
        <v>5999.91</v>
      </c>
      <c r="H1624" t="str">
        <f>VLOOKUP(C1624,[1]products!$A:$B,2,FALSE)</f>
        <v>Trek Conduit+ - 2016</v>
      </c>
      <c r="I1624">
        <f>VLOOKUP(C1624,[1]products!$A:$D,4,FALSE)</f>
        <v>5</v>
      </c>
      <c r="J1624" t="str">
        <f>VLOOKUP(I1624,[2]categories!$A$1:$B$8,2,FALSE)</f>
        <v>Electric Bikes</v>
      </c>
    </row>
    <row r="1625" customHeight="1" spans="1:10">
      <c r="A1625" s="1">
        <v>580</v>
      </c>
      <c r="B1625" s="1">
        <v>5</v>
      </c>
      <c r="C1625" s="1">
        <v>19</v>
      </c>
      <c r="D1625" s="1">
        <v>1</v>
      </c>
      <c r="E1625" s="1">
        <v>449</v>
      </c>
      <c r="F1625" s="1">
        <v>0.2</v>
      </c>
      <c r="G1625">
        <f t="shared" si="25"/>
        <v>448.8</v>
      </c>
      <c r="H1625" t="str">
        <f>VLOOKUP(C1625,[1]products!$A:$B,2,FALSE)</f>
        <v>Pure Cycles William 3-Speed - 2016</v>
      </c>
      <c r="I1625">
        <f>VLOOKUP(C1625,[1]products!$A:$D,4,FALSE)</f>
        <v>3</v>
      </c>
      <c r="J1625" t="str">
        <f>VLOOKUP(I1625,[2]categories!$A$1:$B$8,2,FALSE)</f>
        <v>Cruisers Bicycles</v>
      </c>
    </row>
    <row r="1626" customHeight="1" spans="1:10">
      <c r="A1626" s="1">
        <v>581</v>
      </c>
      <c r="B1626" s="1">
        <v>1</v>
      </c>
      <c r="C1626" s="1">
        <v>8</v>
      </c>
      <c r="D1626" s="1">
        <v>2</v>
      </c>
      <c r="E1626" s="1">
        <v>1799.99</v>
      </c>
      <c r="F1626" s="1">
        <v>0.07</v>
      </c>
      <c r="G1626">
        <f t="shared" si="25"/>
        <v>3599.91</v>
      </c>
      <c r="H1626" t="str">
        <f>VLOOKUP(C1626,[1]products!$A:$B,2,FALSE)</f>
        <v>Trek Remedy 29 Carbon Frameset - 2016</v>
      </c>
      <c r="I1626">
        <f>VLOOKUP(C1626,[1]products!$A:$D,4,FALSE)</f>
        <v>6</v>
      </c>
      <c r="J1626" t="str">
        <f>VLOOKUP(I1626,[2]categories!$A$1:$B$8,2,FALSE)</f>
        <v>Mountain Bikes</v>
      </c>
    </row>
    <row r="1627" customHeight="1" spans="1:10">
      <c r="A1627" s="1">
        <v>582</v>
      </c>
      <c r="B1627" s="1">
        <v>1</v>
      </c>
      <c r="C1627" s="1">
        <v>10</v>
      </c>
      <c r="D1627" s="1">
        <v>2</v>
      </c>
      <c r="E1627" s="1">
        <v>1549</v>
      </c>
      <c r="F1627" s="1">
        <v>0.2</v>
      </c>
      <c r="G1627">
        <f t="shared" si="25"/>
        <v>3097.8</v>
      </c>
      <c r="H1627" t="str">
        <f>VLOOKUP(C1627,[1]products!$A:$B,2,FALSE)</f>
        <v>Surly Straggler - 2016</v>
      </c>
      <c r="I1627">
        <f>VLOOKUP(C1627,[1]products!$A:$D,4,FALSE)</f>
        <v>4</v>
      </c>
      <c r="J1627" t="str">
        <f>VLOOKUP(I1627,[2]categories!$A$1:$B$8,2,FALSE)</f>
        <v>Cyclocross Bicycles</v>
      </c>
    </row>
    <row r="1628" customHeight="1" spans="1:10">
      <c r="A1628" s="1">
        <v>582</v>
      </c>
      <c r="B1628" s="1">
        <v>2</v>
      </c>
      <c r="C1628" s="1">
        <v>17</v>
      </c>
      <c r="D1628" s="1">
        <v>2</v>
      </c>
      <c r="E1628" s="1">
        <v>429</v>
      </c>
      <c r="F1628" s="1">
        <v>0.07</v>
      </c>
      <c r="G1628">
        <f t="shared" si="25"/>
        <v>857.93</v>
      </c>
      <c r="H1628" t="str">
        <f>VLOOKUP(C1628,[1]products!$A:$B,2,FALSE)</f>
        <v>Pure Cycles Vine 8-Speed - 2016</v>
      </c>
      <c r="I1628">
        <f>VLOOKUP(C1628,[1]products!$A:$D,4,FALSE)</f>
        <v>3</v>
      </c>
      <c r="J1628" t="str">
        <f>VLOOKUP(I1628,[2]categories!$A$1:$B$8,2,FALSE)</f>
        <v>Cruisers Bicycles</v>
      </c>
    </row>
    <row r="1629" customHeight="1" spans="1:10">
      <c r="A1629" s="1">
        <v>583</v>
      </c>
      <c r="B1629" s="1">
        <v>1</v>
      </c>
      <c r="C1629" s="1">
        <v>15</v>
      </c>
      <c r="D1629" s="1">
        <v>2</v>
      </c>
      <c r="E1629" s="1">
        <v>529.99</v>
      </c>
      <c r="F1629" s="1">
        <v>0.2</v>
      </c>
      <c r="G1629">
        <f t="shared" si="25"/>
        <v>1059.78</v>
      </c>
      <c r="H1629" t="str">
        <f>VLOOKUP(C1629,[1]products!$A:$B,2,FALSE)</f>
        <v>Electra Moto 1 - 2016</v>
      </c>
      <c r="I1629">
        <f>VLOOKUP(C1629,[1]products!$A:$D,4,FALSE)</f>
        <v>3</v>
      </c>
      <c r="J1629" t="str">
        <f>VLOOKUP(I1629,[2]categories!$A$1:$B$8,2,FALSE)</f>
        <v>Cruisers Bicycles</v>
      </c>
    </row>
    <row r="1630" customHeight="1" spans="1:10">
      <c r="A1630" s="1">
        <v>584</v>
      </c>
      <c r="B1630" s="1">
        <v>1</v>
      </c>
      <c r="C1630" s="1">
        <v>19</v>
      </c>
      <c r="D1630" s="1">
        <v>1</v>
      </c>
      <c r="E1630" s="1">
        <v>449</v>
      </c>
      <c r="F1630" s="1">
        <v>0.07</v>
      </c>
      <c r="G1630">
        <f t="shared" si="25"/>
        <v>448.93</v>
      </c>
      <c r="H1630" t="str">
        <f>VLOOKUP(C1630,[1]products!$A:$B,2,FALSE)</f>
        <v>Pure Cycles William 3-Speed - 2016</v>
      </c>
      <c r="I1630">
        <f>VLOOKUP(C1630,[1]products!$A:$D,4,FALSE)</f>
        <v>3</v>
      </c>
      <c r="J1630" t="str">
        <f>VLOOKUP(I1630,[2]categories!$A$1:$B$8,2,FALSE)</f>
        <v>Cruisers Bicycles</v>
      </c>
    </row>
    <row r="1631" customHeight="1" spans="1:10">
      <c r="A1631" s="1">
        <v>584</v>
      </c>
      <c r="B1631" s="1">
        <v>2</v>
      </c>
      <c r="C1631" s="1">
        <v>23</v>
      </c>
      <c r="D1631" s="1">
        <v>1</v>
      </c>
      <c r="E1631" s="1">
        <v>299.99</v>
      </c>
      <c r="F1631" s="1">
        <v>0.07</v>
      </c>
      <c r="G1631">
        <f t="shared" si="25"/>
        <v>299.92</v>
      </c>
      <c r="H1631" t="str">
        <f>VLOOKUP(C1631,[1]products!$A:$B,2,FALSE)</f>
        <v>Electra Girl's Hawaii 1 (20-inch) - 2015/2016</v>
      </c>
      <c r="I1631">
        <f>VLOOKUP(C1631,[1]products!$A:$D,4,FALSE)</f>
        <v>1</v>
      </c>
      <c r="J1631" t="str">
        <f>VLOOKUP(I1631,[2]categories!$A$1:$B$8,2,FALSE)</f>
        <v>Children Bicycles</v>
      </c>
    </row>
    <row r="1632" customHeight="1" spans="1:10">
      <c r="A1632" s="1">
        <v>584</v>
      </c>
      <c r="B1632" s="1">
        <v>3</v>
      </c>
      <c r="C1632" s="1">
        <v>15</v>
      </c>
      <c r="D1632" s="1">
        <v>1</v>
      </c>
      <c r="E1632" s="1">
        <v>529.99</v>
      </c>
      <c r="F1632" s="1">
        <v>0.1</v>
      </c>
      <c r="G1632">
        <f t="shared" si="25"/>
        <v>529.89</v>
      </c>
      <c r="H1632" t="str">
        <f>VLOOKUP(C1632,[1]products!$A:$B,2,FALSE)</f>
        <v>Electra Moto 1 - 2016</v>
      </c>
      <c r="I1632">
        <f>VLOOKUP(C1632,[1]products!$A:$D,4,FALSE)</f>
        <v>3</v>
      </c>
      <c r="J1632" t="str">
        <f>VLOOKUP(I1632,[2]categories!$A$1:$B$8,2,FALSE)</f>
        <v>Cruisers Bicycles</v>
      </c>
    </row>
    <row r="1633" customHeight="1" spans="1:10">
      <c r="A1633" s="1">
        <v>584</v>
      </c>
      <c r="B1633" s="1">
        <v>4</v>
      </c>
      <c r="C1633" s="1">
        <v>22</v>
      </c>
      <c r="D1633" s="1">
        <v>1</v>
      </c>
      <c r="E1633" s="1">
        <v>269.99</v>
      </c>
      <c r="F1633" s="1">
        <v>0.05</v>
      </c>
      <c r="G1633">
        <f t="shared" si="25"/>
        <v>269.94</v>
      </c>
      <c r="H1633" t="str">
        <f>VLOOKUP(C1633,[1]products!$A:$B,2,FALSE)</f>
        <v>Electra Girl's Hawaii 1 (16-inch) - 2015/2016</v>
      </c>
      <c r="I1633">
        <f>VLOOKUP(C1633,[1]products!$A:$D,4,FALSE)</f>
        <v>1</v>
      </c>
      <c r="J1633" t="str">
        <f>VLOOKUP(I1633,[2]categories!$A$1:$B$8,2,FALSE)</f>
        <v>Children Bicycles</v>
      </c>
    </row>
    <row r="1634" customHeight="1" spans="1:10">
      <c r="A1634" s="1">
        <v>584</v>
      </c>
      <c r="B1634" s="1">
        <v>5</v>
      </c>
      <c r="C1634" s="1">
        <v>8</v>
      </c>
      <c r="D1634" s="1">
        <v>2</v>
      </c>
      <c r="E1634" s="1">
        <v>1799.99</v>
      </c>
      <c r="F1634" s="1">
        <v>0.07</v>
      </c>
      <c r="G1634">
        <f t="shared" si="25"/>
        <v>3599.91</v>
      </c>
      <c r="H1634" t="str">
        <f>VLOOKUP(C1634,[1]products!$A:$B,2,FALSE)</f>
        <v>Trek Remedy 29 Carbon Frameset - 2016</v>
      </c>
      <c r="I1634">
        <f>VLOOKUP(C1634,[1]products!$A:$D,4,FALSE)</f>
        <v>6</v>
      </c>
      <c r="J1634" t="str">
        <f>VLOOKUP(I1634,[2]categories!$A$1:$B$8,2,FALSE)</f>
        <v>Mountain Bikes</v>
      </c>
    </row>
    <row r="1635" customHeight="1" spans="1:10">
      <c r="A1635" s="1">
        <v>585</v>
      </c>
      <c r="B1635" s="1">
        <v>1</v>
      </c>
      <c r="C1635" s="1">
        <v>10</v>
      </c>
      <c r="D1635" s="1">
        <v>1</v>
      </c>
      <c r="E1635" s="1">
        <v>1549</v>
      </c>
      <c r="F1635" s="1">
        <v>0.2</v>
      </c>
      <c r="G1635">
        <f t="shared" si="25"/>
        <v>1548.8</v>
      </c>
      <c r="H1635" t="str">
        <f>VLOOKUP(C1635,[1]products!$A:$B,2,FALSE)</f>
        <v>Surly Straggler - 2016</v>
      </c>
      <c r="I1635">
        <f>VLOOKUP(C1635,[1]products!$A:$D,4,FALSE)</f>
        <v>4</v>
      </c>
      <c r="J1635" t="str">
        <f>VLOOKUP(I1635,[2]categories!$A$1:$B$8,2,FALSE)</f>
        <v>Cyclocross Bicycles</v>
      </c>
    </row>
    <row r="1636" customHeight="1" spans="1:10">
      <c r="A1636" s="1">
        <v>585</v>
      </c>
      <c r="B1636" s="1">
        <v>2</v>
      </c>
      <c r="C1636" s="1">
        <v>18</v>
      </c>
      <c r="D1636" s="1">
        <v>2</v>
      </c>
      <c r="E1636" s="1">
        <v>449</v>
      </c>
      <c r="F1636" s="1">
        <v>0.2</v>
      </c>
      <c r="G1636">
        <f t="shared" si="25"/>
        <v>897.8</v>
      </c>
      <c r="H1636" t="str">
        <f>VLOOKUP(C1636,[1]products!$A:$B,2,FALSE)</f>
        <v>Pure Cycles Western 3-Speed - Women's - 2015/2016</v>
      </c>
      <c r="I1636">
        <f>VLOOKUP(C1636,[1]products!$A:$D,4,FALSE)</f>
        <v>3</v>
      </c>
      <c r="J1636" t="str">
        <f>VLOOKUP(I1636,[2]categories!$A$1:$B$8,2,FALSE)</f>
        <v>Cruisers Bicycles</v>
      </c>
    </row>
    <row r="1637" customHeight="1" spans="1:10">
      <c r="A1637" s="1">
        <v>585</v>
      </c>
      <c r="B1637" s="1">
        <v>3</v>
      </c>
      <c r="C1637" s="1">
        <v>15</v>
      </c>
      <c r="D1637" s="1">
        <v>1</v>
      </c>
      <c r="E1637" s="1">
        <v>529.99</v>
      </c>
      <c r="F1637" s="1">
        <v>0.05</v>
      </c>
      <c r="G1637">
        <f t="shared" si="25"/>
        <v>529.94</v>
      </c>
      <c r="H1637" t="str">
        <f>VLOOKUP(C1637,[1]products!$A:$B,2,FALSE)</f>
        <v>Electra Moto 1 - 2016</v>
      </c>
      <c r="I1637">
        <f>VLOOKUP(C1637,[1]products!$A:$D,4,FALSE)</f>
        <v>3</v>
      </c>
      <c r="J1637" t="str">
        <f>VLOOKUP(I1637,[2]categories!$A$1:$B$8,2,FALSE)</f>
        <v>Cruisers Bicycles</v>
      </c>
    </row>
    <row r="1638" customHeight="1" spans="1:10">
      <c r="A1638" s="1">
        <v>585</v>
      </c>
      <c r="B1638" s="1">
        <v>4</v>
      </c>
      <c r="C1638" s="1">
        <v>12</v>
      </c>
      <c r="D1638" s="1">
        <v>2</v>
      </c>
      <c r="E1638" s="1">
        <v>549.99</v>
      </c>
      <c r="F1638" s="1">
        <v>0.07</v>
      </c>
      <c r="G1638">
        <f t="shared" si="25"/>
        <v>1099.91</v>
      </c>
      <c r="H1638" t="str">
        <f>VLOOKUP(C1638,[1]products!$A:$B,2,FALSE)</f>
        <v>Electra Townie Original 21D - 2016</v>
      </c>
      <c r="I1638">
        <f>VLOOKUP(C1638,[1]products!$A:$D,4,FALSE)</f>
        <v>3</v>
      </c>
      <c r="J1638" t="str">
        <f>VLOOKUP(I1638,[2]categories!$A$1:$B$8,2,FALSE)</f>
        <v>Cruisers Bicycles</v>
      </c>
    </row>
    <row r="1639" customHeight="1" spans="1:10">
      <c r="A1639" s="1">
        <v>586</v>
      </c>
      <c r="B1639" s="1">
        <v>1</v>
      </c>
      <c r="C1639" s="1">
        <v>11</v>
      </c>
      <c r="D1639" s="1">
        <v>2</v>
      </c>
      <c r="E1639" s="1">
        <v>1680.99</v>
      </c>
      <c r="F1639" s="1">
        <v>0.1</v>
      </c>
      <c r="G1639">
        <f t="shared" si="25"/>
        <v>3361.88</v>
      </c>
      <c r="H1639" t="str">
        <f>VLOOKUP(C1639,[1]products!$A:$B,2,FALSE)</f>
        <v>Surly Straggler 650b - 2016</v>
      </c>
      <c r="I1639">
        <f>VLOOKUP(C1639,[1]products!$A:$D,4,FALSE)</f>
        <v>4</v>
      </c>
      <c r="J1639" t="str">
        <f>VLOOKUP(I1639,[2]categories!$A$1:$B$8,2,FALSE)</f>
        <v>Cyclocross Bicycles</v>
      </c>
    </row>
    <row r="1640" customHeight="1" spans="1:10">
      <c r="A1640" s="1">
        <v>586</v>
      </c>
      <c r="B1640" s="1">
        <v>2</v>
      </c>
      <c r="C1640" s="1">
        <v>23</v>
      </c>
      <c r="D1640" s="1">
        <v>2</v>
      </c>
      <c r="E1640" s="1">
        <v>299.99</v>
      </c>
      <c r="F1640" s="1">
        <v>0.2</v>
      </c>
      <c r="G1640">
        <f t="shared" si="25"/>
        <v>599.78</v>
      </c>
      <c r="H1640" t="str">
        <f>VLOOKUP(C1640,[1]products!$A:$B,2,FALSE)</f>
        <v>Electra Girl's Hawaii 1 (20-inch) - 2015/2016</v>
      </c>
      <c r="I1640">
        <f>VLOOKUP(C1640,[1]products!$A:$D,4,FALSE)</f>
        <v>1</v>
      </c>
      <c r="J1640" t="str">
        <f>VLOOKUP(I1640,[2]categories!$A$1:$B$8,2,FALSE)</f>
        <v>Children Bicycles</v>
      </c>
    </row>
    <row r="1641" customHeight="1" spans="1:10">
      <c r="A1641" s="1">
        <v>587</v>
      </c>
      <c r="B1641" s="1">
        <v>1</v>
      </c>
      <c r="C1641" s="1">
        <v>24</v>
      </c>
      <c r="D1641" s="1">
        <v>1</v>
      </c>
      <c r="E1641" s="1">
        <v>549.99</v>
      </c>
      <c r="F1641" s="1">
        <v>0.05</v>
      </c>
      <c r="G1641">
        <f t="shared" si="25"/>
        <v>549.94</v>
      </c>
      <c r="H1641" t="str">
        <f>VLOOKUP(C1641,[1]products!$A:$B,2,FALSE)</f>
        <v>Electra Townie Original 21D - 2016</v>
      </c>
      <c r="I1641">
        <f>VLOOKUP(C1641,[1]products!$A:$D,4,FALSE)</f>
        <v>2</v>
      </c>
      <c r="J1641" t="str">
        <f>VLOOKUP(I1641,[2]categories!$A$1:$B$8,2,FALSE)</f>
        <v>Comfort Bicycles</v>
      </c>
    </row>
    <row r="1642" customHeight="1" spans="1:10">
      <c r="A1642" s="1">
        <v>587</v>
      </c>
      <c r="B1642" s="1">
        <v>2</v>
      </c>
      <c r="C1642" s="1">
        <v>23</v>
      </c>
      <c r="D1642" s="1">
        <v>1</v>
      </c>
      <c r="E1642" s="1">
        <v>299.99</v>
      </c>
      <c r="F1642" s="1">
        <v>0.05</v>
      </c>
      <c r="G1642">
        <f t="shared" si="25"/>
        <v>299.94</v>
      </c>
      <c r="H1642" t="str">
        <f>VLOOKUP(C1642,[1]products!$A:$B,2,FALSE)</f>
        <v>Electra Girl's Hawaii 1 (20-inch) - 2015/2016</v>
      </c>
      <c r="I1642">
        <f>VLOOKUP(C1642,[1]products!$A:$D,4,FALSE)</f>
        <v>1</v>
      </c>
      <c r="J1642" t="str">
        <f>VLOOKUP(I1642,[2]categories!$A$1:$B$8,2,FALSE)</f>
        <v>Children Bicycles</v>
      </c>
    </row>
    <row r="1643" customHeight="1" spans="1:10">
      <c r="A1643" s="1">
        <v>587</v>
      </c>
      <c r="B1643" s="1">
        <v>3</v>
      </c>
      <c r="C1643" s="1">
        <v>18</v>
      </c>
      <c r="D1643" s="1">
        <v>1</v>
      </c>
      <c r="E1643" s="1">
        <v>449</v>
      </c>
      <c r="F1643" s="1">
        <v>0.05</v>
      </c>
      <c r="G1643">
        <f t="shared" si="25"/>
        <v>448.95</v>
      </c>
      <c r="H1643" t="str">
        <f>VLOOKUP(C1643,[1]products!$A:$B,2,FALSE)</f>
        <v>Pure Cycles Western 3-Speed - Women's - 2015/2016</v>
      </c>
      <c r="I1643">
        <f>VLOOKUP(C1643,[1]products!$A:$D,4,FALSE)</f>
        <v>3</v>
      </c>
      <c r="J1643" t="str">
        <f>VLOOKUP(I1643,[2]categories!$A$1:$B$8,2,FALSE)</f>
        <v>Cruisers Bicycles</v>
      </c>
    </row>
    <row r="1644" customHeight="1" spans="1:10">
      <c r="A1644" s="1">
        <v>587</v>
      </c>
      <c r="B1644" s="1">
        <v>4</v>
      </c>
      <c r="C1644" s="1">
        <v>21</v>
      </c>
      <c r="D1644" s="1">
        <v>1</v>
      </c>
      <c r="E1644" s="1">
        <v>269.99</v>
      </c>
      <c r="F1644" s="1">
        <v>0.2</v>
      </c>
      <c r="G1644">
        <f t="shared" si="25"/>
        <v>269.79</v>
      </c>
      <c r="H1644" t="str">
        <f>VLOOKUP(C1644,[1]products!$A:$B,2,FALSE)</f>
        <v>Electra Cruiser 1 (24-Inch) - 2016</v>
      </c>
      <c r="I1644">
        <f>VLOOKUP(C1644,[1]products!$A:$D,4,FALSE)</f>
        <v>1</v>
      </c>
      <c r="J1644" t="str">
        <f>VLOOKUP(I1644,[2]categories!$A$1:$B$8,2,FALSE)</f>
        <v>Children Bicycles</v>
      </c>
    </row>
    <row r="1645" customHeight="1" spans="1:10">
      <c r="A1645" s="1">
        <v>588</v>
      </c>
      <c r="B1645" s="1">
        <v>1</v>
      </c>
      <c r="C1645" s="1">
        <v>10</v>
      </c>
      <c r="D1645" s="1">
        <v>2</v>
      </c>
      <c r="E1645" s="1">
        <v>1549</v>
      </c>
      <c r="F1645" s="1">
        <v>0.07</v>
      </c>
      <c r="G1645">
        <f t="shared" si="25"/>
        <v>3097.93</v>
      </c>
      <c r="H1645" t="str">
        <f>VLOOKUP(C1645,[1]products!$A:$B,2,FALSE)</f>
        <v>Surly Straggler - 2016</v>
      </c>
      <c r="I1645">
        <f>VLOOKUP(C1645,[1]products!$A:$D,4,FALSE)</f>
        <v>4</v>
      </c>
      <c r="J1645" t="str">
        <f>VLOOKUP(I1645,[2]categories!$A$1:$B$8,2,FALSE)</f>
        <v>Cyclocross Bicycles</v>
      </c>
    </row>
    <row r="1646" customHeight="1" spans="1:10">
      <c r="A1646" s="1">
        <v>588</v>
      </c>
      <c r="B1646" s="1">
        <v>2</v>
      </c>
      <c r="C1646" s="1">
        <v>23</v>
      </c>
      <c r="D1646" s="1">
        <v>1</v>
      </c>
      <c r="E1646" s="1">
        <v>299.99</v>
      </c>
      <c r="F1646" s="1">
        <v>0.2</v>
      </c>
      <c r="G1646">
        <f t="shared" si="25"/>
        <v>299.79</v>
      </c>
      <c r="H1646" t="str">
        <f>VLOOKUP(C1646,[1]products!$A:$B,2,FALSE)</f>
        <v>Electra Girl's Hawaii 1 (20-inch) - 2015/2016</v>
      </c>
      <c r="I1646">
        <f>VLOOKUP(C1646,[1]products!$A:$D,4,FALSE)</f>
        <v>1</v>
      </c>
      <c r="J1646" t="str">
        <f>VLOOKUP(I1646,[2]categories!$A$1:$B$8,2,FALSE)</f>
        <v>Children Bicycles</v>
      </c>
    </row>
    <row r="1647" customHeight="1" spans="1:10">
      <c r="A1647" s="1">
        <v>589</v>
      </c>
      <c r="B1647" s="1">
        <v>1</v>
      </c>
      <c r="C1647" s="1">
        <v>15</v>
      </c>
      <c r="D1647" s="1">
        <v>2</v>
      </c>
      <c r="E1647" s="1">
        <v>529.99</v>
      </c>
      <c r="F1647" s="1">
        <v>0.05</v>
      </c>
      <c r="G1647">
        <f t="shared" si="25"/>
        <v>1059.93</v>
      </c>
      <c r="H1647" t="str">
        <f>VLOOKUP(C1647,[1]products!$A:$B,2,FALSE)</f>
        <v>Electra Moto 1 - 2016</v>
      </c>
      <c r="I1647">
        <f>VLOOKUP(C1647,[1]products!$A:$D,4,FALSE)</f>
        <v>3</v>
      </c>
      <c r="J1647" t="str">
        <f>VLOOKUP(I1647,[2]categories!$A$1:$B$8,2,FALSE)</f>
        <v>Cruisers Bicycles</v>
      </c>
    </row>
    <row r="1648" customHeight="1" spans="1:10">
      <c r="A1648" s="1">
        <v>590</v>
      </c>
      <c r="B1648" s="1">
        <v>1</v>
      </c>
      <c r="C1648" s="1">
        <v>2</v>
      </c>
      <c r="D1648" s="1">
        <v>2</v>
      </c>
      <c r="E1648" s="1">
        <v>749.99</v>
      </c>
      <c r="F1648" s="1">
        <v>0.1</v>
      </c>
      <c r="G1648">
        <f t="shared" si="25"/>
        <v>1499.88</v>
      </c>
      <c r="H1648" t="str">
        <f>VLOOKUP(C1648,[1]products!$A:$B,2,FALSE)</f>
        <v>Ritchey Timberwolf Frameset - 2016</v>
      </c>
      <c r="I1648">
        <f>VLOOKUP(C1648,[1]products!$A:$D,4,FALSE)</f>
        <v>6</v>
      </c>
      <c r="J1648" t="str">
        <f>VLOOKUP(I1648,[2]categories!$A$1:$B$8,2,FALSE)</f>
        <v>Mountain Bikes</v>
      </c>
    </row>
    <row r="1649" customHeight="1" spans="1:10">
      <c r="A1649" s="1">
        <v>590</v>
      </c>
      <c r="B1649" s="1">
        <v>2</v>
      </c>
      <c r="C1649" s="1">
        <v>20</v>
      </c>
      <c r="D1649" s="1">
        <v>1</v>
      </c>
      <c r="E1649" s="1">
        <v>599.99</v>
      </c>
      <c r="F1649" s="1">
        <v>0.07</v>
      </c>
      <c r="G1649">
        <f t="shared" si="25"/>
        <v>599.92</v>
      </c>
      <c r="H1649" t="str">
        <f>VLOOKUP(C1649,[1]products!$A:$B,2,FALSE)</f>
        <v>Electra Townie Original 7D EQ - Women's - 2016</v>
      </c>
      <c r="I1649">
        <f>VLOOKUP(C1649,[1]products!$A:$D,4,FALSE)</f>
        <v>3</v>
      </c>
      <c r="J1649" t="str">
        <f>VLOOKUP(I1649,[2]categories!$A$1:$B$8,2,FALSE)</f>
        <v>Cruisers Bicycles</v>
      </c>
    </row>
    <row r="1650" customHeight="1" spans="1:10">
      <c r="A1650" s="1">
        <v>590</v>
      </c>
      <c r="B1650" s="1">
        <v>3</v>
      </c>
      <c r="C1650" s="1">
        <v>8</v>
      </c>
      <c r="D1650" s="1">
        <v>2</v>
      </c>
      <c r="E1650" s="1">
        <v>1799.99</v>
      </c>
      <c r="F1650" s="1">
        <v>0.05</v>
      </c>
      <c r="G1650">
        <f t="shared" si="25"/>
        <v>3599.93</v>
      </c>
      <c r="H1650" t="str">
        <f>VLOOKUP(C1650,[1]products!$A:$B,2,FALSE)</f>
        <v>Trek Remedy 29 Carbon Frameset - 2016</v>
      </c>
      <c r="I1650">
        <f>VLOOKUP(C1650,[1]products!$A:$D,4,FALSE)</f>
        <v>6</v>
      </c>
      <c r="J1650" t="str">
        <f>VLOOKUP(I1650,[2]categories!$A$1:$B$8,2,FALSE)</f>
        <v>Mountain Bikes</v>
      </c>
    </row>
    <row r="1651" customHeight="1" spans="1:10">
      <c r="A1651" s="1">
        <v>590</v>
      </c>
      <c r="B1651" s="1">
        <v>4</v>
      </c>
      <c r="C1651" s="1">
        <v>5</v>
      </c>
      <c r="D1651" s="1">
        <v>2</v>
      </c>
      <c r="E1651" s="1">
        <v>1320.99</v>
      </c>
      <c r="F1651" s="1">
        <v>0.1</v>
      </c>
      <c r="G1651">
        <f t="shared" si="25"/>
        <v>2641.88</v>
      </c>
      <c r="H1651" t="str">
        <f>VLOOKUP(C1651,[1]products!$A:$B,2,FALSE)</f>
        <v>Heller Shagamaw Frame - 2016</v>
      </c>
      <c r="I1651">
        <f>VLOOKUP(C1651,[1]products!$A:$D,4,FALSE)</f>
        <v>6</v>
      </c>
      <c r="J1651" t="str">
        <f>VLOOKUP(I1651,[2]categories!$A$1:$B$8,2,FALSE)</f>
        <v>Mountain Bikes</v>
      </c>
    </row>
    <row r="1652" customHeight="1" spans="1:10">
      <c r="A1652" s="1">
        <v>590</v>
      </c>
      <c r="B1652" s="1">
        <v>5</v>
      </c>
      <c r="C1652" s="1">
        <v>24</v>
      </c>
      <c r="D1652" s="1">
        <v>1</v>
      </c>
      <c r="E1652" s="1">
        <v>549.99</v>
      </c>
      <c r="F1652" s="1">
        <v>0.1</v>
      </c>
      <c r="G1652">
        <f t="shared" si="25"/>
        <v>549.89</v>
      </c>
      <c r="H1652" t="str">
        <f>VLOOKUP(C1652,[1]products!$A:$B,2,FALSE)</f>
        <v>Electra Townie Original 21D - 2016</v>
      </c>
      <c r="I1652">
        <f>VLOOKUP(C1652,[1]products!$A:$D,4,FALSE)</f>
        <v>2</v>
      </c>
      <c r="J1652" t="str">
        <f>VLOOKUP(I1652,[2]categories!$A$1:$B$8,2,FALSE)</f>
        <v>Comfort Bicycles</v>
      </c>
    </row>
    <row r="1653" customHeight="1" spans="1:10">
      <c r="A1653" s="1">
        <v>591</v>
      </c>
      <c r="B1653" s="1">
        <v>1</v>
      </c>
      <c r="C1653" s="1">
        <v>16</v>
      </c>
      <c r="D1653" s="1">
        <v>2</v>
      </c>
      <c r="E1653" s="1">
        <v>599.99</v>
      </c>
      <c r="F1653" s="1">
        <v>0.05</v>
      </c>
      <c r="G1653">
        <f t="shared" si="25"/>
        <v>1199.93</v>
      </c>
      <c r="H1653" t="str">
        <f>VLOOKUP(C1653,[1]products!$A:$B,2,FALSE)</f>
        <v>Electra Townie Original 7D EQ - 2016</v>
      </c>
      <c r="I1653">
        <f>VLOOKUP(C1653,[1]products!$A:$D,4,FALSE)</f>
        <v>3</v>
      </c>
      <c r="J1653" t="str">
        <f>VLOOKUP(I1653,[2]categories!$A$1:$B$8,2,FALSE)</f>
        <v>Cruisers Bicycles</v>
      </c>
    </row>
    <row r="1654" customHeight="1" spans="1:10">
      <c r="A1654" s="1">
        <v>591</v>
      </c>
      <c r="B1654" s="1">
        <v>2</v>
      </c>
      <c r="C1654" s="1">
        <v>25</v>
      </c>
      <c r="D1654" s="1">
        <v>2</v>
      </c>
      <c r="E1654" s="1">
        <v>499.99</v>
      </c>
      <c r="F1654" s="1">
        <v>0.05</v>
      </c>
      <c r="G1654">
        <f t="shared" si="25"/>
        <v>999.93</v>
      </c>
      <c r="H1654" t="str">
        <f>VLOOKUP(C1654,[1]products!$A:$B,2,FALSE)</f>
        <v>Electra Townie Original 7D - 2015/2016</v>
      </c>
      <c r="I1654">
        <f>VLOOKUP(C1654,[1]products!$A:$D,4,FALSE)</f>
        <v>2</v>
      </c>
      <c r="J1654" t="str">
        <f>VLOOKUP(I1654,[2]categories!$A$1:$B$8,2,FALSE)</f>
        <v>Comfort Bicycles</v>
      </c>
    </row>
    <row r="1655" customHeight="1" spans="1:10">
      <c r="A1655" s="1">
        <v>591</v>
      </c>
      <c r="B1655" s="1">
        <v>3</v>
      </c>
      <c r="C1655" s="1">
        <v>2</v>
      </c>
      <c r="D1655" s="1">
        <v>2</v>
      </c>
      <c r="E1655" s="1">
        <v>749.99</v>
      </c>
      <c r="F1655" s="1">
        <v>0.1</v>
      </c>
      <c r="G1655">
        <f t="shared" si="25"/>
        <v>1499.88</v>
      </c>
      <c r="H1655" t="str">
        <f>VLOOKUP(C1655,[1]products!$A:$B,2,FALSE)</f>
        <v>Ritchey Timberwolf Frameset - 2016</v>
      </c>
      <c r="I1655">
        <f>VLOOKUP(C1655,[1]products!$A:$D,4,FALSE)</f>
        <v>6</v>
      </c>
      <c r="J1655" t="str">
        <f>VLOOKUP(I1655,[2]categories!$A$1:$B$8,2,FALSE)</f>
        <v>Mountain Bikes</v>
      </c>
    </row>
    <row r="1656" customHeight="1" spans="1:10">
      <c r="A1656" s="1">
        <v>592</v>
      </c>
      <c r="B1656" s="1">
        <v>1</v>
      </c>
      <c r="C1656" s="1">
        <v>21</v>
      </c>
      <c r="D1656" s="1">
        <v>2</v>
      </c>
      <c r="E1656" s="1">
        <v>269.99</v>
      </c>
      <c r="F1656" s="1">
        <v>0.1</v>
      </c>
      <c r="G1656">
        <f t="shared" si="25"/>
        <v>539.88</v>
      </c>
      <c r="H1656" t="str">
        <f>VLOOKUP(C1656,[1]products!$A:$B,2,FALSE)</f>
        <v>Electra Cruiser 1 (24-Inch) - 2016</v>
      </c>
      <c r="I1656">
        <f>VLOOKUP(C1656,[1]products!$A:$D,4,FALSE)</f>
        <v>1</v>
      </c>
      <c r="J1656" t="str">
        <f>VLOOKUP(I1656,[2]categories!$A$1:$B$8,2,FALSE)</f>
        <v>Children Bicycles</v>
      </c>
    </row>
    <row r="1657" customHeight="1" spans="1:10">
      <c r="A1657" s="1">
        <v>592</v>
      </c>
      <c r="B1657" s="1">
        <v>2</v>
      </c>
      <c r="C1657" s="1">
        <v>16</v>
      </c>
      <c r="D1657" s="1">
        <v>1</v>
      </c>
      <c r="E1657" s="1">
        <v>599.99</v>
      </c>
      <c r="F1657" s="1">
        <v>0.05</v>
      </c>
      <c r="G1657">
        <f t="shared" si="25"/>
        <v>599.94</v>
      </c>
      <c r="H1657" t="str">
        <f>VLOOKUP(C1657,[1]products!$A:$B,2,FALSE)</f>
        <v>Electra Townie Original 7D EQ - 2016</v>
      </c>
      <c r="I1657">
        <f>VLOOKUP(C1657,[1]products!$A:$D,4,FALSE)</f>
        <v>3</v>
      </c>
      <c r="J1657" t="str">
        <f>VLOOKUP(I1657,[2]categories!$A$1:$B$8,2,FALSE)</f>
        <v>Cruisers Bicycles</v>
      </c>
    </row>
    <row r="1658" customHeight="1" spans="1:10">
      <c r="A1658" s="1">
        <v>592</v>
      </c>
      <c r="B1658" s="1">
        <v>3</v>
      </c>
      <c r="C1658" s="1">
        <v>18</v>
      </c>
      <c r="D1658" s="1">
        <v>2</v>
      </c>
      <c r="E1658" s="1">
        <v>449</v>
      </c>
      <c r="F1658" s="1">
        <v>0.07</v>
      </c>
      <c r="G1658">
        <f t="shared" si="25"/>
        <v>897.93</v>
      </c>
      <c r="H1658" t="str">
        <f>VLOOKUP(C1658,[1]products!$A:$B,2,FALSE)</f>
        <v>Pure Cycles Western 3-Speed - Women's - 2015/2016</v>
      </c>
      <c r="I1658">
        <f>VLOOKUP(C1658,[1]products!$A:$D,4,FALSE)</f>
        <v>3</v>
      </c>
      <c r="J1658" t="str">
        <f>VLOOKUP(I1658,[2]categories!$A$1:$B$8,2,FALSE)</f>
        <v>Cruisers Bicycles</v>
      </c>
    </row>
    <row r="1659" customHeight="1" spans="1:10">
      <c r="A1659" s="1">
        <v>593</v>
      </c>
      <c r="B1659" s="1">
        <v>1</v>
      </c>
      <c r="C1659" s="1">
        <v>3</v>
      </c>
      <c r="D1659" s="1">
        <v>2</v>
      </c>
      <c r="E1659" s="1">
        <v>999.99</v>
      </c>
      <c r="F1659" s="1">
        <v>0.1</v>
      </c>
      <c r="G1659">
        <f t="shared" si="25"/>
        <v>1999.88</v>
      </c>
      <c r="H1659" t="str">
        <f>VLOOKUP(C1659,[1]products!$A:$B,2,FALSE)</f>
        <v>Surly Wednesday Frameset - 2016</v>
      </c>
      <c r="I1659">
        <f>VLOOKUP(C1659,[1]products!$A:$D,4,FALSE)</f>
        <v>6</v>
      </c>
      <c r="J1659" t="str">
        <f>VLOOKUP(I1659,[2]categories!$A$1:$B$8,2,FALSE)</f>
        <v>Mountain Bikes</v>
      </c>
    </row>
    <row r="1660" customHeight="1" spans="1:10">
      <c r="A1660" s="1">
        <v>593</v>
      </c>
      <c r="B1660" s="1">
        <v>2</v>
      </c>
      <c r="C1660" s="1">
        <v>25</v>
      </c>
      <c r="D1660" s="1">
        <v>1</v>
      </c>
      <c r="E1660" s="1">
        <v>499.99</v>
      </c>
      <c r="F1660" s="1">
        <v>0.07</v>
      </c>
      <c r="G1660">
        <f t="shared" si="25"/>
        <v>499.92</v>
      </c>
      <c r="H1660" t="str">
        <f>VLOOKUP(C1660,[1]products!$A:$B,2,FALSE)</f>
        <v>Electra Townie Original 7D - 2015/2016</v>
      </c>
      <c r="I1660">
        <f>VLOOKUP(C1660,[1]products!$A:$D,4,FALSE)</f>
        <v>2</v>
      </c>
      <c r="J1660" t="str">
        <f>VLOOKUP(I1660,[2]categories!$A$1:$B$8,2,FALSE)</f>
        <v>Comfort Bicycles</v>
      </c>
    </row>
    <row r="1661" customHeight="1" spans="1:10">
      <c r="A1661" s="1">
        <v>594</v>
      </c>
      <c r="B1661" s="1">
        <v>1</v>
      </c>
      <c r="C1661" s="1">
        <v>26</v>
      </c>
      <c r="D1661" s="1">
        <v>1</v>
      </c>
      <c r="E1661" s="1">
        <v>599.99</v>
      </c>
      <c r="F1661" s="1">
        <v>0.1</v>
      </c>
      <c r="G1661">
        <f t="shared" si="25"/>
        <v>599.89</v>
      </c>
      <c r="H1661" t="str">
        <f>VLOOKUP(C1661,[1]products!$A:$B,2,FALSE)</f>
        <v>Electra Townie Original 7D EQ - 2016</v>
      </c>
      <c r="I1661">
        <f>VLOOKUP(C1661,[1]products!$A:$D,4,FALSE)</f>
        <v>2</v>
      </c>
      <c r="J1661" t="str">
        <f>VLOOKUP(I1661,[2]categories!$A$1:$B$8,2,FALSE)</f>
        <v>Comfort Bicycles</v>
      </c>
    </row>
    <row r="1662" customHeight="1" spans="1:10">
      <c r="A1662" s="1">
        <v>594</v>
      </c>
      <c r="B1662" s="1">
        <v>2</v>
      </c>
      <c r="C1662" s="1">
        <v>21</v>
      </c>
      <c r="D1662" s="1">
        <v>2</v>
      </c>
      <c r="E1662" s="1">
        <v>269.99</v>
      </c>
      <c r="F1662" s="1">
        <v>0.05</v>
      </c>
      <c r="G1662">
        <f t="shared" si="25"/>
        <v>539.93</v>
      </c>
      <c r="H1662" t="str">
        <f>VLOOKUP(C1662,[1]products!$A:$B,2,FALSE)</f>
        <v>Electra Cruiser 1 (24-Inch) - 2016</v>
      </c>
      <c r="I1662">
        <f>VLOOKUP(C1662,[1]products!$A:$D,4,FALSE)</f>
        <v>1</v>
      </c>
      <c r="J1662" t="str">
        <f>VLOOKUP(I1662,[2]categories!$A$1:$B$8,2,FALSE)</f>
        <v>Children Bicycles</v>
      </c>
    </row>
    <row r="1663" customHeight="1" spans="1:10">
      <c r="A1663" s="1">
        <v>595</v>
      </c>
      <c r="B1663" s="1">
        <v>1</v>
      </c>
      <c r="C1663" s="1">
        <v>4</v>
      </c>
      <c r="D1663" s="1">
        <v>1</v>
      </c>
      <c r="E1663" s="1">
        <v>2899.99</v>
      </c>
      <c r="F1663" s="1">
        <v>0.07</v>
      </c>
      <c r="G1663">
        <f t="shared" si="25"/>
        <v>2899.92</v>
      </c>
      <c r="H1663" t="str">
        <f>VLOOKUP(C1663,[1]products!$A:$B,2,FALSE)</f>
        <v>Trek Fuel EX 8 29 - 2016</v>
      </c>
      <c r="I1663">
        <f>VLOOKUP(C1663,[1]products!$A:$D,4,FALSE)</f>
        <v>6</v>
      </c>
      <c r="J1663" t="str">
        <f>VLOOKUP(I1663,[2]categories!$A$1:$B$8,2,FALSE)</f>
        <v>Mountain Bikes</v>
      </c>
    </row>
    <row r="1664" customHeight="1" spans="1:10">
      <c r="A1664" s="1">
        <v>595</v>
      </c>
      <c r="B1664" s="1">
        <v>2</v>
      </c>
      <c r="C1664" s="1">
        <v>19</v>
      </c>
      <c r="D1664" s="1">
        <v>2</v>
      </c>
      <c r="E1664" s="1">
        <v>449</v>
      </c>
      <c r="F1664" s="1">
        <v>0.07</v>
      </c>
      <c r="G1664">
        <f t="shared" si="25"/>
        <v>897.93</v>
      </c>
      <c r="H1664" t="str">
        <f>VLOOKUP(C1664,[1]products!$A:$B,2,FALSE)</f>
        <v>Pure Cycles William 3-Speed - 2016</v>
      </c>
      <c r="I1664">
        <f>VLOOKUP(C1664,[1]products!$A:$D,4,FALSE)</f>
        <v>3</v>
      </c>
      <c r="J1664" t="str">
        <f>VLOOKUP(I1664,[2]categories!$A$1:$B$8,2,FALSE)</f>
        <v>Cruisers Bicycles</v>
      </c>
    </row>
    <row r="1665" customHeight="1" spans="1:10">
      <c r="A1665" s="1">
        <v>595</v>
      </c>
      <c r="B1665" s="1">
        <v>3</v>
      </c>
      <c r="C1665" s="1">
        <v>3</v>
      </c>
      <c r="D1665" s="1">
        <v>1</v>
      </c>
      <c r="E1665" s="1">
        <v>999.99</v>
      </c>
      <c r="F1665" s="1">
        <v>0.07</v>
      </c>
      <c r="G1665">
        <f t="shared" si="25"/>
        <v>999.92</v>
      </c>
      <c r="H1665" t="str">
        <f>VLOOKUP(C1665,[1]products!$A:$B,2,FALSE)</f>
        <v>Surly Wednesday Frameset - 2016</v>
      </c>
      <c r="I1665">
        <f>VLOOKUP(C1665,[1]products!$A:$D,4,FALSE)</f>
        <v>6</v>
      </c>
      <c r="J1665" t="str">
        <f>VLOOKUP(I1665,[2]categories!$A$1:$B$8,2,FALSE)</f>
        <v>Mountain Bikes</v>
      </c>
    </row>
    <row r="1666" customHeight="1" spans="1:10">
      <c r="A1666" s="1">
        <v>595</v>
      </c>
      <c r="B1666" s="1">
        <v>4</v>
      </c>
      <c r="C1666" s="1">
        <v>10</v>
      </c>
      <c r="D1666" s="1">
        <v>1</v>
      </c>
      <c r="E1666" s="1">
        <v>1549</v>
      </c>
      <c r="F1666" s="1">
        <v>0.07</v>
      </c>
      <c r="G1666">
        <f t="shared" si="25"/>
        <v>1548.93</v>
      </c>
      <c r="H1666" t="str">
        <f>VLOOKUP(C1666,[1]products!$A:$B,2,FALSE)</f>
        <v>Surly Straggler - 2016</v>
      </c>
      <c r="I1666">
        <f>VLOOKUP(C1666,[1]products!$A:$D,4,FALSE)</f>
        <v>4</v>
      </c>
      <c r="J1666" t="str">
        <f>VLOOKUP(I1666,[2]categories!$A$1:$B$8,2,FALSE)</f>
        <v>Cyclocross Bicycles</v>
      </c>
    </row>
    <row r="1667" customHeight="1" spans="1:10">
      <c r="A1667" s="1">
        <v>595</v>
      </c>
      <c r="B1667" s="1">
        <v>5</v>
      </c>
      <c r="C1667" s="1">
        <v>26</v>
      </c>
      <c r="D1667" s="1">
        <v>2</v>
      </c>
      <c r="E1667" s="1">
        <v>599.99</v>
      </c>
      <c r="F1667" s="1">
        <v>0.05</v>
      </c>
      <c r="G1667">
        <f t="shared" ref="G1667:G1730" si="26">(E1667*D1667)-F1667</f>
        <v>1199.93</v>
      </c>
      <c r="H1667" t="str">
        <f>VLOOKUP(C1667,[1]products!$A:$B,2,FALSE)</f>
        <v>Electra Townie Original 7D EQ - 2016</v>
      </c>
      <c r="I1667">
        <f>VLOOKUP(C1667,[1]products!$A:$D,4,FALSE)</f>
        <v>2</v>
      </c>
      <c r="J1667" t="str">
        <f>VLOOKUP(I1667,[2]categories!$A$1:$B$8,2,FALSE)</f>
        <v>Comfort Bicycles</v>
      </c>
    </row>
    <row r="1668" customHeight="1" spans="1:10">
      <c r="A1668" s="1">
        <v>596</v>
      </c>
      <c r="B1668" s="1">
        <v>1</v>
      </c>
      <c r="C1668" s="1">
        <v>5</v>
      </c>
      <c r="D1668" s="1">
        <v>1</v>
      </c>
      <c r="E1668" s="1">
        <v>1320.99</v>
      </c>
      <c r="F1668" s="1">
        <v>0.05</v>
      </c>
      <c r="G1668">
        <f t="shared" si="26"/>
        <v>1320.94</v>
      </c>
      <c r="H1668" t="str">
        <f>VLOOKUP(C1668,[1]products!$A:$B,2,FALSE)</f>
        <v>Heller Shagamaw Frame - 2016</v>
      </c>
      <c r="I1668">
        <f>VLOOKUP(C1668,[1]products!$A:$D,4,FALSE)</f>
        <v>6</v>
      </c>
      <c r="J1668" t="str">
        <f>VLOOKUP(I1668,[2]categories!$A$1:$B$8,2,FALSE)</f>
        <v>Mountain Bikes</v>
      </c>
    </row>
    <row r="1669" customHeight="1" spans="1:10">
      <c r="A1669" s="1">
        <v>596</v>
      </c>
      <c r="B1669" s="1">
        <v>2</v>
      </c>
      <c r="C1669" s="1">
        <v>23</v>
      </c>
      <c r="D1669" s="1">
        <v>2</v>
      </c>
      <c r="E1669" s="1">
        <v>299.99</v>
      </c>
      <c r="F1669" s="1">
        <v>0.1</v>
      </c>
      <c r="G1669">
        <f t="shared" si="26"/>
        <v>599.88</v>
      </c>
      <c r="H1669" t="str">
        <f>VLOOKUP(C1669,[1]products!$A:$B,2,FALSE)</f>
        <v>Electra Girl's Hawaii 1 (20-inch) - 2015/2016</v>
      </c>
      <c r="I1669">
        <f>VLOOKUP(C1669,[1]products!$A:$D,4,FALSE)</f>
        <v>1</v>
      </c>
      <c r="J1669" t="str">
        <f>VLOOKUP(I1669,[2]categories!$A$1:$B$8,2,FALSE)</f>
        <v>Children Bicycles</v>
      </c>
    </row>
    <row r="1670" customHeight="1" spans="1:10">
      <c r="A1670" s="1">
        <v>596</v>
      </c>
      <c r="B1670" s="1">
        <v>3</v>
      </c>
      <c r="C1670" s="1">
        <v>9</v>
      </c>
      <c r="D1670" s="1">
        <v>1</v>
      </c>
      <c r="E1670" s="1">
        <v>2999.99</v>
      </c>
      <c r="F1670" s="1">
        <v>0.05</v>
      </c>
      <c r="G1670">
        <f t="shared" si="26"/>
        <v>2999.94</v>
      </c>
      <c r="H1670" t="str">
        <f>VLOOKUP(C1670,[1]products!$A:$B,2,FALSE)</f>
        <v>Trek Conduit+ - 2016</v>
      </c>
      <c r="I1670">
        <f>VLOOKUP(C1670,[1]products!$A:$D,4,FALSE)</f>
        <v>5</v>
      </c>
      <c r="J1670" t="str">
        <f>VLOOKUP(I1670,[2]categories!$A$1:$B$8,2,FALSE)</f>
        <v>Electric Bikes</v>
      </c>
    </row>
    <row r="1671" customHeight="1" spans="1:10">
      <c r="A1671" s="1">
        <v>597</v>
      </c>
      <c r="B1671" s="1">
        <v>1</v>
      </c>
      <c r="C1671" s="1">
        <v>17</v>
      </c>
      <c r="D1671" s="1">
        <v>2</v>
      </c>
      <c r="E1671" s="1">
        <v>429</v>
      </c>
      <c r="F1671" s="1">
        <v>0.2</v>
      </c>
      <c r="G1671">
        <f t="shared" si="26"/>
        <v>857.8</v>
      </c>
      <c r="H1671" t="str">
        <f>VLOOKUP(C1671,[1]products!$A:$B,2,FALSE)</f>
        <v>Pure Cycles Vine 8-Speed - 2016</v>
      </c>
      <c r="I1671">
        <f>VLOOKUP(C1671,[1]products!$A:$D,4,FALSE)</f>
        <v>3</v>
      </c>
      <c r="J1671" t="str">
        <f>VLOOKUP(I1671,[2]categories!$A$1:$B$8,2,FALSE)</f>
        <v>Cruisers Bicycles</v>
      </c>
    </row>
    <row r="1672" customHeight="1" spans="1:10">
      <c r="A1672" s="1">
        <v>597</v>
      </c>
      <c r="B1672" s="1">
        <v>2</v>
      </c>
      <c r="C1672" s="1">
        <v>8</v>
      </c>
      <c r="D1672" s="1">
        <v>1</v>
      </c>
      <c r="E1672" s="1">
        <v>1799.99</v>
      </c>
      <c r="F1672" s="1">
        <v>0.07</v>
      </c>
      <c r="G1672">
        <f t="shared" si="26"/>
        <v>1799.92</v>
      </c>
      <c r="H1672" t="str">
        <f>VLOOKUP(C1672,[1]products!$A:$B,2,FALSE)</f>
        <v>Trek Remedy 29 Carbon Frameset - 2016</v>
      </c>
      <c r="I1672">
        <f>VLOOKUP(C1672,[1]products!$A:$D,4,FALSE)</f>
        <v>6</v>
      </c>
      <c r="J1672" t="str">
        <f>VLOOKUP(I1672,[2]categories!$A$1:$B$8,2,FALSE)</f>
        <v>Mountain Bikes</v>
      </c>
    </row>
    <row r="1673" customHeight="1" spans="1:10">
      <c r="A1673" s="1">
        <v>598</v>
      </c>
      <c r="B1673" s="1">
        <v>1</v>
      </c>
      <c r="C1673" s="1">
        <v>4</v>
      </c>
      <c r="D1673" s="1">
        <v>2</v>
      </c>
      <c r="E1673" s="1">
        <v>2899.99</v>
      </c>
      <c r="F1673" s="1">
        <v>0.05</v>
      </c>
      <c r="G1673">
        <f t="shared" si="26"/>
        <v>5799.93</v>
      </c>
      <c r="H1673" t="str">
        <f>VLOOKUP(C1673,[1]products!$A:$B,2,FALSE)</f>
        <v>Trek Fuel EX 8 29 - 2016</v>
      </c>
      <c r="I1673">
        <f>VLOOKUP(C1673,[1]products!$A:$D,4,FALSE)</f>
        <v>6</v>
      </c>
      <c r="J1673" t="str">
        <f>VLOOKUP(I1673,[2]categories!$A$1:$B$8,2,FALSE)</f>
        <v>Mountain Bikes</v>
      </c>
    </row>
    <row r="1674" customHeight="1" spans="1:10">
      <c r="A1674" s="1">
        <v>598</v>
      </c>
      <c r="B1674" s="1">
        <v>2</v>
      </c>
      <c r="C1674" s="1">
        <v>16</v>
      </c>
      <c r="D1674" s="1">
        <v>2</v>
      </c>
      <c r="E1674" s="1">
        <v>599.99</v>
      </c>
      <c r="F1674" s="1">
        <v>0.07</v>
      </c>
      <c r="G1674">
        <f t="shared" si="26"/>
        <v>1199.91</v>
      </c>
      <c r="H1674" t="str">
        <f>VLOOKUP(C1674,[1]products!$A:$B,2,FALSE)</f>
        <v>Electra Townie Original 7D EQ - 2016</v>
      </c>
      <c r="I1674">
        <f>VLOOKUP(C1674,[1]products!$A:$D,4,FALSE)</f>
        <v>3</v>
      </c>
      <c r="J1674" t="str">
        <f>VLOOKUP(I1674,[2]categories!$A$1:$B$8,2,FALSE)</f>
        <v>Cruisers Bicycles</v>
      </c>
    </row>
    <row r="1675" customHeight="1" spans="1:10">
      <c r="A1675" s="1">
        <v>598</v>
      </c>
      <c r="B1675" s="1">
        <v>3</v>
      </c>
      <c r="C1675" s="1">
        <v>14</v>
      </c>
      <c r="D1675" s="1">
        <v>1</v>
      </c>
      <c r="E1675" s="1">
        <v>269.99</v>
      </c>
      <c r="F1675" s="1">
        <v>0.1</v>
      </c>
      <c r="G1675">
        <f t="shared" si="26"/>
        <v>269.89</v>
      </c>
      <c r="H1675" t="str">
        <f>VLOOKUP(C1675,[1]products!$A:$B,2,FALSE)</f>
        <v>Electra Girl's Hawaii 1 (16-inch) - 2015/2016</v>
      </c>
      <c r="I1675">
        <f>VLOOKUP(C1675,[1]products!$A:$D,4,FALSE)</f>
        <v>3</v>
      </c>
      <c r="J1675" t="str">
        <f>VLOOKUP(I1675,[2]categories!$A$1:$B$8,2,FALSE)</f>
        <v>Cruisers Bicycles</v>
      </c>
    </row>
    <row r="1676" customHeight="1" spans="1:10">
      <c r="A1676" s="1">
        <v>599</v>
      </c>
      <c r="B1676" s="1">
        <v>1</v>
      </c>
      <c r="C1676" s="1">
        <v>9</v>
      </c>
      <c r="D1676" s="1">
        <v>2</v>
      </c>
      <c r="E1676" s="1">
        <v>2999.99</v>
      </c>
      <c r="F1676" s="1">
        <v>0.05</v>
      </c>
      <c r="G1676">
        <f t="shared" si="26"/>
        <v>5999.93</v>
      </c>
      <c r="H1676" t="str">
        <f>VLOOKUP(C1676,[1]products!$A:$B,2,FALSE)</f>
        <v>Trek Conduit+ - 2016</v>
      </c>
      <c r="I1676">
        <f>VLOOKUP(C1676,[1]products!$A:$D,4,FALSE)</f>
        <v>5</v>
      </c>
      <c r="J1676" t="str">
        <f>VLOOKUP(I1676,[2]categories!$A$1:$B$8,2,FALSE)</f>
        <v>Electric Bikes</v>
      </c>
    </row>
    <row r="1677" customHeight="1" spans="1:10">
      <c r="A1677" s="1">
        <v>599</v>
      </c>
      <c r="B1677" s="1">
        <v>2</v>
      </c>
      <c r="C1677" s="1">
        <v>22</v>
      </c>
      <c r="D1677" s="1">
        <v>2</v>
      </c>
      <c r="E1677" s="1">
        <v>269.99</v>
      </c>
      <c r="F1677" s="1">
        <v>0.2</v>
      </c>
      <c r="G1677">
        <f t="shared" si="26"/>
        <v>539.78</v>
      </c>
      <c r="H1677" t="str">
        <f>VLOOKUP(C1677,[1]products!$A:$B,2,FALSE)</f>
        <v>Electra Girl's Hawaii 1 (16-inch) - 2015/2016</v>
      </c>
      <c r="I1677">
        <f>VLOOKUP(C1677,[1]products!$A:$D,4,FALSE)</f>
        <v>1</v>
      </c>
      <c r="J1677" t="str">
        <f>VLOOKUP(I1677,[2]categories!$A$1:$B$8,2,FALSE)</f>
        <v>Children Bicycles</v>
      </c>
    </row>
    <row r="1678" customHeight="1" spans="1:10">
      <c r="A1678" s="1">
        <v>599</v>
      </c>
      <c r="B1678" s="1">
        <v>3</v>
      </c>
      <c r="C1678" s="1">
        <v>23</v>
      </c>
      <c r="D1678" s="1">
        <v>1</v>
      </c>
      <c r="E1678" s="1">
        <v>299.99</v>
      </c>
      <c r="F1678" s="1">
        <v>0.07</v>
      </c>
      <c r="G1678">
        <f t="shared" si="26"/>
        <v>299.92</v>
      </c>
      <c r="H1678" t="str">
        <f>VLOOKUP(C1678,[1]products!$A:$B,2,FALSE)</f>
        <v>Electra Girl's Hawaii 1 (20-inch) - 2015/2016</v>
      </c>
      <c r="I1678">
        <f>VLOOKUP(C1678,[1]products!$A:$D,4,FALSE)</f>
        <v>1</v>
      </c>
      <c r="J1678" t="str">
        <f>VLOOKUP(I1678,[2]categories!$A$1:$B$8,2,FALSE)</f>
        <v>Children Bicycles</v>
      </c>
    </row>
    <row r="1679" customHeight="1" spans="1:10">
      <c r="A1679" s="1">
        <v>599</v>
      </c>
      <c r="B1679" s="1">
        <v>4</v>
      </c>
      <c r="C1679" s="1">
        <v>10</v>
      </c>
      <c r="D1679" s="1">
        <v>2</v>
      </c>
      <c r="E1679" s="1">
        <v>1549</v>
      </c>
      <c r="F1679" s="1">
        <v>0.1</v>
      </c>
      <c r="G1679">
        <f t="shared" si="26"/>
        <v>3097.9</v>
      </c>
      <c r="H1679" t="str">
        <f>VLOOKUP(C1679,[1]products!$A:$B,2,FALSE)</f>
        <v>Surly Straggler - 2016</v>
      </c>
      <c r="I1679">
        <f>VLOOKUP(C1679,[1]products!$A:$D,4,FALSE)</f>
        <v>4</v>
      </c>
      <c r="J1679" t="str">
        <f>VLOOKUP(I1679,[2]categories!$A$1:$B$8,2,FALSE)</f>
        <v>Cyclocross Bicycles</v>
      </c>
    </row>
    <row r="1680" customHeight="1" spans="1:10">
      <c r="A1680" s="1">
        <v>600</v>
      </c>
      <c r="B1680" s="1">
        <v>1</v>
      </c>
      <c r="C1680" s="1">
        <v>26</v>
      </c>
      <c r="D1680" s="1">
        <v>2</v>
      </c>
      <c r="E1680" s="1">
        <v>599.99</v>
      </c>
      <c r="F1680" s="1">
        <v>0.07</v>
      </c>
      <c r="G1680">
        <f t="shared" si="26"/>
        <v>1199.91</v>
      </c>
      <c r="H1680" t="str">
        <f>VLOOKUP(C1680,[1]products!$A:$B,2,FALSE)</f>
        <v>Electra Townie Original 7D EQ - 2016</v>
      </c>
      <c r="I1680">
        <f>VLOOKUP(C1680,[1]products!$A:$D,4,FALSE)</f>
        <v>2</v>
      </c>
      <c r="J1680" t="str">
        <f>VLOOKUP(I1680,[2]categories!$A$1:$B$8,2,FALSE)</f>
        <v>Comfort Bicycles</v>
      </c>
    </row>
    <row r="1681" customHeight="1" spans="1:10">
      <c r="A1681" s="1">
        <v>600</v>
      </c>
      <c r="B1681" s="1">
        <v>2</v>
      </c>
      <c r="C1681" s="1">
        <v>4</v>
      </c>
      <c r="D1681" s="1">
        <v>1</v>
      </c>
      <c r="E1681" s="1">
        <v>2899.99</v>
      </c>
      <c r="F1681" s="1">
        <v>0.2</v>
      </c>
      <c r="G1681">
        <f t="shared" si="26"/>
        <v>2899.79</v>
      </c>
      <c r="H1681" t="str">
        <f>VLOOKUP(C1681,[1]products!$A:$B,2,FALSE)</f>
        <v>Trek Fuel EX 8 29 - 2016</v>
      </c>
      <c r="I1681">
        <f>VLOOKUP(C1681,[1]products!$A:$D,4,FALSE)</f>
        <v>6</v>
      </c>
      <c r="J1681" t="str">
        <f>VLOOKUP(I1681,[2]categories!$A$1:$B$8,2,FALSE)</f>
        <v>Mountain Bikes</v>
      </c>
    </row>
    <row r="1682" customHeight="1" spans="1:10">
      <c r="A1682" s="1">
        <v>600</v>
      </c>
      <c r="B1682" s="1">
        <v>3</v>
      </c>
      <c r="C1682" s="1">
        <v>18</v>
      </c>
      <c r="D1682" s="1">
        <v>2</v>
      </c>
      <c r="E1682" s="1">
        <v>449</v>
      </c>
      <c r="F1682" s="1">
        <v>0.07</v>
      </c>
      <c r="G1682">
        <f t="shared" si="26"/>
        <v>897.93</v>
      </c>
      <c r="H1682" t="str">
        <f>VLOOKUP(C1682,[1]products!$A:$B,2,FALSE)</f>
        <v>Pure Cycles Western 3-Speed - Women's - 2015/2016</v>
      </c>
      <c r="I1682">
        <f>VLOOKUP(C1682,[1]products!$A:$D,4,FALSE)</f>
        <v>3</v>
      </c>
      <c r="J1682" t="str">
        <f>VLOOKUP(I1682,[2]categories!$A$1:$B$8,2,FALSE)</f>
        <v>Cruisers Bicycles</v>
      </c>
    </row>
    <row r="1683" customHeight="1" spans="1:10">
      <c r="A1683" s="1">
        <v>601</v>
      </c>
      <c r="B1683" s="1">
        <v>1</v>
      </c>
      <c r="C1683" s="1">
        <v>12</v>
      </c>
      <c r="D1683" s="1">
        <v>2</v>
      </c>
      <c r="E1683" s="1">
        <v>549.99</v>
      </c>
      <c r="F1683" s="1">
        <v>0.2</v>
      </c>
      <c r="G1683">
        <f t="shared" si="26"/>
        <v>1099.78</v>
      </c>
      <c r="H1683" t="str">
        <f>VLOOKUP(C1683,[1]products!$A:$B,2,FALSE)</f>
        <v>Electra Townie Original 21D - 2016</v>
      </c>
      <c r="I1683">
        <f>VLOOKUP(C1683,[1]products!$A:$D,4,FALSE)</f>
        <v>3</v>
      </c>
      <c r="J1683" t="str">
        <f>VLOOKUP(I1683,[2]categories!$A$1:$B$8,2,FALSE)</f>
        <v>Cruisers Bicycles</v>
      </c>
    </row>
    <row r="1684" customHeight="1" spans="1:10">
      <c r="A1684" s="1">
        <v>602</v>
      </c>
      <c r="B1684" s="1">
        <v>1</v>
      </c>
      <c r="C1684" s="1">
        <v>15</v>
      </c>
      <c r="D1684" s="1">
        <v>2</v>
      </c>
      <c r="E1684" s="1">
        <v>529.99</v>
      </c>
      <c r="F1684" s="1">
        <v>0.05</v>
      </c>
      <c r="G1684">
        <f t="shared" si="26"/>
        <v>1059.93</v>
      </c>
      <c r="H1684" t="str">
        <f>VLOOKUP(C1684,[1]products!$A:$B,2,FALSE)</f>
        <v>Electra Moto 1 - 2016</v>
      </c>
      <c r="I1684">
        <f>VLOOKUP(C1684,[1]products!$A:$D,4,FALSE)</f>
        <v>3</v>
      </c>
      <c r="J1684" t="str">
        <f>VLOOKUP(I1684,[2]categories!$A$1:$B$8,2,FALSE)</f>
        <v>Cruisers Bicycles</v>
      </c>
    </row>
    <row r="1685" customHeight="1" spans="1:10">
      <c r="A1685" s="1">
        <v>602</v>
      </c>
      <c r="B1685" s="1">
        <v>2</v>
      </c>
      <c r="C1685" s="1">
        <v>5</v>
      </c>
      <c r="D1685" s="1">
        <v>2</v>
      </c>
      <c r="E1685" s="1">
        <v>1320.99</v>
      </c>
      <c r="F1685" s="1">
        <v>0.07</v>
      </c>
      <c r="G1685">
        <f t="shared" si="26"/>
        <v>2641.91</v>
      </c>
      <c r="H1685" t="str">
        <f>VLOOKUP(C1685,[1]products!$A:$B,2,FALSE)</f>
        <v>Heller Shagamaw Frame - 2016</v>
      </c>
      <c r="I1685">
        <f>VLOOKUP(C1685,[1]products!$A:$D,4,FALSE)</f>
        <v>6</v>
      </c>
      <c r="J1685" t="str">
        <f>VLOOKUP(I1685,[2]categories!$A$1:$B$8,2,FALSE)</f>
        <v>Mountain Bikes</v>
      </c>
    </row>
    <row r="1686" customHeight="1" spans="1:10">
      <c r="A1686" s="1">
        <v>603</v>
      </c>
      <c r="B1686" s="1">
        <v>1</v>
      </c>
      <c r="C1686" s="1">
        <v>12</v>
      </c>
      <c r="D1686" s="1">
        <v>1</v>
      </c>
      <c r="E1686" s="1">
        <v>549.99</v>
      </c>
      <c r="F1686" s="1">
        <v>0.07</v>
      </c>
      <c r="G1686">
        <f t="shared" si="26"/>
        <v>549.92</v>
      </c>
      <c r="H1686" t="str">
        <f>VLOOKUP(C1686,[1]products!$A:$B,2,FALSE)</f>
        <v>Electra Townie Original 21D - 2016</v>
      </c>
      <c r="I1686">
        <f>VLOOKUP(C1686,[1]products!$A:$D,4,FALSE)</f>
        <v>3</v>
      </c>
      <c r="J1686" t="str">
        <f>VLOOKUP(I1686,[2]categories!$A$1:$B$8,2,FALSE)</f>
        <v>Cruisers Bicycles</v>
      </c>
    </row>
    <row r="1687" customHeight="1" spans="1:10">
      <c r="A1687" s="1">
        <v>603</v>
      </c>
      <c r="B1687" s="1">
        <v>2</v>
      </c>
      <c r="C1687" s="1">
        <v>4</v>
      </c>
      <c r="D1687" s="1">
        <v>1</v>
      </c>
      <c r="E1687" s="1">
        <v>2899.99</v>
      </c>
      <c r="F1687" s="1">
        <v>0.1</v>
      </c>
      <c r="G1687">
        <f t="shared" si="26"/>
        <v>2899.89</v>
      </c>
      <c r="H1687" t="str">
        <f>VLOOKUP(C1687,[1]products!$A:$B,2,FALSE)</f>
        <v>Trek Fuel EX 8 29 - 2016</v>
      </c>
      <c r="I1687">
        <f>VLOOKUP(C1687,[1]products!$A:$D,4,FALSE)</f>
        <v>6</v>
      </c>
      <c r="J1687" t="str">
        <f>VLOOKUP(I1687,[2]categories!$A$1:$B$8,2,FALSE)</f>
        <v>Mountain Bikes</v>
      </c>
    </row>
    <row r="1688" customHeight="1" spans="1:10">
      <c r="A1688" s="1">
        <v>604</v>
      </c>
      <c r="B1688" s="1">
        <v>1</v>
      </c>
      <c r="C1688" s="1">
        <v>10</v>
      </c>
      <c r="D1688" s="1">
        <v>2</v>
      </c>
      <c r="E1688" s="1">
        <v>1549</v>
      </c>
      <c r="F1688" s="1">
        <v>0.07</v>
      </c>
      <c r="G1688">
        <f t="shared" si="26"/>
        <v>3097.93</v>
      </c>
      <c r="H1688" t="str">
        <f>VLOOKUP(C1688,[1]products!$A:$B,2,FALSE)</f>
        <v>Surly Straggler - 2016</v>
      </c>
      <c r="I1688">
        <f>VLOOKUP(C1688,[1]products!$A:$D,4,FALSE)</f>
        <v>4</v>
      </c>
      <c r="J1688" t="str">
        <f>VLOOKUP(I1688,[2]categories!$A$1:$B$8,2,FALSE)</f>
        <v>Cyclocross Bicycles</v>
      </c>
    </row>
    <row r="1689" customHeight="1" spans="1:10">
      <c r="A1689" s="1">
        <v>604</v>
      </c>
      <c r="B1689" s="1">
        <v>2</v>
      </c>
      <c r="C1689" s="1">
        <v>9</v>
      </c>
      <c r="D1689" s="1">
        <v>2</v>
      </c>
      <c r="E1689" s="1">
        <v>2999.99</v>
      </c>
      <c r="F1689" s="1">
        <v>0.2</v>
      </c>
      <c r="G1689">
        <f t="shared" si="26"/>
        <v>5999.78</v>
      </c>
      <c r="H1689" t="str">
        <f>VLOOKUP(C1689,[1]products!$A:$B,2,FALSE)</f>
        <v>Trek Conduit+ - 2016</v>
      </c>
      <c r="I1689">
        <f>VLOOKUP(C1689,[1]products!$A:$D,4,FALSE)</f>
        <v>5</v>
      </c>
      <c r="J1689" t="str">
        <f>VLOOKUP(I1689,[2]categories!$A$1:$B$8,2,FALSE)</f>
        <v>Electric Bikes</v>
      </c>
    </row>
    <row r="1690" customHeight="1" spans="1:10">
      <c r="A1690" s="1">
        <v>605</v>
      </c>
      <c r="B1690" s="1">
        <v>1</v>
      </c>
      <c r="C1690" s="1">
        <v>19</v>
      </c>
      <c r="D1690" s="1">
        <v>1</v>
      </c>
      <c r="E1690" s="1">
        <v>449</v>
      </c>
      <c r="F1690" s="1">
        <v>0.07</v>
      </c>
      <c r="G1690">
        <f t="shared" si="26"/>
        <v>448.93</v>
      </c>
      <c r="H1690" t="str">
        <f>VLOOKUP(C1690,[1]products!$A:$B,2,FALSE)</f>
        <v>Pure Cycles William 3-Speed - 2016</v>
      </c>
      <c r="I1690">
        <f>VLOOKUP(C1690,[1]products!$A:$D,4,FALSE)</f>
        <v>3</v>
      </c>
      <c r="J1690" t="str">
        <f>VLOOKUP(I1690,[2]categories!$A$1:$B$8,2,FALSE)</f>
        <v>Cruisers Bicycles</v>
      </c>
    </row>
    <row r="1691" customHeight="1" spans="1:10">
      <c r="A1691" s="1">
        <v>605</v>
      </c>
      <c r="B1691" s="1">
        <v>2</v>
      </c>
      <c r="C1691" s="1">
        <v>25</v>
      </c>
      <c r="D1691" s="1">
        <v>2</v>
      </c>
      <c r="E1691" s="1">
        <v>499.99</v>
      </c>
      <c r="F1691" s="1">
        <v>0.05</v>
      </c>
      <c r="G1691">
        <f t="shared" si="26"/>
        <v>999.93</v>
      </c>
      <c r="H1691" t="str">
        <f>VLOOKUP(C1691,[1]products!$A:$B,2,FALSE)</f>
        <v>Electra Townie Original 7D - 2015/2016</v>
      </c>
      <c r="I1691">
        <f>VLOOKUP(C1691,[1]products!$A:$D,4,FALSE)</f>
        <v>2</v>
      </c>
      <c r="J1691" t="str">
        <f>VLOOKUP(I1691,[2]categories!$A$1:$B$8,2,FALSE)</f>
        <v>Comfort Bicycles</v>
      </c>
    </row>
    <row r="1692" customHeight="1" spans="1:10">
      <c r="A1692" s="1">
        <v>605</v>
      </c>
      <c r="B1692" s="1">
        <v>3</v>
      </c>
      <c r="C1692" s="1">
        <v>13</v>
      </c>
      <c r="D1692" s="1">
        <v>2</v>
      </c>
      <c r="E1692" s="1">
        <v>269.99</v>
      </c>
      <c r="F1692" s="1">
        <v>0.2</v>
      </c>
      <c r="G1692">
        <f t="shared" si="26"/>
        <v>539.78</v>
      </c>
      <c r="H1692" t="str">
        <f>VLOOKUP(C1692,[1]products!$A:$B,2,FALSE)</f>
        <v>Electra Cruiser 1 (24-Inch) - 2016</v>
      </c>
      <c r="I1692">
        <f>VLOOKUP(C1692,[1]products!$A:$D,4,FALSE)</f>
        <v>3</v>
      </c>
      <c r="J1692" t="str">
        <f>VLOOKUP(I1692,[2]categories!$A$1:$B$8,2,FALSE)</f>
        <v>Cruisers Bicycles</v>
      </c>
    </row>
    <row r="1693" customHeight="1" spans="1:10">
      <c r="A1693" s="1">
        <v>605</v>
      </c>
      <c r="B1693" s="1">
        <v>4</v>
      </c>
      <c r="C1693" s="1">
        <v>11</v>
      </c>
      <c r="D1693" s="1">
        <v>1</v>
      </c>
      <c r="E1693" s="1">
        <v>1680.99</v>
      </c>
      <c r="F1693" s="1">
        <v>0.2</v>
      </c>
      <c r="G1693">
        <f t="shared" si="26"/>
        <v>1680.79</v>
      </c>
      <c r="H1693" t="str">
        <f>VLOOKUP(C1693,[1]products!$A:$B,2,FALSE)</f>
        <v>Surly Straggler 650b - 2016</v>
      </c>
      <c r="I1693">
        <f>VLOOKUP(C1693,[1]products!$A:$D,4,FALSE)</f>
        <v>4</v>
      </c>
      <c r="J1693" t="str">
        <f>VLOOKUP(I1693,[2]categories!$A$1:$B$8,2,FALSE)</f>
        <v>Cyclocross Bicycles</v>
      </c>
    </row>
    <row r="1694" customHeight="1" spans="1:10">
      <c r="A1694" s="1">
        <v>606</v>
      </c>
      <c r="B1694" s="1">
        <v>1</v>
      </c>
      <c r="C1694" s="1">
        <v>6</v>
      </c>
      <c r="D1694" s="1">
        <v>2</v>
      </c>
      <c r="E1694" s="1">
        <v>469.99</v>
      </c>
      <c r="F1694" s="1">
        <v>0.2</v>
      </c>
      <c r="G1694">
        <f t="shared" si="26"/>
        <v>939.78</v>
      </c>
      <c r="H1694" t="str">
        <f>VLOOKUP(C1694,[1]products!$A:$B,2,FALSE)</f>
        <v>Surly Ice Cream Truck Frameset - 2016</v>
      </c>
      <c r="I1694">
        <f>VLOOKUP(C1694,[1]products!$A:$D,4,FALSE)</f>
        <v>6</v>
      </c>
      <c r="J1694" t="str">
        <f>VLOOKUP(I1694,[2]categories!$A$1:$B$8,2,FALSE)</f>
        <v>Mountain Bikes</v>
      </c>
    </row>
    <row r="1695" customHeight="1" spans="1:10">
      <c r="A1695" s="1">
        <v>606</v>
      </c>
      <c r="B1695" s="1">
        <v>2</v>
      </c>
      <c r="C1695" s="1">
        <v>18</v>
      </c>
      <c r="D1695" s="1">
        <v>2</v>
      </c>
      <c r="E1695" s="1">
        <v>449</v>
      </c>
      <c r="F1695" s="1">
        <v>0.05</v>
      </c>
      <c r="G1695">
        <f t="shared" si="26"/>
        <v>897.95</v>
      </c>
      <c r="H1695" t="str">
        <f>VLOOKUP(C1695,[1]products!$A:$B,2,FALSE)</f>
        <v>Pure Cycles Western 3-Speed - Women's - 2015/2016</v>
      </c>
      <c r="I1695">
        <f>VLOOKUP(C1695,[1]products!$A:$D,4,FALSE)</f>
        <v>3</v>
      </c>
      <c r="J1695" t="str">
        <f>VLOOKUP(I1695,[2]categories!$A$1:$B$8,2,FALSE)</f>
        <v>Cruisers Bicycles</v>
      </c>
    </row>
    <row r="1696" customHeight="1" spans="1:10">
      <c r="A1696" s="1">
        <v>607</v>
      </c>
      <c r="B1696" s="1">
        <v>1</v>
      </c>
      <c r="C1696" s="1">
        <v>11</v>
      </c>
      <c r="D1696" s="1">
        <v>2</v>
      </c>
      <c r="E1696" s="1">
        <v>1680.99</v>
      </c>
      <c r="F1696" s="1">
        <v>0.2</v>
      </c>
      <c r="G1696">
        <f t="shared" si="26"/>
        <v>3361.78</v>
      </c>
      <c r="H1696" t="str">
        <f>VLOOKUP(C1696,[1]products!$A:$B,2,FALSE)</f>
        <v>Surly Straggler 650b - 2016</v>
      </c>
      <c r="I1696">
        <f>VLOOKUP(C1696,[1]products!$A:$D,4,FALSE)</f>
        <v>4</v>
      </c>
      <c r="J1696" t="str">
        <f>VLOOKUP(I1696,[2]categories!$A$1:$B$8,2,FALSE)</f>
        <v>Cyclocross Bicycles</v>
      </c>
    </row>
    <row r="1697" customHeight="1" spans="1:10">
      <c r="A1697" s="1">
        <v>607</v>
      </c>
      <c r="B1697" s="1">
        <v>2</v>
      </c>
      <c r="C1697" s="1">
        <v>26</v>
      </c>
      <c r="D1697" s="1">
        <v>2</v>
      </c>
      <c r="E1697" s="1">
        <v>599.99</v>
      </c>
      <c r="F1697" s="1">
        <v>0.2</v>
      </c>
      <c r="G1697">
        <f t="shared" si="26"/>
        <v>1199.78</v>
      </c>
      <c r="H1697" t="str">
        <f>VLOOKUP(C1697,[1]products!$A:$B,2,FALSE)</f>
        <v>Electra Townie Original 7D EQ - 2016</v>
      </c>
      <c r="I1697">
        <f>VLOOKUP(C1697,[1]products!$A:$D,4,FALSE)</f>
        <v>2</v>
      </c>
      <c r="J1697" t="str">
        <f>VLOOKUP(I1697,[2]categories!$A$1:$B$8,2,FALSE)</f>
        <v>Comfort Bicycles</v>
      </c>
    </row>
    <row r="1698" customHeight="1" spans="1:10">
      <c r="A1698" s="1">
        <v>607</v>
      </c>
      <c r="B1698" s="1">
        <v>3</v>
      </c>
      <c r="C1698" s="1">
        <v>14</v>
      </c>
      <c r="D1698" s="1">
        <v>1</v>
      </c>
      <c r="E1698" s="1">
        <v>269.99</v>
      </c>
      <c r="F1698" s="1">
        <v>0.07</v>
      </c>
      <c r="G1698">
        <f t="shared" si="26"/>
        <v>269.92</v>
      </c>
      <c r="H1698" t="str">
        <f>VLOOKUP(C1698,[1]products!$A:$B,2,FALSE)</f>
        <v>Electra Girl's Hawaii 1 (16-inch) - 2015/2016</v>
      </c>
      <c r="I1698">
        <f>VLOOKUP(C1698,[1]products!$A:$D,4,FALSE)</f>
        <v>3</v>
      </c>
      <c r="J1698" t="str">
        <f>VLOOKUP(I1698,[2]categories!$A$1:$B$8,2,FALSE)</f>
        <v>Cruisers Bicycles</v>
      </c>
    </row>
    <row r="1699" customHeight="1" spans="1:10">
      <c r="A1699" s="1">
        <v>608</v>
      </c>
      <c r="B1699" s="1">
        <v>1</v>
      </c>
      <c r="C1699" s="1">
        <v>4</v>
      </c>
      <c r="D1699" s="1">
        <v>2</v>
      </c>
      <c r="E1699" s="1">
        <v>2899.99</v>
      </c>
      <c r="F1699" s="1">
        <v>0.2</v>
      </c>
      <c r="G1699">
        <f t="shared" si="26"/>
        <v>5799.78</v>
      </c>
      <c r="H1699" t="str">
        <f>VLOOKUP(C1699,[1]products!$A:$B,2,FALSE)</f>
        <v>Trek Fuel EX 8 29 - 2016</v>
      </c>
      <c r="I1699">
        <f>VLOOKUP(C1699,[1]products!$A:$D,4,FALSE)</f>
        <v>6</v>
      </c>
      <c r="J1699" t="str">
        <f>VLOOKUP(I1699,[2]categories!$A$1:$B$8,2,FALSE)</f>
        <v>Mountain Bikes</v>
      </c>
    </row>
    <row r="1700" customHeight="1" spans="1:10">
      <c r="A1700" s="1">
        <v>608</v>
      </c>
      <c r="B1700" s="1">
        <v>2</v>
      </c>
      <c r="C1700" s="1">
        <v>7</v>
      </c>
      <c r="D1700" s="1">
        <v>2</v>
      </c>
      <c r="E1700" s="1">
        <v>3999.99</v>
      </c>
      <c r="F1700" s="1">
        <v>0.1</v>
      </c>
      <c r="G1700">
        <f t="shared" si="26"/>
        <v>7999.88</v>
      </c>
      <c r="H1700" t="str">
        <f>VLOOKUP(C1700,[1]products!$A:$B,2,FALSE)</f>
        <v>Trek Slash 8 27.5 - 2016</v>
      </c>
      <c r="I1700">
        <f>VLOOKUP(C1700,[1]products!$A:$D,4,FALSE)</f>
        <v>6</v>
      </c>
      <c r="J1700" t="str">
        <f>VLOOKUP(I1700,[2]categories!$A$1:$B$8,2,FALSE)</f>
        <v>Mountain Bikes</v>
      </c>
    </row>
    <row r="1701" customHeight="1" spans="1:10">
      <c r="A1701" s="1">
        <v>608</v>
      </c>
      <c r="B1701" s="1">
        <v>3</v>
      </c>
      <c r="C1701" s="1">
        <v>24</v>
      </c>
      <c r="D1701" s="1">
        <v>1</v>
      </c>
      <c r="E1701" s="1">
        <v>549.99</v>
      </c>
      <c r="F1701" s="1">
        <v>0.1</v>
      </c>
      <c r="G1701">
        <f t="shared" si="26"/>
        <v>549.89</v>
      </c>
      <c r="H1701" t="str">
        <f>VLOOKUP(C1701,[1]products!$A:$B,2,FALSE)</f>
        <v>Electra Townie Original 21D - 2016</v>
      </c>
      <c r="I1701">
        <f>VLOOKUP(C1701,[1]products!$A:$D,4,FALSE)</f>
        <v>2</v>
      </c>
      <c r="J1701" t="str">
        <f>VLOOKUP(I1701,[2]categories!$A$1:$B$8,2,FALSE)</f>
        <v>Comfort Bicycles</v>
      </c>
    </row>
    <row r="1702" customHeight="1" spans="1:10">
      <c r="A1702" s="1">
        <v>609</v>
      </c>
      <c r="B1702" s="1">
        <v>1</v>
      </c>
      <c r="C1702" s="1">
        <v>10</v>
      </c>
      <c r="D1702" s="1">
        <v>1</v>
      </c>
      <c r="E1702" s="1">
        <v>1549</v>
      </c>
      <c r="F1702" s="1">
        <v>0.07</v>
      </c>
      <c r="G1702">
        <f t="shared" si="26"/>
        <v>1548.93</v>
      </c>
      <c r="H1702" t="str">
        <f>VLOOKUP(C1702,[1]products!$A:$B,2,FALSE)</f>
        <v>Surly Straggler - 2016</v>
      </c>
      <c r="I1702">
        <f>VLOOKUP(C1702,[1]products!$A:$D,4,FALSE)</f>
        <v>4</v>
      </c>
      <c r="J1702" t="str">
        <f>VLOOKUP(I1702,[2]categories!$A$1:$B$8,2,FALSE)</f>
        <v>Cyclocross Bicycles</v>
      </c>
    </row>
    <row r="1703" customHeight="1" spans="1:10">
      <c r="A1703" s="1">
        <v>609</v>
      </c>
      <c r="B1703" s="1">
        <v>2</v>
      </c>
      <c r="C1703" s="1">
        <v>7</v>
      </c>
      <c r="D1703" s="1">
        <v>1</v>
      </c>
      <c r="E1703" s="1">
        <v>3999.99</v>
      </c>
      <c r="F1703" s="1">
        <v>0.1</v>
      </c>
      <c r="G1703">
        <f t="shared" si="26"/>
        <v>3999.89</v>
      </c>
      <c r="H1703" t="str">
        <f>VLOOKUP(C1703,[1]products!$A:$B,2,FALSE)</f>
        <v>Trek Slash 8 27.5 - 2016</v>
      </c>
      <c r="I1703">
        <f>VLOOKUP(C1703,[1]products!$A:$D,4,FALSE)</f>
        <v>6</v>
      </c>
      <c r="J1703" t="str">
        <f>VLOOKUP(I1703,[2]categories!$A$1:$B$8,2,FALSE)</f>
        <v>Mountain Bikes</v>
      </c>
    </row>
    <row r="1704" customHeight="1" spans="1:10">
      <c r="A1704" s="1">
        <v>609</v>
      </c>
      <c r="B1704" s="1">
        <v>3</v>
      </c>
      <c r="C1704" s="1">
        <v>22</v>
      </c>
      <c r="D1704" s="1">
        <v>2</v>
      </c>
      <c r="E1704" s="1">
        <v>269.99</v>
      </c>
      <c r="F1704" s="1">
        <v>0.1</v>
      </c>
      <c r="G1704">
        <f t="shared" si="26"/>
        <v>539.88</v>
      </c>
      <c r="H1704" t="str">
        <f>VLOOKUP(C1704,[1]products!$A:$B,2,FALSE)</f>
        <v>Electra Girl's Hawaii 1 (16-inch) - 2015/2016</v>
      </c>
      <c r="I1704">
        <f>VLOOKUP(C1704,[1]products!$A:$D,4,FALSE)</f>
        <v>1</v>
      </c>
      <c r="J1704" t="str">
        <f>VLOOKUP(I1704,[2]categories!$A$1:$B$8,2,FALSE)</f>
        <v>Children Bicycles</v>
      </c>
    </row>
    <row r="1705" customHeight="1" spans="1:10">
      <c r="A1705" s="1">
        <v>609</v>
      </c>
      <c r="B1705" s="1">
        <v>4</v>
      </c>
      <c r="C1705" s="1">
        <v>5</v>
      </c>
      <c r="D1705" s="1">
        <v>1</v>
      </c>
      <c r="E1705" s="1">
        <v>1320.99</v>
      </c>
      <c r="F1705" s="1">
        <v>0.1</v>
      </c>
      <c r="G1705">
        <f t="shared" si="26"/>
        <v>1320.89</v>
      </c>
      <c r="H1705" t="str">
        <f>VLOOKUP(C1705,[1]products!$A:$B,2,FALSE)</f>
        <v>Heller Shagamaw Frame - 2016</v>
      </c>
      <c r="I1705">
        <f>VLOOKUP(C1705,[1]products!$A:$D,4,FALSE)</f>
        <v>6</v>
      </c>
      <c r="J1705" t="str">
        <f>VLOOKUP(I1705,[2]categories!$A$1:$B$8,2,FALSE)</f>
        <v>Mountain Bikes</v>
      </c>
    </row>
    <row r="1706" customHeight="1" spans="1:10">
      <c r="A1706" s="1">
        <v>610</v>
      </c>
      <c r="B1706" s="1">
        <v>1</v>
      </c>
      <c r="C1706" s="1">
        <v>26</v>
      </c>
      <c r="D1706" s="1">
        <v>1</v>
      </c>
      <c r="E1706" s="1">
        <v>599.99</v>
      </c>
      <c r="F1706" s="1">
        <v>0.1</v>
      </c>
      <c r="G1706">
        <f t="shared" si="26"/>
        <v>599.89</v>
      </c>
      <c r="H1706" t="str">
        <f>VLOOKUP(C1706,[1]products!$A:$B,2,FALSE)</f>
        <v>Electra Townie Original 7D EQ - 2016</v>
      </c>
      <c r="I1706">
        <f>VLOOKUP(C1706,[1]products!$A:$D,4,FALSE)</f>
        <v>2</v>
      </c>
      <c r="J1706" t="str">
        <f>VLOOKUP(I1706,[2]categories!$A$1:$B$8,2,FALSE)</f>
        <v>Comfort Bicycles</v>
      </c>
    </row>
    <row r="1707" customHeight="1" spans="1:10">
      <c r="A1707" s="1">
        <v>610</v>
      </c>
      <c r="B1707" s="1">
        <v>2</v>
      </c>
      <c r="C1707" s="1">
        <v>24</v>
      </c>
      <c r="D1707" s="1">
        <v>1</v>
      </c>
      <c r="E1707" s="1">
        <v>549.99</v>
      </c>
      <c r="F1707" s="1">
        <v>0.07</v>
      </c>
      <c r="G1707">
        <f t="shared" si="26"/>
        <v>549.92</v>
      </c>
      <c r="H1707" t="str">
        <f>VLOOKUP(C1707,[1]products!$A:$B,2,FALSE)</f>
        <v>Electra Townie Original 21D - 2016</v>
      </c>
      <c r="I1707">
        <f>VLOOKUP(C1707,[1]products!$A:$D,4,FALSE)</f>
        <v>2</v>
      </c>
      <c r="J1707" t="str">
        <f>VLOOKUP(I1707,[2]categories!$A$1:$B$8,2,FALSE)</f>
        <v>Comfort Bicycles</v>
      </c>
    </row>
    <row r="1708" customHeight="1" spans="1:10">
      <c r="A1708" s="1">
        <v>610</v>
      </c>
      <c r="B1708" s="1">
        <v>3</v>
      </c>
      <c r="C1708" s="1">
        <v>18</v>
      </c>
      <c r="D1708" s="1">
        <v>2</v>
      </c>
      <c r="E1708" s="1">
        <v>449</v>
      </c>
      <c r="F1708" s="1">
        <v>0.07</v>
      </c>
      <c r="G1708">
        <f t="shared" si="26"/>
        <v>897.93</v>
      </c>
      <c r="H1708" t="str">
        <f>VLOOKUP(C1708,[1]products!$A:$B,2,FALSE)</f>
        <v>Pure Cycles Western 3-Speed - Women's - 2015/2016</v>
      </c>
      <c r="I1708">
        <f>VLOOKUP(C1708,[1]products!$A:$D,4,FALSE)</f>
        <v>3</v>
      </c>
      <c r="J1708" t="str">
        <f>VLOOKUP(I1708,[2]categories!$A$1:$B$8,2,FALSE)</f>
        <v>Cruisers Bicycles</v>
      </c>
    </row>
    <row r="1709" customHeight="1" spans="1:10">
      <c r="A1709" s="1">
        <v>610</v>
      </c>
      <c r="B1709" s="1">
        <v>4</v>
      </c>
      <c r="C1709" s="1">
        <v>3</v>
      </c>
      <c r="D1709" s="1">
        <v>1</v>
      </c>
      <c r="E1709" s="1">
        <v>999.99</v>
      </c>
      <c r="F1709" s="1">
        <v>0.07</v>
      </c>
      <c r="G1709">
        <f t="shared" si="26"/>
        <v>999.92</v>
      </c>
      <c r="H1709" t="str">
        <f>VLOOKUP(C1709,[1]products!$A:$B,2,FALSE)</f>
        <v>Surly Wednesday Frameset - 2016</v>
      </c>
      <c r="I1709">
        <f>VLOOKUP(C1709,[1]products!$A:$D,4,FALSE)</f>
        <v>6</v>
      </c>
      <c r="J1709" t="str">
        <f>VLOOKUP(I1709,[2]categories!$A$1:$B$8,2,FALSE)</f>
        <v>Mountain Bikes</v>
      </c>
    </row>
    <row r="1710" customHeight="1" spans="1:10">
      <c r="A1710" s="1">
        <v>610</v>
      </c>
      <c r="B1710" s="1">
        <v>5</v>
      </c>
      <c r="C1710" s="1">
        <v>8</v>
      </c>
      <c r="D1710" s="1">
        <v>1</v>
      </c>
      <c r="E1710" s="1">
        <v>1799.99</v>
      </c>
      <c r="F1710" s="1">
        <v>0.1</v>
      </c>
      <c r="G1710">
        <f t="shared" si="26"/>
        <v>1799.89</v>
      </c>
      <c r="H1710" t="str">
        <f>VLOOKUP(C1710,[1]products!$A:$B,2,FALSE)</f>
        <v>Trek Remedy 29 Carbon Frameset - 2016</v>
      </c>
      <c r="I1710">
        <f>VLOOKUP(C1710,[1]products!$A:$D,4,FALSE)</f>
        <v>6</v>
      </c>
      <c r="J1710" t="str">
        <f>VLOOKUP(I1710,[2]categories!$A$1:$B$8,2,FALSE)</f>
        <v>Mountain Bikes</v>
      </c>
    </row>
    <row r="1711" customHeight="1" spans="1:10">
      <c r="A1711" s="1">
        <v>611</v>
      </c>
      <c r="B1711" s="1">
        <v>1</v>
      </c>
      <c r="C1711" s="1">
        <v>16</v>
      </c>
      <c r="D1711" s="1">
        <v>2</v>
      </c>
      <c r="E1711" s="1">
        <v>599.99</v>
      </c>
      <c r="F1711" s="1">
        <v>0.07</v>
      </c>
      <c r="G1711">
        <f t="shared" si="26"/>
        <v>1199.91</v>
      </c>
      <c r="H1711" t="str">
        <f>VLOOKUP(C1711,[1]products!$A:$B,2,FALSE)</f>
        <v>Electra Townie Original 7D EQ - 2016</v>
      </c>
      <c r="I1711">
        <f>VLOOKUP(C1711,[1]products!$A:$D,4,FALSE)</f>
        <v>3</v>
      </c>
      <c r="J1711" t="str">
        <f>VLOOKUP(I1711,[2]categories!$A$1:$B$8,2,FALSE)</f>
        <v>Cruisers Bicycles</v>
      </c>
    </row>
    <row r="1712" customHeight="1" spans="1:10">
      <c r="A1712" s="1">
        <v>612</v>
      </c>
      <c r="B1712" s="1">
        <v>1</v>
      </c>
      <c r="C1712" s="1">
        <v>13</v>
      </c>
      <c r="D1712" s="1">
        <v>1</v>
      </c>
      <c r="E1712" s="1">
        <v>269.99</v>
      </c>
      <c r="F1712" s="1">
        <v>0.1</v>
      </c>
      <c r="G1712">
        <f t="shared" si="26"/>
        <v>269.89</v>
      </c>
      <c r="H1712" t="str">
        <f>VLOOKUP(C1712,[1]products!$A:$B,2,FALSE)</f>
        <v>Electra Cruiser 1 (24-Inch) - 2016</v>
      </c>
      <c r="I1712">
        <f>VLOOKUP(C1712,[1]products!$A:$D,4,FALSE)</f>
        <v>3</v>
      </c>
      <c r="J1712" t="str">
        <f>VLOOKUP(I1712,[2]categories!$A$1:$B$8,2,FALSE)</f>
        <v>Cruisers Bicycles</v>
      </c>
    </row>
    <row r="1713" customHeight="1" spans="1:10">
      <c r="A1713" s="1">
        <v>612</v>
      </c>
      <c r="B1713" s="1">
        <v>2</v>
      </c>
      <c r="C1713" s="1">
        <v>14</v>
      </c>
      <c r="D1713" s="1">
        <v>1</v>
      </c>
      <c r="E1713" s="1">
        <v>269.99</v>
      </c>
      <c r="F1713" s="1">
        <v>0.1</v>
      </c>
      <c r="G1713">
        <f t="shared" si="26"/>
        <v>269.89</v>
      </c>
      <c r="H1713" t="str">
        <f>VLOOKUP(C1713,[1]products!$A:$B,2,FALSE)</f>
        <v>Electra Girl's Hawaii 1 (16-inch) - 2015/2016</v>
      </c>
      <c r="I1713">
        <f>VLOOKUP(C1713,[1]products!$A:$D,4,FALSE)</f>
        <v>3</v>
      </c>
      <c r="J1713" t="str">
        <f>VLOOKUP(I1713,[2]categories!$A$1:$B$8,2,FALSE)</f>
        <v>Cruisers Bicycles</v>
      </c>
    </row>
    <row r="1714" customHeight="1" spans="1:10">
      <c r="A1714" s="1">
        <v>612</v>
      </c>
      <c r="B1714" s="1">
        <v>3</v>
      </c>
      <c r="C1714" s="1">
        <v>17</v>
      </c>
      <c r="D1714" s="1">
        <v>1</v>
      </c>
      <c r="E1714" s="1">
        <v>429</v>
      </c>
      <c r="F1714" s="1">
        <v>0.07</v>
      </c>
      <c r="G1714">
        <f t="shared" si="26"/>
        <v>428.93</v>
      </c>
      <c r="H1714" t="str">
        <f>VLOOKUP(C1714,[1]products!$A:$B,2,FALSE)</f>
        <v>Pure Cycles Vine 8-Speed - 2016</v>
      </c>
      <c r="I1714">
        <f>VLOOKUP(C1714,[1]products!$A:$D,4,FALSE)</f>
        <v>3</v>
      </c>
      <c r="J1714" t="str">
        <f>VLOOKUP(I1714,[2]categories!$A$1:$B$8,2,FALSE)</f>
        <v>Cruisers Bicycles</v>
      </c>
    </row>
    <row r="1715" customHeight="1" spans="1:10">
      <c r="A1715" s="1">
        <v>612</v>
      </c>
      <c r="B1715" s="1">
        <v>4</v>
      </c>
      <c r="C1715" s="1">
        <v>20</v>
      </c>
      <c r="D1715" s="1">
        <v>1</v>
      </c>
      <c r="E1715" s="1">
        <v>599.99</v>
      </c>
      <c r="F1715" s="1">
        <v>0.2</v>
      </c>
      <c r="G1715">
        <f t="shared" si="26"/>
        <v>599.79</v>
      </c>
      <c r="H1715" t="str">
        <f>VLOOKUP(C1715,[1]products!$A:$B,2,FALSE)</f>
        <v>Electra Townie Original 7D EQ - Women's - 2016</v>
      </c>
      <c r="I1715">
        <f>VLOOKUP(C1715,[1]products!$A:$D,4,FALSE)</f>
        <v>3</v>
      </c>
      <c r="J1715" t="str">
        <f>VLOOKUP(I1715,[2]categories!$A$1:$B$8,2,FALSE)</f>
        <v>Cruisers Bicycles</v>
      </c>
    </row>
    <row r="1716" customHeight="1" spans="1:10">
      <c r="A1716" s="1">
        <v>613</v>
      </c>
      <c r="B1716" s="1">
        <v>1</v>
      </c>
      <c r="C1716" s="1">
        <v>9</v>
      </c>
      <c r="D1716" s="1">
        <v>2</v>
      </c>
      <c r="E1716" s="1">
        <v>2999.99</v>
      </c>
      <c r="F1716" s="1">
        <v>0.1</v>
      </c>
      <c r="G1716">
        <f t="shared" si="26"/>
        <v>5999.88</v>
      </c>
      <c r="H1716" t="str">
        <f>VLOOKUP(C1716,[1]products!$A:$B,2,FALSE)</f>
        <v>Trek Conduit+ - 2016</v>
      </c>
      <c r="I1716">
        <f>VLOOKUP(C1716,[1]products!$A:$D,4,FALSE)</f>
        <v>5</v>
      </c>
      <c r="J1716" t="str">
        <f>VLOOKUP(I1716,[2]categories!$A$1:$B$8,2,FALSE)</f>
        <v>Electric Bikes</v>
      </c>
    </row>
    <row r="1717" customHeight="1" spans="1:10">
      <c r="A1717" s="1">
        <v>613</v>
      </c>
      <c r="B1717" s="1">
        <v>2</v>
      </c>
      <c r="C1717" s="1">
        <v>18</v>
      </c>
      <c r="D1717" s="1">
        <v>2</v>
      </c>
      <c r="E1717" s="1">
        <v>449</v>
      </c>
      <c r="F1717" s="1">
        <v>0.05</v>
      </c>
      <c r="G1717">
        <f t="shared" si="26"/>
        <v>897.95</v>
      </c>
      <c r="H1717" t="str">
        <f>VLOOKUP(C1717,[1]products!$A:$B,2,FALSE)</f>
        <v>Pure Cycles Western 3-Speed - Women's - 2015/2016</v>
      </c>
      <c r="I1717">
        <f>VLOOKUP(C1717,[1]products!$A:$D,4,FALSE)</f>
        <v>3</v>
      </c>
      <c r="J1717" t="str">
        <f>VLOOKUP(I1717,[2]categories!$A$1:$B$8,2,FALSE)</f>
        <v>Cruisers Bicycles</v>
      </c>
    </row>
    <row r="1718" customHeight="1" spans="1:10">
      <c r="A1718" s="1">
        <v>613</v>
      </c>
      <c r="B1718" s="1">
        <v>3</v>
      </c>
      <c r="C1718" s="1">
        <v>12</v>
      </c>
      <c r="D1718" s="1">
        <v>1</v>
      </c>
      <c r="E1718" s="1">
        <v>549.99</v>
      </c>
      <c r="F1718" s="1">
        <v>0.07</v>
      </c>
      <c r="G1718">
        <f t="shared" si="26"/>
        <v>549.92</v>
      </c>
      <c r="H1718" t="str">
        <f>VLOOKUP(C1718,[1]products!$A:$B,2,FALSE)</f>
        <v>Electra Townie Original 21D - 2016</v>
      </c>
      <c r="I1718">
        <f>VLOOKUP(C1718,[1]products!$A:$D,4,FALSE)</f>
        <v>3</v>
      </c>
      <c r="J1718" t="str">
        <f>VLOOKUP(I1718,[2]categories!$A$1:$B$8,2,FALSE)</f>
        <v>Cruisers Bicycles</v>
      </c>
    </row>
    <row r="1719" customHeight="1" spans="1:10">
      <c r="A1719" s="1">
        <v>614</v>
      </c>
      <c r="B1719" s="1">
        <v>1</v>
      </c>
      <c r="C1719" s="1">
        <v>18</v>
      </c>
      <c r="D1719" s="1">
        <v>1</v>
      </c>
      <c r="E1719" s="1">
        <v>449</v>
      </c>
      <c r="F1719" s="1">
        <v>0.1</v>
      </c>
      <c r="G1719">
        <f t="shared" si="26"/>
        <v>448.9</v>
      </c>
      <c r="H1719" t="str">
        <f>VLOOKUP(C1719,[1]products!$A:$B,2,FALSE)</f>
        <v>Pure Cycles Western 3-Speed - Women's - 2015/2016</v>
      </c>
      <c r="I1719">
        <f>VLOOKUP(C1719,[1]products!$A:$D,4,FALSE)</f>
        <v>3</v>
      </c>
      <c r="J1719" t="str">
        <f>VLOOKUP(I1719,[2]categories!$A$1:$B$8,2,FALSE)</f>
        <v>Cruisers Bicycles</v>
      </c>
    </row>
    <row r="1720" customHeight="1" spans="1:10">
      <c r="A1720" s="1">
        <v>614</v>
      </c>
      <c r="B1720" s="1">
        <v>2</v>
      </c>
      <c r="C1720" s="1">
        <v>21</v>
      </c>
      <c r="D1720" s="1">
        <v>1</v>
      </c>
      <c r="E1720" s="1">
        <v>269.99</v>
      </c>
      <c r="F1720" s="1">
        <v>0.05</v>
      </c>
      <c r="G1720">
        <f t="shared" si="26"/>
        <v>269.94</v>
      </c>
      <c r="H1720" t="str">
        <f>VLOOKUP(C1720,[1]products!$A:$B,2,FALSE)</f>
        <v>Electra Cruiser 1 (24-Inch) - 2016</v>
      </c>
      <c r="I1720">
        <f>VLOOKUP(C1720,[1]products!$A:$D,4,FALSE)</f>
        <v>1</v>
      </c>
      <c r="J1720" t="str">
        <f>VLOOKUP(I1720,[2]categories!$A$1:$B$8,2,FALSE)</f>
        <v>Children Bicycles</v>
      </c>
    </row>
    <row r="1721" customHeight="1" spans="1:10">
      <c r="A1721" s="1">
        <v>615</v>
      </c>
      <c r="B1721" s="1">
        <v>1</v>
      </c>
      <c r="C1721" s="1">
        <v>11</v>
      </c>
      <c r="D1721" s="1">
        <v>1</v>
      </c>
      <c r="E1721" s="1">
        <v>1680.99</v>
      </c>
      <c r="F1721" s="1">
        <v>0.07</v>
      </c>
      <c r="G1721">
        <f t="shared" si="26"/>
        <v>1680.92</v>
      </c>
      <c r="H1721" t="str">
        <f>VLOOKUP(C1721,[1]products!$A:$B,2,FALSE)</f>
        <v>Surly Straggler 650b - 2016</v>
      </c>
      <c r="I1721">
        <f>VLOOKUP(C1721,[1]products!$A:$D,4,FALSE)</f>
        <v>4</v>
      </c>
      <c r="J1721" t="str">
        <f>VLOOKUP(I1721,[2]categories!$A$1:$B$8,2,FALSE)</f>
        <v>Cyclocross Bicycles</v>
      </c>
    </row>
    <row r="1722" customHeight="1" spans="1:10">
      <c r="A1722" s="1">
        <v>615</v>
      </c>
      <c r="B1722" s="1">
        <v>2</v>
      </c>
      <c r="C1722" s="1">
        <v>23</v>
      </c>
      <c r="D1722" s="1">
        <v>1</v>
      </c>
      <c r="E1722" s="1">
        <v>299.99</v>
      </c>
      <c r="F1722" s="1">
        <v>0.05</v>
      </c>
      <c r="G1722">
        <f t="shared" si="26"/>
        <v>299.94</v>
      </c>
      <c r="H1722" t="str">
        <f>VLOOKUP(C1722,[1]products!$A:$B,2,FALSE)</f>
        <v>Electra Girl's Hawaii 1 (20-inch) - 2015/2016</v>
      </c>
      <c r="I1722">
        <f>VLOOKUP(C1722,[1]products!$A:$D,4,FALSE)</f>
        <v>1</v>
      </c>
      <c r="J1722" t="str">
        <f>VLOOKUP(I1722,[2]categories!$A$1:$B$8,2,FALSE)</f>
        <v>Children Bicycles</v>
      </c>
    </row>
    <row r="1723" customHeight="1" spans="1:10">
      <c r="A1723" s="1">
        <v>615</v>
      </c>
      <c r="B1723" s="1">
        <v>3</v>
      </c>
      <c r="C1723" s="1">
        <v>6</v>
      </c>
      <c r="D1723" s="1">
        <v>2</v>
      </c>
      <c r="E1723" s="1">
        <v>469.99</v>
      </c>
      <c r="F1723" s="1">
        <v>0.1</v>
      </c>
      <c r="G1723">
        <f t="shared" si="26"/>
        <v>939.88</v>
      </c>
      <c r="H1723" t="str">
        <f>VLOOKUP(C1723,[1]products!$A:$B,2,FALSE)</f>
        <v>Surly Ice Cream Truck Frameset - 2016</v>
      </c>
      <c r="I1723">
        <f>VLOOKUP(C1723,[1]products!$A:$D,4,FALSE)</f>
        <v>6</v>
      </c>
      <c r="J1723" t="str">
        <f>VLOOKUP(I1723,[2]categories!$A$1:$B$8,2,FALSE)</f>
        <v>Mountain Bikes</v>
      </c>
    </row>
    <row r="1724" customHeight="1" spans="1:10">
      <c r="A1724" s="1">
        <v>615</v>
      </c>
      <c r="B1724" s="1">
        <v>4</v>
      </c>
      <c r="C1724" s="1">
        <v>19</v>
      </c>
      <c r="D1724" s="1">
        <v>2</v>
      </c>
      <c r="E1724" s="1">
        <v>449</v>
      </c>
      <c r="F1724" s="1">
        <v>0.1</v>
      </c>
      <c r="G1724">
        <f t="shared" si="26"/>
        <v>897.9</v>
      </c>
      <c r="H1724" t="str">
        <f>VLOOKUP(C1724,[1]products!$A:$B,2,FALSE)</f>
        <v>Pure Cycles William 3-Speed - 2016</v>
      </c>
      <c r="I1724">
        <f>VLOOKUP(C1724,[1]products!$A:$D,4,FALSE)</f>
        <v>3</v>
      </c>
      <c r="J1724" t="str">
        <f>VLOOKUP(I1724,[2]categories!$A$1:$B$8,2,FALSE)</f>
        <v>Cruisers Bicycles</v>
      </c>
    </row>
    <row r="1725" customHeight="1" spans="1:10">
      <c r="A1725" s="1">
        <v>616</v>
      </c>
      <c r="B1725" s="1">
        <v>1</v>
      </c>
      <c r="C1725" s="1">
        <v>24</v>
      </c>
      <c r="D1725" s="1">
        <v>1</v>
      </c>
      <c r="E1725" s="1">
        <v>549.99</v>
      </c>
      <c r="F1725" s="1">
        <v>0.2</v>
      </c>
      <c r="G1725">
        <f t="shared" si="26"/>
        <v>549.79</v>
      </c>
      <c r="H1725" t="str">
        <f>VLOOKUP(C1725,[1]products!$A:$B,2,FALSE)</f>
        <v>Electra Townie Original 21D - 2016</v>
      </c>
      <c r="I1725">
        <f>VLOOKUP(C1725,[1]products!$A:$D,4,FALSE)</f>
        <v>2</v>
      </c>
      <c r="J1725" t="str">
        <f>VLOOKUP(I1725,[2]categories!$A$1:$B$8,2,FALSE)</f>
        <v>Comfort Bicycles</v>
      </c>
    </row>
    <row r="1726" customHeight="1" spans="1:10">
      <c r="A1726" s="1">
        <v>616</v>
      </c>
      <c r="B1726" s="1">
        <v>2</v>
      </c>
      <c r="C1726" s="1">
        <v>16</v>
      </c>
      <c r="D1726" s="1">
        <v>2</v>
      </c>
      <c r="E1726" s="1">
        <v>599.99</v>
      </c>
      <c r="F1726" s="1">
        <v>0.2</v>
      </c>
      <c r="G1726">
        <f t="shared" si="26"/>
        <v>1199.78</v>
      </c>
      <c r="H1726" t="str">
        <f>VLOOKUP(C1726,[1]products!$A:$B,2,FALSE)</f>
        <v>Electra Townie Original 7D EQ - 2016</v>
      </c>
      <c r="I1726">
        <f>VLOOKUP(C1726,[1]products!$A:$D,4,FALSE)</f>
        <v>3</v>
      </c>
      <c r="J1726" t="str">
        <f>VLOOKUP(I1726,[2]categories!$A$1:$B$8,2,FALSE)</f>
        <v>Cruisers Bicycles</v>
      </c>
    </row>
    <row r="1727" customHeight="1" spans="1:10">
      <c r="A1727" s="1">
        <v>617</v>
      </c>
      <c r="B1727" s="1">
        <v>1</v>
      </c>
      <c r="C1727" s="1">
        <v>15</v>
      </c>
      <c r="D1727" s="1">
        <v>2</v>
      </c>
      <c r="E1727" s="1">
        <v>529.99</v>
      </c>
      <c r="F1727" s="1">
        <v>0.2</v>
      </c>
      <c r="G1727">
        <f t="shared" si="26"/>
        <v>1059.78</v>
      </c>
      <c r="H1727" t="str">
        <f>VLOOKUP(C1727,[1]products!$A:$B,2,FALSE)</f>
        <v>Electra Moto 1 - 2016</v>
      </c>
      <c r="I1727">
        <f>VLOOKUP(C1727,[1]products!$A:$D,4,FALSE)</f>
        <v>3</v>
      </c>
      <c r="J1727" t="str">
        <f>VLOOKUP(I1727,[2]categories!$A$1:$B$8,2,FALSE)</f>
        <v>Cruisers Bicycles</v>
      </c>
    </row>
    <row r="1728" customHeight="1" spans="1:10">
      <c r="A1728" s="1">
        <v>617</v>
      </c>
      <c r="B1728" s="1">
        <v>2</v>
      </c>
      <c r="C1728" s="1">
        <v>11</v>
      </c>
      <c r="D1728" s="1">
        <v>2</v>
      </c>
      <c r="E1728" s="1">
        <v>1680.99</v>
      </c>
      <c r="F1728" s="1">
        <v>0.07</v>
      </c>
      <c r="G1728">
        <f t="shared" si="26"/>
        <v>3361.91</v>
      </c>
      <c r="H1728" t="str">
        <f>VLOOKUP(C1728,[1]products!$A:$B,2,FALSE)</f>
        <v>Surly Straggler 650b - 2016</v>
      </c>
      <c r="I1728">
        <f>VLOOKUP(C1728,[1]products!$A:$D,4,FALSE)</f>
        <v>4</v>
      </c>
      <c r="J1728" t="str">
        <f>VLOOKUP(I1728,[2]categories!$A$1:$B$8,2,FALSE)</f>
        <v>Cyclocross Bicycles</v>
      </c>
    </row>
    <row r="1729" customHeight="1" spans="1:10">
      <c r="A1729" s="1">
        <v>618</v>
      </c>
      <c r="B1729" s="1">
        <v>1</v>
      </c>
      <c r="C1729" s="1">
        <v>17</v>
      </c>
      <c r="D1729" s="1">
        <v>2</v>
      </c>
      <c r="E1729" s="1">
        <v>429</v>
      </c>
      <c r="F1729" s="1">
        <v>0.1</v>
      </c>
      <c r="G1729">
        <f t="shared" si="26"/>
        <v>857.9</v>
      </c>
      <c r="H1729" t="str">
        <f>VLOOKUP(C1729,[1]products!$A:$B,2,FALSE)</f>
        <v>Pure Cycles Vine 8-Speed - 2016</v>
      </c>
      <c r="I1729">
        <f>VLOOKUP(C1729,[1]products!$A:$D,4,FALSE)</f>
        <v>3</v>
      </c>
      <c r="J1729" t="str">
        <f>VLOOKUP(I1729,[2]categories!$A$1:$B$8,2,FALSE)</f>
        <v>Cruisers Bicycles</v>
      </c>
    </row>
    <row r="1730" customHeight="1" spans="1:10">
      <c r="A1730" s="1">
        <v>618</v>
      </c>
      <c r="B1730" s="1">
        <v>2</v>
      </c>
      <c r="C1730" s="1">
        <v>11</v>
      </c>
      <c r="D1730" s="1">
        <v>1</v>
      </c>
      <c r="E1730" s="1">
        <v>1680.99</v>
      </c>
      <c r="F1730" s="1">
        <v>0.07</v>
      </c>
      <c r="G1730">
        <f t="shared" si="26"/>
        <v>1680.92</v>
      </c>
      <c r="H1730" t="str">
        <f>VLOOKUP(C1730,[1]products!$A:$B,2,FALSE)</f>
        <v>Surly Straggler 650b - 2016</v>
      </c>
      <c r="I1730">
        <f>VLOOKUP(C1730,[1]products!$A:$D,4,FALSE)</f>
        <v>4</v>
      </c>
      <c r="J1730" t="str">
        <f>VLOOKUP(I1730,[2]categories!$A$1:$B$8,2,FALSE)</f>
        <v>Cyclocross Bicycles</v>
      </c>
    </row>
    <row r="1731" customHeight="1" spans="1:10">
      <c r="A1731" s="1">
        <v>619</v>
      </c>
      <c r="B1731" s="1">
        <v>1</v>
      </c>
      <c r="C1731" s="1">
        <v>25</v>
      </c>
      <c r="D1731" s="1">
        <v>1</v>
      </c>
      <c r="E1731" s="1">
        <v>499.99</v>
      </c>
      <c r="F1731" s="1">
        <v>0.07</v>
      </c>
      <c r="G1731">
        <f t="shared" ref="G1731:G1794" si="27">(E1731*D1731)-F1731</f>
        <v>499.92</v>
      </c>
      <c r="H1731" t="str">
        <f>VLOOKUP(C1731,[1]products!$A:$B,2,FALSE)</f>
        <v>Electra Townie Original 7D - 2015/2016</v>
      </c>
      <c r="I1731">
        <f>VLOOKUP(C1731,[1]products!$A:$D,4,FALSE)</f>
        <v>2</v>
      </c>
      <c r="J1731" t="str">
        <f>VLOOKUP(I1731,[2]categories!$A$1:$B$8,2,FALSE)</f>
        <v>Comfort Bicycles</v>
      </c>
    </row>
    <row r="1732" customHeight="1" spans="1:10">
      <c r="A1732" s="1">
        <v>620</v>
      </c>
      <c r="B1732" s="1">
        <v>1</v>
      </c>
      <c r="C1732" s="1">
        <v>5</v>
      </c>
      <c r="D1732" s="1">
        <v>2</v>
      </c>
      <c r="E1732" s="1">
        <v>1320.99</v>
      </c>
      <c r="F1732" s="1">
        <v>0.2</v>
      </c>
      <c r="G1732">
        <f t="shared" si="27"/>
        <v>2641.78</v>
      </c>
      <c r="H1732" t="str">
        <f>VLOOKUP(C1732,[1]products!$A:$B,2,FALSE)</f>
        <v>Heller Shagamaw Frame - 2016</v>
      </c>
      <c r="I1732">
        <f>VLOOKUP(C1732,[1]products!$A:$D,4,FALSE)</f>
        <v>6</v>
      </c>
      <c r="J1732" t="str">
        <f>VLOOKUP(I1732,[2]categories!$A$1:$B$8,2,FALSE)</f>
        <v>Mountain Bikes</v>
      </c>
    </row>
    <row r="1733" customHeight="1" spans="1:10">
      <c r="A1733" s="1">
        <v>621</v>
      </c>
      <c r="B1733" s="1">
        <v>1</v>
      </c>
      <c r="C1733" s="1">
        <v>17</v>
      </c>
      <c r="D1733" s="1">
        <v>2</v>
      </c>
      <c r="E1733" s="1">
        <v>429</v>
      </c>
      <c r="F1733" s="1">
        <v>0.07</v>
      </c>
      <c r="G1733">
        <f t="shared" si="27"/>
        <v>857.93</v>
      </c>
      <c r="H1733" t="str">
        <f>VLOOKUP(C1733,[1]products!$A:$B,2,FALSE)</f>
        <v>Pure Cycles Vine 8-Speed - 2016</v>
      </c>
      <c r="I1733">
        <f>VLOOKUP(C1733,[1]products!$A:$D,4,FALSE)</f>
        <v>3</v>
      </c>
      <c r="J1733" t="str">
        <f>VLOOKUP(I1733,[2]categories!$A$1:$B$8,2,FALSE)</f>
        <v>Cruisers Bicycles</v>
      </c>
    </row>
    <row r="1734" customHeight="1" spans="1:10">
      <c r="A1734" s="1">
        <v>622</v>
      </c>
      <c r="B1734" s="1">
        <v>1</v>
      </c>
      <c r="C1734" s="1">
        <v>9</v>
      </c>
      <c r="D1734" s="1">
        <v>2</v>
      </c>
      <c r="E1734" s="1">
        <v>2999.99</v>
      </c>
      <c r="F1734" s="1">
        <v>0.07</v>
      </c>
      <c r="G1734">
        <f t="shared" si="27"/>
        <v>5999.91</v>
      </c>
      <c r="H1734" t="str">
        <f>VLOOKUP(C1734,[1]products!$A:$B,2,FALSE)</f>
        <v>Trek Conduit+ - 2016</v>
      </c>
      <c r="I1734">
        <f>VLOOKUP(C1734,[1]products!$A:$D,4,FALSE)</f>
        <v>5</v>
      </c>
      <c r="J1734" t="str">
        <f>VLOOKUP(I1734,[2]categories!$A$1:$B$8,2,FALSE)</f>
        <v>Electric Bikes</v>
      </c>
    </row>
    <row r="1735" customHeight="1" spans="1:10">
      <c r="A1735" s="1">
        <v>622</v>
      </c>
      <c r="B1735" s="1">
        <v>2</v>
      </c>
      <c r="C1735" s="1">
        <v>18</v>
      </c>
      <c r="D1735" s="1">
        <v>1</v>
      </c>
      <c r="E1735" s="1">
        <v>449</v>
      </c>
      <c r="F1735" s="1">
        <v>0.1</v>
      </c>
      <c r="G1735">
        <f t="shared" si="27"/>
        <v>448.9</v>
      </c>
      <c r="H1735" t="str">
        <f>VLOOKUP(C1735,[1]products!$A:$B,2,FALSE)</f>
        <v>Pure Cycles Western 3-Speed - Women's - 2015/2016</v>
      </c>
      <c r="I1735">
        <f>VLOOKUP(C1735,[1]products!$A:$D,4,FALSE)</f>
        <v>3</v>
      </c>
      <c r="J1735" t="str">
        <f>VLOOKUP(I1735,[2]categories!$A$1:$B$8,2,FALSE)</f>
        <v>Cruisers Bicycles</v>
      </c>
    </row>
    <row r="1736" customHeight="1" spans="1:10">
      <c r="A1736" s="1">
        <v>622</v>
      </c>
      <c r="B1736" s="1">
        <v>3</v>
      </c>
      <c r="C1736" s="1">
        <v>10</v>
      </c>
      <c r="D1736" s="1">
        <v>1</v>
      </c>
      <c r="E1736" s="1">
        <v>1549</v>
      </c>
      <c r="F1736" s="1">
        <v>0.2</v>
      </c>
      <c r="G1736">
        <f t="shared" si="27"/>
        <v>1548.8</v>
      </c>
      <c r="H1736" t="str">
        <f>VLOOKUP(C1736,[1]products!$A:$B,2,FALSE)</f>
        <v>Surly Straggler - 2016</v>
      </c>
      <c r="I1736">
        <f>VLOOKUP(C1736,[1]products!$A:$D,4,FALSE)</f>
        <v>4</v>
      </c>
      <c r="J1736" t="str">
        <f>VLOOKUP(I1736,[2]categories!$A$1:$B$8,2,FALSE)</f>
        <v>Cyclocross Bicycles</v>
      </c>
    </row>
    <row r="1737" customHeight="1" spans="1:10">
      <c r="A1737" s="1">
        <v>622</v>
      </c>
      <c r="B1737" s="1">
        <v>4</v>
      </c>
      <c r="C1737" s="1">
        <v>25</v>
      </c>
      <c r="D1737" s="1">
        <v>1</v>
      </c>
      <c r="E1737" s="1">
        <v>499.99</v>
      </c>
      <c r="F1737" s="1">
        <v>0.07</v>
      </c>
      <c r="G1737">
        <f t="shared" si="27"/>
        <v>499.92</v>
      </c>
      <c r="H1737" t="str">
        <f>VLOOKUP(C1737,[1]products!$A:$B,2,FALSE)</f>
        <v>Electra Townie Original 7D - 2015/2016</v>
      </c>
      <c r="I1737">
        <f>VLOOKUP(C1737,[1]products!$A:$D,4,FALSE)</f>
        <v>2</v>
      </c>
      <c r="J1737" t="str">
        <f>VLOOKUP(I1737,[2]categories!$A$1:$B$8,2,FALSE)</f>
        <v>Comfort Bicycles</v>
      </c>
    </row>
    <row r="1738" customHeight="1" spans="1:10">
      <c r="A1738" s="1">
        <v>623</v>
      </c>
      <c r="B1738" s="1">
        <v>1</v>
      </c>
      <c r="C1738" s="1">
        <v>8</v>
      </c>
      <c r="D1738" s="1">
        <v>1</v>
      </c>
      <c r="E1738" s="1">
        <v>1799.99</v>
      </c>
      <c r="F1738" s="1">
        <v>0.07</v>
      </c>
      <c r="G1738">
        <f t="shared" si="27"/>
        <v>1799.92</v>
      </c>
      <c r="H1738" t="str">
        <f>VLOOKUP(C1738,[1]products!$A:$B,2,FALSE)</f>
        <v>Trek Remedy 29 Carbon Frameset - 2016</v>
      </c>
      <c r="I1738">
        <f>VLOOKUP(C1738,[1]products!$A:$D,4,FALSE)</f>
        <v>6</v>
      </c>
      <c r="J1738" t="str">
        <f>VLOOKUP(I1738,[2]categories!$A$1:$B$8,2,FALSE)</f>
        <v>Mountain Bikes</v>
      </c>
    </row>
    <row r="1739" customHeight="1" spans="1:10">
      <c r="A1739" s="1">
        <v>624</v>
      </c>
      <c r="B1739" s="1">
        <v>1</v>
      </c>
      <c r="C1739" s="1">
        <v>21</v>
      </c>
      <c r="D1739" s="1">
        <v>2</v>
      </c>
      <c r="E1739" s="1">
        <v>269.99</v>
      </c>
      <c r="F1739" s="1">
        <v>0.05</v>
      </c>
      <c r="G1739">
        <f t="shared" si="27"/>
        <v>539.93</v>
      </c>
      <c r="H1739" t="str">
        <f>VLOOKUP(C1739,[1]products!$A:$B,2,FALSE)</f>
        <v>Electra Cruiser 1 (24-Inch) - 2016</v>
      </c>
      <c r="I1739">
        <f>VLOOKUP(C1739,[1]products!$A:$D,4,FALSE)</f>
        <v>1</v>
      </c>
      <c r="J1739" t="str">
        <f>VLOOKUP(I1739,[2]categories!$A$1:$B$8,2,FALSE)</f>
        <v>Children Bicycles</v>
      </c>
    </row>
    <row r="1740" customHeight="1" spans="1:10">
      <c r="A1740" s="1">
        <v>624</v>
      </c>
      <c r="B1740" s="1">
        <v>2</v>
      </c>
      <c r="C1740" s="1">
        <v>16</v>
      </c>
      <c r="D1740" s="1">
        <v>1</v>
      </c>
      <c r="E1740" s="1">
        <v>599.99</v>
      </c>
      <c r="F1740" s="1">
        <v>0.07</v>
      </c>
      <c r="G1740">
        <f t="shared" si="27"/>
        <v>599.92</v>
      </c>
      <c r="H1740" t="str">
        <f>VLOOKUP(C1740,[1]products!$A:$B,2,FALSE)</f>
        <v>Electra Townie Original 7D EQ - 2016</v>
      </c>
      <c r="I1740">
        <f>VLOOKUP(C1740,[1]products!$A:$D,4,FALSE)</f>
        <v>3</v>
      </c>
      <c r="J1740" t="str">
        <f>VLOOKUP(I1740,[2]categories!$A$1:$B$8,2,FALSE)</f>
        <v>Cruisers Bicycles</v>
      </c>
    </row>
    <row r="1741" customHeight="1" spans="1:10">
      <c r="A1741" s="1">
        <v>624</v>
      </c>
      <c r="B1741" s="1">
        <v>3</v>
      </c>
      <c r="C1741" s="1">
        <v>22</v>
      </c>
      <c r="D1741" s="1">
        <v>1</v>
      </c>
      <c r="E1741" s="1">
        <v>269.99</v>
      </c>
      <c r="F1741" s="1">
        <v>0.07</v>
      </c>
      <c r="G1741">
        <f t="shared" si="27"/>
        <v>269.92</v>
      </c>
      <c r="H1741" t="str">
        <f>VLOOKUP(C1741,[1]products!$A:$B,2,FALSE)</f>
        <v>Electra Girl's Hawaii 1 (16-inch) - 2015/2016</v>
      </c>
      <c r="I1741">
        <f>VLOOKUP(C1741,[1]products!$A:$D,4,FALSE)</f>
        <v>1</v>
      </c>
      <c r="J1741" t="str">
        <f>VLOOKUP(I1741,[2]categories!$A$1:$B$8,2,FALSE)</f>
        <v>Children Bicycles</v>
      </c>
    </row>
    <row r="1742" customHeight="1" spans="1:10">
      <c r="A1742" s="1">
        <v>624</v>
      </c>
      <c r="B1742" s="1">
        <v>4</v>
      </c>
      <c r="C1742" s="1">
        <v>14</v>
      </c>
      <c r="D1742" s="1">
        <v>2</v>
      </c>
      <c r="E1742" s="1">
        <v>269.99</v>
      </c>
      <c r="F1742" s="1">
        <v>0.2</v>
      </c>
      <c r="G1742">
        <f t="shared" si="27"/>
        <v>539.78</v>
      </c>
      <c r="H1742" t="str">
        <f>VLOOKUP(C1742,[1]products!$A:$B,2,FALSE)</f>
        <v>Electra Girl's Hawaii 1 (16-inch) - 2015/2016</v>
      </c>
      <c r="I1742">
        <f>VLOOKUP(C1742,[1]products!$A:$D,4,FALSE)</f>
        <v>3</v>
      </c>
      <c r="J1742" t="str">
        <f>VLOOKUP(I1742,[2]categories!$A$1:$B$8,2,FALSE)</f>
        <v>Cruisers Bicycles</v>
      </c>
    </row>
    <row r="1743" customHeight="1" spans="1:10">
      <c r="A1743" s="1">
        <v>625</v>
      </c>
      <c r="B1743" s="1">
        <v>1</v>
      </c>
      <c r="C1743" s="1">
        <v>17</v>
      </c>
      <c r="D1743" s="1">
        <v>1</v>
      </c>
      <c r="E1743" s="1">
        <v>429</v>
      </c>
      <c r="F1743" s="1">
        <v>0.07</v>
      </c>
      <c r="G1743">
        <f t="shared" si="27"/>
        <v>428.93</v>
      </c>
      <c r="H1743" t="str">
        <f>VLOOKUP(C1743,[1]products!$A:$B,2,FALSE)</f>
        <v>Pure Cycles Vine 8-Speed - 2016</v>
      </c>
      <c r="I1743">
        <f>VLOOKUP(C1743,[1]products!$A:$D,4,FALSE)</f>
        <v>3</v>
      </c>
      <c r="J1743" t="str">
        <f>VLOOKUP(I1743,[2]categories!$A$1:$B$8,2,FALSE)</f>
        <v>Cruisers Bicycles</v>
      </c>
    </row>
    <row r="1744" customHeight="1" spans="1:10">
      <c r="A1744" s="1">
        <v>625</v>
      </c>
      <c r="B1744" s="1">
        <v>2</v>
      </c>
      <c r="C1744" s="1">
        <v>11</v>
      </c>
      <c r="D1744" s="1">
        <v>2</v>
      </c>
      <c r="E1744" s="1">
        <v>1680.99</v>
      </c>
      <c r="F1744" s="1">
        <v>0.2</v>
      </c>
      <c r="G1744">
        <f t="shared" si="27"/>
        <v>3361.78</v>
      </c>
      <c r="H1744" t="str">
        <f>VLOOKUP(C1744,[1]products!$A:$B,2,FALSE)</f>
        <v>Surly Straggler 650b - 2016</v>
      </c>
      <c r="I1744">
        <f>VLOOKUP(C1744,[1]products!$A:$D,4,FALSE)</f>
        <v>4</v>
      </c>
      <c r="J1744" t="str">
        <f>VLOOKUP(I1744,[2]categories!$A$1:$B$8,2,FALSE)</f>
        <v>Cyclocross Bicycles</v>
      </c>
    </row>
    <row r="1745" customHeight="1" spans="1:10">
      <c r="A1745" s="1">
        <v>625</v>
      </c>
      <c r="B1745" s="1">
        <v>3</v>
      </c>
      <c r="C1745" s="1">
        <v>26</v>
      </c>
      <c r="D1745" s="1">
        <v>1</v>
      </c>
      <c r="E1745" s="1">
        <v>599.99</v>
      </c>
      <c r="F1745" s="1">
        <v>0.07</v>
      </c>
      <c r="G1745">
        <f t="shared" si="27"/>
        <v>599.92</v>
      </c>
      <c r="H1745" t="str">
        <f>VLOOKUP(C1745,[1]products!$A:$B,2,FALSE)</f>
        <v>Electra Townie Original 7D EQ - 2016</v>
      </c>
      <c r="I1745">
        <f>VLOOKUP(C1745,[1]products!$A:$D,4,FALSE)</f>
        <v>2</v>
      </c>
      <c r="J1745" t="str">
        <f>VLOOKUP(I1745,[2]categories!$A$1:$B$8,2,FALSE)</f>
        <v>Comfort Bicycles</v>
      </c>
    </row>
    <row r="1746" customHeight="1" spans="1:10">
      <c r="A1746" s="1">
        <v>625</v>
      </c>
      <c r="B1746" s="1">
        <v>4</v>
      </c>
      <c r="C1746" s="1">
        <v>23</v>
      </c>
      <c r="D1746" s="1">
        <v>2</v>
      </c>
      <c r="E1746" s="1">
        <v>299.99</v>
      </c>
      <c r="F1746" s="1">
        <v>0.1</v>
      </c>
      <c r="G1746">
        <f t="shared" si="27"/>
        <v>599.88</v>
      </c>
      <c r="H1746" t="str">
        <f>VLOOKUP(C1746,[1]products!$A:$B,2,FALSE)</f>
        <v>Electra Girl's Hawaii 1 (20-inch) - 2015/2016</v>
      </c>
      <c r="I1746">
        <f>VLOOKUP(C1746,[1]products!$A:$D,4,FALSE)</f>
        <v>1</v>
      </c>
      <c r="J1746" t="str">
        <f>VLOOKUP(I1746,[2]categories!$A$1:$B$8,2,FALSE)</f>
        <v>Children Bicycles</v>
      </c>
    </row>
    <row r="1747" customHeight="1" spans="1:10">
      <c r="A1747" s="1">
        <v>626</v>
      </c>
      <c r="B1747" s="1">
        <v>1</v>
      </c>
      <c r="C1747" s="1">
        <v>15</v>
      </c>
      <c r="D1747" s="1">
        <v>1</v>
      </c>
      <c r="E1747" s="1">
        <v>529.99</v>
      </c>
      <c r="F1747" s="1">
        <v>0.2</v>
      </c>
      <c r="G1747">
        <f t="shared" si="27"/>
        <v>529.79</v>
      </c>
      <c r="H1747" t="str">
        <f>VLOOKUP(C1747,[1]products!$A:$B,2,FALSE)</f>
        <v>Electra Moto 1 - 2016</v>
      </c>
      <c r="I1747">
        <f>VLOOKUP(C1747,[1]products!$A:$D,4,FALSE)</f>
        <v>3</v>
      </c>
      <c r="J1747" t="str">
        <f>VLOOKUP(I1747,[2]categories!$A$1:$B$8,2,FALSE)</f>
        <v>Cruisers Bicycles</v>
      </c>
    </row>
    <row r="1748" customHeight="1" spans="1:10">
      <c r="A1748" s="1">
        <v>627</v>
      </c>
      <c r="B1748" s="1">
        <v>1</v>
      </c>
      <c r="C1748" s="1">
        <v>19</v>
      </c>
      <c r="D1748" s="1">
        <v>1</v>
      </c>
      <c r="E1748" s="1">
        <v>449</v>
      </c>
      <c r="F1748" s="1">
        <v>0.07</v>
      </c>
      <c r="G1748">
        <f t="shared" si="27"/>
        <v>448.93</v>
      </c>
      <c r="H1748" t="str">
        <f>VLOOKUP(C1748,[1]products!$A:$B,2,FALSE)</f>
        <v>Pure Cycles William 3-Speed - 2016</v>
      </c>
      <c r="I1748">
        <f>VLOOKUP(C1748,[1]products!$A:$D,4,FALSE)</f>
        <v>3</v>
      </c>
      <c r="J1748" t="str">
        <f>VLOOKUP(I1748,[2]categories!$A$1:$B$8,2,FALSE)</f>
        <v>Cruisers Bicycles</v>
      </c>
    </row>
    <row r="1749" customHeight="1" spans="1:10">
      <c r="A1749" s="1">
        <v>627</v>
      </c>
      <c r="B1749" s="1">
        <v>2</v>
      </c>
      <c r="C1749" s="1">
        <v>9</v>
      </c>
      <c r="D1749" s="1">
        <v>2</v>
      </c>
      <c r="E1749" s="1">
        <v>2999.99</v>
      </c>
      <c r="F1749" s="1">
        <v>0.2</v>
      </c>
      <c r="G1749">
        <f t="shared" si="27"/>
        <v>5999.78</v>
      </c>
      <c r="H1749" t="str">
        <f>VLOOKUP(C1749,[1]products!$A:$B,2,FALSE)</f>
        <v>Trek Conduit+ - 2016</v>
      </c>
      <c r="I1749">
        <f>VLOOKUP(C1749,[1]products!$A:$D,4,FALSE)</f>
        <v>5</v>
      </c>
      <c r="J1749" t="str">
        <f>VLOOKUP(I1749,[2]categories!$A$1:$B$8,2,FALSE)</f>
        <v>Electric Bikes</v>
      </c>
    </row>
    <row r="1750" customHeight="1" spans="1:10">
      <c r="A1750" s="1">
        <v>627</v>
      </c>
      <c r="B1750" s="1">
        <v>3</v>
      </c>
      <c r="C1750" s="1">
        <v>26</v>
      </c>
      <c r="D1750" s="1">
        <v>1</v>
      </c>
      <c r="E1750" s="1">
        <v>599.99</v>
      </c>
      <c r="F1750" s="1">
        <v>0.07</v>
      </c>
      <c r="G1750">
        <f t="shared" si="27"/>
        <v>599.92</v>
      </c>
      <c r="H1750" t="str">
        <f>VLOOKUP(C1750,[1]products!$A:$B,2,FALSE)</f>
        <v>Electra Townie Original 7D EQ - 2016</v>
      </c>
      <c r="I1750">
        <f>VLOOKUP(C1750,[1]products!$A:$D,4,FALSE)</f>
        <v>2</v>
      </c>
      <c r="J1750" t="str">
        <f>VLOOKUP(I1750,[2]categories!$A$1:$B$8,2,FALSE)</f>
        <v>Comfort Bicycles</v>
      </c>
    </row>
    <row r="1751" customHeight="1" spans="1:10">
      <c r="A1751" s="1">
        <v>628</v>
      </c>
      <c r="B1751" s="1">
        <v>1</v>
      </c>
      <c r="C1751" s="1">
        <v>15</v>
      </c>
      <c r="D1751" s="1">
        <v>2</v>
      </c>
      <c r="E1751" s="1">
        <v>529.99</v>
      </c>
      <c r="F1751" s="1">
        <v>0.1</v>
      </c>
      <c r="G1751">
        <f t="shared" si="27"/>
        <v>1059.88</v>
      </c>
      <c r="H1751" t="str">
        <f>VLOOKUP(C1751,[1]products!$A:$B,2,FALSE)</f>
        <v>Electra Moto 1 - 2016</v>
      </c>
      <c r="I1751">
        <f>VLOOKUP(C1751,[1]products!$A:$D,4,FALSE)</f>
        <v>3</v>
      </c>
      <c r="J1751" t="str">
        <f>VLOOKUP(I1751,[2]categories!$A$1:$B$8,2,FALSE)</f>
        <v>Cruisers Bicycles</v>
      </c>
    </row>
    <row r="1752" customHeight="1" spans="1:10">
      <c r="A1752" s="1">
        <v>629</v>
      </c>
      <c r="B1752" s="1">
        <v>1</v>
      </c>
      <c r="C1752" s="1">
        <v>19</v>
      </c>
      <c r="D1752" s="1">
        <v>1</v>
      </c>
      <c r="E1752" s="1">
        <v>449</v>
      </c>
      <c r="F1752" s="1">
        <v>0.05</v>
      </c>
      <c r="G1752">
        <f t="shared" si="27"/>
        <v>448.95</v>
      </c>
      <c r="H1752" t="str">
        <f>VLOOKUP(C1752,[1]products!$A:$B,2,FALSE)</f>
        <v>Pure Cycles William 3-Speed - 2016</v>
      </c>
      <c r="I1752">
        <f>VLOOKUP(C1752,[1]products!$A:$D,4,FALSE)</f>
        <v>3</v>
      </c>
      <c r="J1752" t="str">
        <f>VLOOKUP(I1752,[2]categories!$A$1:$B$8,2,FALSE)</f>
        <v>Cruisers Bicycles</v>
      </c>
    </row>
    <row r="1753" customHeight="1" spans="1:10">
      <c r="A1753" s="1">
        <v>629</v>
      </c>
      <c r="B1753" s="1">
        <v>2</v>
      </c>
      <c r="C1753" s="1">
        <v>5</v>
      </c>
      <c r="D1753" s="1">
        <v>2</v>
      </c>
      <c r="E1753" s="1">
        <v>1320.99</v>
      </c>
      <c r="F1753" s="1">
        <v>0.05</v>
      </c>
      <c r="G1753">
        <f t="shared" si="27"/>
        <v>2641.93</v>
      </c>
      <c r="H1753" t="str">
        <f>VLOOKUP(C1753,[1]products!$A:$B,2,FALSE)</f>
        <v>Heller Shagamaw Frame - 2016</v>
      </c>
      <c r="I1753">
        <f>VLOOKUP(C1753,[1]products!$A:$D,4,FALSE)</f>
        <v>6</v>
      </c>
      <c r="J1753" t="str">
        <f>VLOOKUP(I1753,[2]categories!$A$1:$B$8,2,FALSE)</f>
        <v>Mountain Bikes</v>
      </c>
    </row>
    <row r="1754" customHeight="1" spans="1:10">
      <c r="A1754" s="1">
        <v>629</v>
      </c>
      <c r="B1754" s="1">
        <v>3</v>
      </c>
      <c r="C1754" s="1">
        <v>23</v>
      </c>
      <c r="D1754" s="1">
        <v>2</v>
      </c>
      <c r="E1754" s="1">
        <v>299.99</v>
      </c>
      <c r="F1754" s="1">
        <v>0.1</v>
      </c>
      <c r="G1754">
        <f t="shared" si="27"/>
        <v>599.88</v>
      </c>
      <c r="H1754" t="str">
        <f>VLOOKUP(C1754,[1]products!$A:$B,2,FALSE)</f>
        <v>Electra Girl's Hawaii 1 (20-inch) - 2015/2016</v>
      </c>
      <c r="I1754">
        <f>VLOOKUP(C1754,[1]products!$A:$D,4,FALSE)</f>
        <v>1</v>
      </c>
      <c r="J1754" t="str">
        <f>VLOOKUP(I1754,[2]categories!$A$1:$B$8,2,FALSE)</f>
        <v>Children Bicycles</v>
      </c>
    </row>
    <row r="1755" customHeight="1" spans="1:10">
      <c r="A1755" s="1">
        <v>629</v>
      </c>
      <c r="B1755" s="1">
        <v>4</v>
      </c>
      <c r="C1755" s="1">
        <v>14</v>
      </c>
      <c r="D1755" s="1">
        <v>2</v>
      </c>
      <c r="E1755" s="1">
        <v>269.99</v>
      </c>
      <c r="F1755" s="1">
        <v>0.05</v>
      </c>
      <c r="G1755">
        <f t="shared" si="27"/>
        <v>539.93</v>
      </c>
      <c r="H1755" t="str">
        <f>VLOOKUP(C1755,[1]products!$A:$B,2,FALSE)</f>
        <v>Electra Girl's Hawaii 1 (16-inch) - 2015/2016</v>
      </c>
      <c r="I1755">
        <f>VLOOKUP(C1755,[1]products!$A:$D,4,FALSE)</f>
        <v>3</v>
      </c>
      <c r="J1755" t="str">
        <f>VLOOKUP(I1755,[2]categories!$A$1:$B$8,2,FALSE)</f>
        <v>Cruisers Bicycles</v>
      </c>
    </row>
    <row r="1756" customHeight="1" spans="1:10">
      <c r="A1756" s="1">
        <v>629</v>
      </c>
      <c r="B1756" s="1">
        <v>5</v>
      </c>
      <c r="C1756" s="1">
        <v>6</v>
      </c>
      <c r="D1756" s="1">
        <v>2</v>
      </c>
      <c r="E1756" s="1">
        <v>469.99</v>
      </c>
      <c r="F1756" s="1">
        <v>0.1</v>
      </c>
      <c r="G1756">
        <f t="shared" si="27"/>
        <v>939.88</v>
      </c>
      <c r="H1756" t="str">
        <f>VLOOKUP(C1756,[1]products!$A:$B,2,FALSE)</f>
        <v>Surly Ice Cream Truck Frameset - 2016</v>
      </c>
      <c r="I1756">
        <f>VLOOKUP(C1756,[1]products!$A:$D,4,FALSE)</f>
        <v>6</v>
      </c>
      <c r="J1756" t="str">
        <f>VLOOKUP(I1756,[2]categories!$A$1:$B$8,2,FALSE)</f>
        <v>Mountain Bikes</v>
      </c>
    </row>
    <row r="1757" customHeight="1" spans="1:10">
      <c r="A1757" s="1">
        <v>630</v>
      </c>
      <c r="B1757" s="1">
        <v>1</v>
      </c>
      <c r="C1757" s="1">
        <v>5</v>
      </c>
      <c r="D1757" s="1">
        <v>1</v>
      </c>
      <c r="E1757" s="1">
        <v>1320.99</v>
      </c>
      <c r="F1757" s="1">
        <v>0.05</v>
      </c>
      <c r="G1757">
        <f t="shared" si="27"/>
        <v>1320.94</v>
      </c>
      <c r="H1757" t="str">
        <f>VLOOKUP(C1757,[1]products!$A:$B,2,FALSE)</f>
        <v>Heller Shagamaw Frame - 2016</v>
      </c>
      <c r="I1757">
        <f>VLOOKUP(C1757,[1]products!$A:$D,4,FALSE)</f>
        <v>6</v>
      </c>
      <c r="J1757" t="str">
        <f>VLOOKUP(I1757,[2]categories!$A$1:$B$8,2,FALSE)</f>
        <v>Mountain Bikes</v>
      </c>
    </row>
    <row r="1758" customHeight="1" spans="1:10">
      <c r="A1758" s="1">
        <v>630</v>
      </c>
      <c r="B1758" s="1">
        <v>2</v>
      </c>
      <c r="C1758" s="1">
        <v>25</v>
      </c>
      <c r="D1758" s="1">
        <v>1</v>
      </c>
      <c r="E1758" s="1">
        <v>499.99</v>
      </c>
      <c r="F1758" s="1">
        <v>0.1</v>
      </c>
      <c r="G1758">
        <f t="shared" si="27"/>
        <v>499.89</v>
      </c>
      <c r="H1758" t="str">
        <f>VLOOKUP(C1758,[1]products!$A:$B,2,FALSE)</f>
        <v>Electra Townie Original 7D - 2015/2016</v>
      </c>
      <c r="I1758">
        <f>VLOOKUP(C1758,[1]products!$A:$D,4,FALSE)</f>
        <v>2</v>
      </c>
      <c r="J1758" t="str">
        <f>VLOOKUP(I1758,[2]categories!$A$1:$B$8,2,FALSE)</f>
        <v>Comfort Bicycles</v>
      </c>
    </row>
    <row r="1759" customHeight="1" spans="1:10">
      <c r="A1759" s="1">
        <v>630</v>
      </c>
      <c r="B1759" s="1">
        <v>3</v>
      </c>
      <c r="C1759" s="1">
        <v>18</v>
      </c>
      <c r="D1759" s="1">
        <v>2</v>
      </c>
      <c r="E1759" s="1">
        <v>449</v>
      </c>
      <c r="F1759" s="1">
        <v>0.1</v>
      </c>
      <c r="G1759">
        <f t="shared" si="27"/>
        <v>897.9</v>
      </c>
      <c r="H1759" t="str">
        <f>VLOOKUP(C1759,[1]products!$A:$B,2,FALSE)</f>
        <v>Pure Cycles Western 3-Speed - Women's - 2015/2016</v>
      </c>
      <c r="I1759">
        <f>VLOOKUP(C1759,[1]products!$A:$D,4,FALSE)</f>
        <v>3</v>
      </c>
      <c r="J1759" t="str">
        <f>VLOOKUP(I1759,[2]categories!$A$1:$B$8,2,FALSE)</f>
        <v>Cruisers Bicycles</v>
      </c>
    </row>
    <row r="1760" customHeight="1" spans="1:10">
      <c r="A1760" s="1">
        <v>630</v>
      </c>
      <c r="B1760" s="1">
        <v>4</v>
      </c>
      <c r="C1760" s="1">
        <v>21</v>
      </c>
      <c r="D1760" s="1">
        <v>2</v>
      </c>
      <c r="E1760" s="1">
        <v>269.99</v>
      </c>
      <c r="F1760" s="1">
        <v>0.07</v>
      </c>
      <c r="G1760">
        <f t="shared" si="27"/>
        <v>539.91</v>
      </c>
      <c r="H1760" t="str">
        <f>VLOOKUP(C1760,[1]products!$A:$B,2,FALSE)</f>
        <v>Electra Cruiser 1 (24-Inch) - 2016</v>
      </c>
      <c r="I1760">
        <f>VLOOKUP(C1760,[1]products!$A:$D,4,FALSE)</f>
        <v>1</v>
      </c>
      <c r="J1760" t="str">
        <f>VLOOKUP(I1760,[2]categories!$A$1:$B$8,2,FALSE)</f>
        <v>Children Bicycles</v>
      </c>
    </row>
    <row r="1761" customHeight="1" spans="1:10">
      <c r="A1761" s="1">
        <v>631</v>
      </c>
      <c r="B1761" s="1">
        <v>1</v>
      </c>
      <c r="C1761" s="1">
        <v>24</v>
      </c>
      <c r="D1761" s="1">
        <v>2</v>
      </c>
      <c r="E1761" s="1">
        <v>549.99</v>
      </c>
      <c r="F1761" s="1">
        <v>0.07</v>
      </c>
      <c r="G1761">
        <f t="shared" si="27"/>
        <v>1099.91</v>
      </c>
      <c r="H1761" t="str">
        <f>VLOOKUP(C1761,[1]products!$A:$B,2,FALSE)</f>
        <v>Electra Townie Original 21D - 2016</v>
      </c>
      <c r="I1761">
        <f>VLOOKUP(C1761,[1]products!$A:$D,4,FALSE)</f>
        <v>2</v>
      </c>
      <c r="J1761" t="str">
        <f>VLOOKUP(I1761,[2]categories!$A$1:$B$8,2,FALSE)</f>
        <v>Comfort Bicycles</v>
      </c>
    </row>
    <row r="1762" customHeight="1" spans="1:10">
      <c r="A1762" s="1">
        <v>631</v>
      </c>
      <c r="B1762" s="1">
        <v>2</v>
      </c>
      <c r="C1762" s="1">
        <v>15</v>
      </c>
      <c r="D1762" s="1">
        <v>2</v>
      </c>
      <c r="E1762" s="1">
        <v>529.99</v>
      </c>
      <c r="F1762" s="1">
        <v>0.07</v>
      </c>
      <c r="G1762">
        <f t="shared" si="27"/>
        <v>1059.91</v>
      </c>
      <c r="H1762" t="str">
        <f>VLOOKUP(C1762,[1]products!$A:$B,2,FALSE)</f>
        <v>Electra Moto 1 - 2016</v>
      </c>
      <c r="I1762">
        <f>VLOOKUP(C1762,[1]products!$A:$D,4,FALSE)</f>
        <v>3</v>
      </c>
      <c r="J1762" t="str">
        <f>VLOOKUP(I1762,[2]categories!$A$1:$B$8,2,FALSE)</f>
        <v>Cruisers Bicycles</v>
      </c>
    </row>
    <row r="1763" customHeight="1" spans="1:10">
      <c r="A1763" s="1">
        <v>632</v>
      </c>
      <c r="B1763" s="1">
        <v>1</v>
      </c>
      <c r="C1763" s="1">
        <v>25</v>
      </c>
      <c r="D1763" s="1">
        <v>1</v>
      </c>
      <c r="E1763" s="1">
        <v>499.99</v>
      </c>
      <c r="F1763" s="1">
        <v>0.2</v>
      </c>
      <c r="G1763">
        <f t="shared" si="27"/>
        <v>499.79</v>
      </c>
      <c r="H1763" t="str">
        <f>VLOOKUP(C1763,[1]products!$A:$B,2,FALSE)</f>
        <v>Electra Townie Original 7D - 2015/2016</v>
      </c>
      <c r="I1763">
        <f>VLOOKUP(C1763,[1]products!$A:$D,4,FALSE)</f>
        <v>2</v>
      </c>
      <c r="J1763" t="str">
        <f>VLOOKUP(I1763,[2]categories!$A$1:$B$8,2,FALSE)</f>
        <v>Comfort Bicycles</v>
      </c>
    </row>
    <row r="1764" customHeight="1" spans="1:10">
      <c r="A1764" s="1">
        <v>632</v>
      </c>
      <c r="B1764" s="1">
        <v>2</v>
      </c>
      <c r="C1764" s="1">
        <v>11</v>
      </c>
      <c r="D1764" s="1">
        <v>2</v>
      </c>
      <c r="E1764" s="1">
        <v>1680.99</v>
      </c>
      <c r="F1764" s="1">
        <v>0.1</v>
      </c>
      <c r="G1764">
        <f t="shared" si="27"/>
        <v>3361.88</v>
      </c>
      <c r="H1764" t="str">
        <f>VLOOKUP(C1764,[1]products!$A:$B,2,FALSE)</f>
        <v>Surly Straggler 650b - 2016</v>
      </c>
      <c r="I1764">
        <f>VLOOKUP(C1764,[1]products!$A:$D,4,FALSE)</f>
        <v>4</v>
      </c>
      <c r="J1764" t="str">
        <f>VLOOKUP(I1764,[2]categories!$A$1:$B$8,2,FALSE)</f>
        <v>Cyclocross Bicycles</v>
      </c>
    </row>
    <row r="1765" customHeight="1" spans="1:10">
      <c r="A1765" s="1">
        <v>632</v>
      </c>
      <c r="B1765" s="1">
        <v>3</v>
      </c>
      <c r="C1765" s="1">
        <v>15</v>
      </c>
      <c r="D1765" s="1">
        <v>1</v>
      </c>
      <c r="E1765" s="1">
        <v>529.99</v>
      </c>
      <c r="F1765" s="1">
        <v>0.07</v>
      </c>
      <c r="G1765">
        <f t="shared" si="27"/>
        <v>529.92</v>
      </c>
      <c r="H1765" t="str">
        <f>VLOOKUP(C1765,[1]products!$A:$B,2,FALSE)</f>
        <v>Electra Moto 1 - 2016</v>
      </c>
      <c r="I1765">
        <f>VLOOKUP(C1765,[1]products!$A:$D,4,FALSE)</f>
        <v>3</v>
      </c>
      <c r="J1765" t="str">
        <f>VLOOKUP(I1765,[2]categories!$A$1:$B$8,2,FALSE)</f>
        <v>Cruisers Bicycles</v>
      </c>
    </row>
    <row r="1766" customHeight="1" spans="1:10">
      <c r="A1766" s="1">
        <v>632</v>
      </c>
      <c r="B1766" s="1">
        <v>4</v>
      </c>
      <c r="C1766" s="1">
        <v>6</v>
      </c>
      <c r="D1766" s="1">
        <v>1</v>
      </c>
      <c r="E1766" s="1">
        <v>469.99</v>
      </c>
      <c r="F1766" s="1">
        <v>0.05</v>
      </c>
      <c r="G1766">
        <f t="shared" si="27"/>
        <v>469.94</v>
      </c>
      <c r="H1766" t="str">
        <f>VLOOKUP(C1766,[1]products!$A:$B,2,FALSE)</f>
        <v>Surly Ice Cream Truck Frameset - 2016</v>
      </c>
      <c r="I1766">
        <f>VLOOKUP(C1766,[1]products!$A:$D,4,FALSE)</f>
        <v>6</v>
      </c>
      <c r="J1766" t="str">
        <f>VLOOKUP(I1766,[2]categories!$A$1:$B$8,2,FALSE)</f>
        <v>Mountain Bikes</v>
      </c>
    </row>
    <row r="1767" customHeight="1" spans="1:10">
      <c r="A1767" s="1">
        <v>632</v>
      </c>
      <c r="B1767" s="1">
        <v>5</v>
      </c>
      <c r="C1767" s="1">
        <v>22</v>
      </c>
      <c r="D1767" s="1">
        <v>2</v>
      </c>
      <c r="E1767" s="1">
        <v>269.99</v>
      </c>
      <c r="F1767" s="1">
        <v>0.1</v>
      </c>
      <c r="G1767">
        <f t="shared" si="27"/>
        <v>539.88</v>
      </c>
      <c r="H1767" t="str">
        <f>VLOOKUP(C1767,[1]products!$A:$B,2,FALSE)</f>
        <v>Electra Girl's Hawaii 1 (16-inch) - 2015/2016</v>
      </c>
      <c r="I1767">
        <f>VLOOKUP(C1767,[1]products!$A:$D,4,FALSE)</f>
        <v>1</v>
      </c>
      <c r="J1767" t="str">
        <f>VLOOKUP(I1767,[2]categories!$A$1:$B$8,2,FALSE)</f>
        <v>Children Bicycles</v>
      </c>
    </row>
    <row r="1768" customHeight="1" spans="1:10">
      <c r="A1768" s="1">
        <v>633</v>
      </c>
      <c r="B1768" s="1">
        <v>1</v>
      </c>
      <c r="C1768" s="1">
        <v>12</v>
      </c>
      <c r="D1768" s="1">
        <v>2</v>
      </c>
      <c r="E1768" s="1">
        <v>549.99</v>
      </c>
      <c r="F1768" s="1">
        <v>0.05</v>
      </c>
      <c r="G1768">
        <f t="shared" si="27"/>
        <v>1099.93</v>
      </c>
      <c r="H1768" t="str">
        <f>VLOOKUP(C1768,[1]products!$A:$B,2,FALSE)</f>
        <v>Electra Townie Original 21D - 2016</v>
      </c>
      <c r="I1768">
        <f>VLOOKUP(C1768,[1]products!$A:$D,4,FALSE)</f>
        <v>3</v>
      </c>
      <c r="J1768" t="str">
        <f>VLOOKUP(I1768,[2]categories!$A$1:$B$8,2,FALSE)</f>
        <v>Cruisers Bicycles</v>
      </c>
    </row>
    <row r="1769" customHeight="1" spans="1:10">
      <c r="A1769" s="1">
        <v>633</v>
      </c>
      <c r="B1769" s="1">
        <v>2</v>
      </c>
      <c r="C1769" s="1">
        <v>13</v>
      </c>
      <c r="D1769" s="1">
        <v>2</v>
      </c>
      <c r="E1769" s="1">
        <v>269.99</v>
      </c>
      <c r="F1769" s="1">
        <v>0.2</v>
      </c>
      <c r="G1769">
        <f t="shared" si="27"/>
        <v>539.78</v>
      </c>
      <c r="H1769" t="str">
        <f>VLOOKUP(C1769,[1]products!$A:$B,2,FALSE)</f>
        <v>Electra Cruiser 1 (24-Inch) - 2016</v>
      </c>
      <c r="I1769">
        <f>VLOOKUP(C1769,[1]products!$A:$D,4,FALSE)</f>
        <v>3</v>
      </c>
      <c r="J1769" t="str">
        <f>VLOOKUP(I1769,[2]categories!$A$1:$B$8,2,FALSE)</f>
        <v>Cruisers Bicycles</v>
      </c>
    </row>
    <row r="1770" customHeight="1" spans="1:10">
      <c r="A1770" s="1">
        <v>633</v>
      </c>
      <c r="B1770" s="1">
        <v>3</v>
      </c>
      <c r="C1770" s="1">
        <v>5</v>
      </c>
      <c r="D1770" s="1">
        <v>2</v>
      </c>
      <c r="E1770" s="1">
        <v>1320.99</v>
      </c>
      <c r="F1770" s="1">
        <v>0.2</v>
      </c>
      <c r="G1770">
        <f t="shared" si="27"/>
        <v>2641.78</v>
      </c>
      <c r="H1770" t="str">
        <f>VLOOKUP(C1770,[1]products!$A:$B,2,FALSE)</f>
        <v>Heller Shagamaw Frame - 2016</v>
      </c>
      <c r="I1770">
        <f>VLOOKUP(C1770,[1]products!$A:$D,4,FALSE)</f>
        <v>6</v>
      </c>
      <c r="J1770" t="str">
        <f>VLOOKUP(I1770,[2]categories!$A$1:$B$8,2,FALSE)</f>
        <v>Mountain Bikes</v>
      </c>
    </row>
    <row r="1771" customHeight="1" spans="1:10">
      <c r="A1771" s="1">
        <v>633</v>
      </c>
      <c r="B1771" s="1">
        <v>4</v>
      </c>
      <c r="C1771" s="1">
        <v>10</v>
      </c>
      <c r="D1771" s="1">
        <v>2</v>
      </c>
      <c r="E1771" s="1">
        <v>1549</v>
      </c>
      <c r="F1771" s="1">
        <v>0.2</v>
      </c>
      <c r="G1771">
        <f t="shared" si="27"/>
        <v>3097.8</v>
      </c>
      <c r="H1771" t="str">
        <f>VLOOKUP(C1771,[1]products!$A:$B,2,FALSE)</f>
        <v>Surly Straggler - 2016</v>
      </c>
      <c r="I1771">
        <f>VLOOKUP(C1771,[1]products!$A:$D,4,FALSE)</f>
        <v>4</v>
      </c>
      <c r="J1771" t="str">
        <f>VLOOKUP(I1771,[2]categories!$A$1:$B$8,2,FALSE)</f>
        <v>Cyclocross Bicycles</v>
      </c>
    </row>
    <row r="1772" customHeight="1" spans="1:10">
      <c r="A1772" s="1">
        <v>634</v>
      </c>
      <c r="B1772" s="1">
        <v>1</v>
      </c>
      <c r="C1772" s="1">
        <v>4</v>
      </c>
      <c r="D1772" s="1">
        <v>2</v>
      </c>
      <c r="E1772" s="1">
        <v>2899.99</v>
      </c>
      <c r="F1772" s="1">
        <v>0.05</v>
      </c>
      <c r="G1772">
        <f t="shared" si="27"/>
        <v>5799.93</v>
      </c>
      <c r="H1772" t="str">
        <f>VLOOKUP(C1772,[1]products!$A:$B,2,FALSE)</f>
        <v>Trek Fuel EX 8 29 - 2016</v>
      </c>
      <c r="I1772">
        <f>VLOOKUP(C1772,[1]products!$A:$D,4,FALSE)</f>
        <v>6</v>
      </c>
      <c r="J1772" t="str">
        <f>VLOOKUP(I1772,[2]categories!$A$1:$B$8,2,FALSE)</f>
        <v>Mountain Bikes</v>
      </c>
    </row>
    <row r="1773" customHeight="1" spans="1:10">
      <c r="A1773" s="1">
        <v>634</v>
      </c>
      <c r="B1773" s="1">
        <v>2</v>
      </c>
      <c r="C1773" s="1">
        <v>12</v>
      </c>
      <c r="D1773" s="1">
        <v>1</v>
      </c>
      <c r="E1773" s="1">
        <v>549.99</v>
      </c>
      <c r="F1773" s="1">
        <v>0.1</v>
      </c>
      <c r="G1773">
        <f t="shared" si="27"/>
        <v>549.89</v>
      </c>
      <c r="H1773" t="str">
        <f>VLOOKUP(C1773,[1]products!$A:$B,2,FALSE)</f>
        <v>Electra Townie Original 21D - 2016</v>
      </c>
      <c r="I1773">
        <f>VLOOKUP(C1773,[1]products!$A:$D,4,FALSE)</f>
        <v>3</v>
      </c>
      <c r="J1773" t="str">
        <f>VLOOKUP(I1773,[2]categories!$A$1:$B$8,2,FALSE)</f>
        <v>Cruisers Bicycles</v>
      </c>
    </row>
    <row r="1774" customHeight="1" spans="1:10">
      <c r="A1774" s="1">
        <v>635</v>
      </c>
      <c r="B1774" s="1">
        <v>1</v>
      </c>
      <c r="C1774" s="1">
        <v>4</v>
      </c>
      <c r="D1774" s="1">
        <v>1</v>
      </c>
      <c r="E1774" s="1">
        <v>2899.99</v>
      </c>
      <c r="F1774" s="1">
        <v>0.05</v>
      </c>
      <c r="G1774">
        <f t="shared" si="27"/>
        <v>2899.94</v>
      </c>
      <c r="H1774" t="str">
        <f>VLOOKUP(C1774,[1]products!$A:$B,2,FALSE)</f>
        <v>Trek Fuel EX 8 29 - 2016</v>
      </c>
      <c r="I1774">
        <f>VLOOKUP(C1774,[1]products!$A:$D,4,FALSE)</f>
        <v>6</v>
      </c>
      <c r="J1774" t="str">
        <f>VLOOKUP(I1774,[2]categories!$A$1:$B$8,2,FALSE)</f>
        <v>Mountain Bikes</v>
      </c>
    </row>
    <row r="1775" customHeight="1" spans="1:10">
      <c r="A1775" s="1">
        <v>636</v>
      </c>
      <c r="B1775" s="1">
        <v>1</v>
      </c>
      <c r="C1775" s="1">
        <v>85</v>
      </c>
      <c r="D1775" s="1">
        <v>2</v>
      </c>
      <c r="E1775" s="1">
        <v>329.99</v>
      </c>
      <c r="F1775" s="1">
        <v>0.2</v>
      </c>
      <c r="G1775">
        <f t="shared" si="27"/>
        <v>659.78</v>
      </c>
      <c r="H1775" t="str">
        <f>VLOOKUP(C1775,[1]products!$A:$B,2,FALSE)</f>
        <v>Haro Downtown 16 - 2017</v>
      </c>
      <c r="I1775">
        <f>VLOOKUP(C1775,[1]products!$A:$D,4,FALSE)</f>
        <v>1</v>
      </c>
      <c r="J1775" t="str">
        <f>VLOOKUP(I1775,[2]categories!$A$1:$B$8,2,FALSE)</f>
        <v>Children Bicycles</v>
      </c>
    </row>
    <row r="1776" customHeight="1" spans="1:10">
      <c r="A1776" s="1">
        <v>637</v>
      </c>
      <c r="B1776" s="1">
        <v>1</v>
      </c>
      <c r="C1776" s="1">
        <v>9</v>
      </c>
      <c r="D1776" s="1">
        <v>1</v>
      </c>
      <c r="E1776" s="1">
        <v>2999.99</v>
      </c>
      <c r="F1776" s="1">
        <v>0.1</v>
      </c>
      <c r="G1776">
        <f t="shared" si="27"/>
        <v>2999.89</v>
      </c>
      <c r="H1776" t="str">
        <f>VLOOKUP(C1776,[1]products!$A:$B,2,FALSE)</f>
        <v>Trek Conduit+ - 2016</v>
      </c>
      <c r="I1776">
        <f>VLOOKUP(C1776,[1]products!$A:$D,4,FALSE)</f>
        <v>5</v>
      </c>
      <c r="J1776" t="str">
        <f>VLOOKUP(I1776,[2]categories!$A$1:$B$8,2,FALSE)</f>
        <v>Electric Bikes</v>
      </c>
    </row>
    <row r="1777" customHeight="1" spans="1:10">
      <c r="A1777" s="1">
        <v>637</v>
      </c>
      <c r="B1777" s="1">
        <v>2</v>
      </c>
      <c r="C1777" s="1">
        <v>106</v>
      </c>
      <c r="D1777" s="1">
        <v>2</v>
      </c>
      <c r="E1777" s="1">
        <v>449.99</v>
      </c>
      <c r="F1777" s="1">
        <v>0.1</v>
      </c>
      <c r="G1777">
        <f t="shared" si="27"/>
        <v>899.88</v>
      </c>
      <c r="H1777" t="str">
        <f>VLOOKUP(C1777,[1]products!$A:$B,2,FALSE)</f>
        <v>Sun Bicycles Cruz 3 - 2017</v>
      </c>
      <c r="I1777">
        <f>VLOOKUP(C1777,[1]products!$A:$D,4,FALSE)</f>
        <v>2</v>
      </c>
      <c r="J1777" t="str">
        <f>VLOOKUP(I1777,[2]categories!$A$1:$B$8,2,FALSE)</f>
        <v>Comfort Bicycles</v>
      </c>
    </row>
    <row r="1778" customHeight="1" spans="1:10">
      <c r="A1778" s="1">
        <v>638</v>
      </c>
      <c r="B1778" s="1">
        <v>1</v>
      </c>
      <c r="C1778" s="1">
        <v>103</v>
      </c>
      <c r="D1778" s="1">
        <v>1</v>
      </c>
      <c r="E1778" s="1">
        <v>551.99</v>
      </c>
      <c r="F1778" s="1">
        <v>0.05</v>
      </c>
      <c r="G1778">
        <f t="shared" si="27"/>
        <v>551.94</v>
      </c>
      <c r="H1778" t="str">
        <f>VLOOKUP(C1778,[1]products!$A:$B,2,FALSE)</f>
        <v>Sun Bicycles Streamway 3 - 2017</v>
      </c>
      <c r="I1778">
        <f>VLOOKUP(C1778,[1]products!$A:$D,4,FALSE)</f>
        <v>2</v>
      </c>
      <c r="J1778" t="str">
        <f>VLOOKUP(I1778,[2]categories!$A$1:$B$8,2,FALSE)</f>
        <v>Comfort Bicycles</v>
      </c>
    </row>
    <row r="1779" customHeight="1" spans="1:10">
      <c r="A1779" s="1">
        <v>638</v>
      </c>
      <c r="B1779" s="1">
        <v>2</v>
      </c>
      <c r="C1779" s="1">
        <v>56</v>
      </c>
      <c r="D1779" s="1">
        <v>1</v>
      </c>
      <c r="E1779" s="1">
        <v>5499.99</v>
      </c>
      <c r="F1779" s="1">
        <v>0.2</v>
      </c>
      <c r="G1779">
        <f t="shared" si="27"/>
        <v>5499.79</v>
      </c>
      <c r="H1779" t="str">
        <f>VLOOKUP(C1779,[1]products!$A:$B,2,FALSE)</f>
        <v>Trek Domane SLR 6 Disc - 2017</v>
      </c>
      <c r="I1779">
        <f>VLOOKUP(C1779,[1]products!$A:$D,4,FALSE)</f>
        <v>7</v>
      </c>
      <c r="J1779" t="str">
        <f>VLOOKUP(I1779,[2]categories!$A$1:$B$8,2,FALSE)</f>
        <v>Road Bikes</v>
      </c>
    </row>
    <row r="1780" customHeight="1" spans="1:10">
      <c r="A1780" s="1">
        <v>638</v>
      </c>
      <c r="B1780" s="1">
        <v>3</v>
      </c>
      <c r="C1780" s="1">
        <v>53</v>
      </c>
      <c r="D1780" s="1">
        <v>2</v>
      </c>
      <c r="E1780" s="1">
        <v>749.99</v>
      </c>
      <c r="F1780" s="1">
        <v>0.05</v>
      </c>
      <c r="G1780">
        <f t="shared" si="27"/>
        <v>1499.93</v>
      </c>
      <c r="H1780" t="str">
        <f>VLOOKUP(C1780,[1]products!$A:$B,2,FALSE)</f>
        <v>Surly Ogre Frameset - 2017</v>
      </c>
      <c r="I1780">
        <f>VLOOKUP(C1780,[1]products!$A:$D,4,FALSE)</f>
        <v>7</v>
      </c>
      <c r="J1780" t="str">
        <f>VLOOKUP(I1780,[2]categories!$A$1:$B$8,2,FALSE)</f>
        <v>Road Bikes</v>
      </c>
    </row>
    <row r="1781" customHeight="1" spans="1:10">
      <c r="A1781" s="1">
        <v>639</v>
      </c>
      <c r="B1781" s="1">
        <v>1</v>
      </c>
      <c r="C1781" s="1">
        <v>15</v>
      </c>
      <c r="D1781" s="1">
        <v>1</v>
      </c>
      <c r="E1781" s="1">
        <v>529.99</v>
      </c>
      <c r="F1781" s="1">
        <v>0.07</v>
      </c>
      <c r="G1781">
        <f t="shared" si="27"/>
        <v>529.92</v>
      </c>
      <c r="H1781" t="str">
        <f>VLOOKUP(C1781,[1]products!$A:$B,2,FALSE)</f>
        <v>Electra Moto 1 - 2016</v>
      </c>
      <c r="I1781">
        <f>VLOOKUP(C1781,[1]products!$A:$D,4,FALSE)</f>
        <v>3</v>
      </c>
      <c r="J1781" t="str">
        <f>VLOOKUP(I1781,[2]categories!$A$1:$B$8,2,FALSE)</f>
        <v>Cruisers Bicycles</v>
      </c>
    </row>
    <row r="1782" customHeight="1" spans="1:10">
      <c r="A1782" s="1">
        <v>639</v>
      </c>
      <c r="B1782" s="1">
        <v>2</v>
      </c>
      <c r="C1782" s="1">
        <v>73</v>
      </c>
      <c r="D1782" s="1">
        <v>1</v>
      </c>
      <c r="E1782" s="1">
        <v>749.99</v>
      </c>
      <c r="F1782" s="1">
        <v>0.05</v>
      </c>
      <c r="G1782">
        <f t="shared" si="27"/>
        <v>749.94</v>
      </c>
      <c r="H1782" t="str">
        <f>VLOOKUP(C1782,[1]products!$A:$B,2,FALSE)</f>
        <v>Sun Bicycles Brickell Tandem 7 - 2017</v>
      </c>
      <c r="I1782">
        <f>VLOOKUP(C1782,[1]products!$A:$D,4,FALSE)</f>
        <v>3</v>
      </c>
      <c r="J1782" t="str">
        <f>VLOOKUP(I1782,[2]categories!$A$1:$B$8,2,FALSE)</f>
        <v>Cruisers Bicycles</v>
      </c>
    </row>
    <row r="1783" customHeight="1" spans="1:10">
      <c r="A1783" s="1">
        <v>639</v>
      </c>
      <c r="B1783" s="1">
        <v>3</v>
      </c>
      <c r="C1783" s="1">
        <v>72</v>
      </c>
      <c r="D1783" s="1">
        <v>1</v>
      </c>
      <c r="E1783" s="1">
        <v>619.99</v>
      </c>
      <c r="F1783" s="1">
        <v>0.05</v>
      </c>
      <c r="G1783">
        <f t="shared" si="27"/>
        <v>619.94</v>
      </c>
      <c r="H1783" t="str">
        <f>VLOOKUP(C1783,[1]products!$A:$B,2,FALSE)</f>
        <v>Sun Bicycles Biscayne Tandem 7 - 2017</v>
      </c>
      <c r="I1783">
        <f>VLOOKUP(C1783,[1]products!$A:$D,4,FALSE)</f>
        <v>3</v>
      </c>
      <c r="J1783" t="str">
        <f>VLOOKUP(I1783,[2]categories!$A$1:$B$8,2,FALSE)</f>
        <v>Cruisers Bicycles</v>
      </c>
    </row>
    <row r="1784" customHeight="1" spans="1:10">
      <c r="A1784" s="1">
        <v>639</v>
      </c>
      <c r="B1784" s="1">
        <v>4</v>
      </c>
      <c r="C1784" s="1">
        <v>61</v>
      </c>
      <c r="D1784" s="1">
        <v>2</v>
      </c>
      <c r="E1784" s="1">
        <v>4999.99</v>
      </c>
      <c r="F1784" s="1">
        <v>0.1</v>
      </c>
      <c r="G1784">
        <f t="shared" si="27"/>
        <v>9999.88</v>
      </c>
      <c r="H1784" t="str">
        <f>VLOOKUP(C1784,[1]products!$A:$B,2,FALSE)</f>
        <v>Trek Powerfly 8 FS Plus - 2017</v>
      </c>
      <c r="I1784">
        <f>VLOOKUP(C1784,[1]products!$A:$D,4,FALSE)</f>
        <v>5</v>
      </c>
      <c r="J1784" t="str">
        <f>VLOOKUP(I1784,[2]categories!$A$1:$B$8,2,FALSE)</f>
        <v>Electric Bikes</v>
      </c>
    </row>
    <row r="1785" customHeight="1" spans="1:10">
      <c r="A1785" s="1">
        <v>640</v>
      </c>
      <c r="B1785" s="1">
        <v>1</v>
      </c>
      <c r="C1785" s="1">
        <v>106</v>
      </c>
      <c r="D1785" s="1">
        <v>2</v>
      </c>
      <c r="E1785" s="1">
        <v>449.99</v>
      </c>
      <c r="F1785" s="1">
        <v>0.05</v>
      </c>
      <c r="G1785">
        <f t="shared" si="27"/>
        <v>899.93</v>
      </c>
      <c r="H1785" t="str">
        <f>VLOOKUP(C1785,[1]products!$A:$B,2,FALSE)</f>
        <v>Sun Bicycles Cruz 3 - 2017</v>
      </c>
      <c r="I1785">
        <f>VLOOKUP(C1785,[1]products!$A:$D,4,FALSE)</f>
        <v>2</v>
      </c>
      <c r="J1785" t="str">
        <f>VLOOKUP(I1785,[2]categories!$A$1:$B$8,2,FALSE)</f>
        <v>Comfort Bicycles</v>
      </c>
    </row>
    <row r="1786" customHeight="1" spans="1:10">
      <c r="A1786" s="1">
        <v>640</v>
      </c>
      <c r="B1786" s="1">
        <v>2</v>
      </c>
      <c r="C1786" s="1">
        <v>32</v>
      </c>
      <c r="D1786" s="1">
        <v>1</v>
      </c>
      <c r="E1786" s="1">
        <v>469.99</v>
      </c>
      <c r="F1786" s="1">
        <v>0.07</v>
      </c>
      <c r="G1786">
        <f t="shared" si="27"/>
        <v>469.92</v>
      </c>
      <c r="H1786" t="str">
        <f>VLOOKUP(C1786,[1]products!$A:$B,2,FALSE)</f>
        <v>Trek Farley Alloy Frameset - 2017</v>
      </c>
      <c r="I1786">
        <f>VLOOKUP(C1786,[1]products!$A:$D,4,FALSE)</f>
        <v>6</v>
      </c>
      <c r="J1786" t="str">
        <f>VLOOKUP(I1786,[2]categories!$A$1:$B$8,2,FALSE)</f>
        <v>Mountain Bikes</v>
      </c>
    </row>
    <row r="1787" customHeight="1" spans="1:10">
      <c r="A1787" s="1">
        <v>640</v>
      </c>
      <c r="B1787" s="1">
        <v>3</v>
      </c>
      <c r="C1787" s="1">
        <v>30</v>
      </c>
      <c r="D1787" s="1">
        <v>1</v>
      </c>
      <c r="E1787" s="1">
        <v>999.99</v>
      </c>
      <c r="F1787" s="1">
        <v>0.07</v>
      </c>
      <c r="G1787">
        <f t="shared" si="27"/>
        <v>999.92</v>
      </c>
      <c r="H1787" t="str">
        <f>VLOOKUP(C1787,[1]products!$A:$B,2,FALSE)</f>
        <v>Surly Ice Cream Truck Frameset - 2017</v>
      </c>
      <c r="I1787">
        <f>VLOOKUP(C1787,[1]products!$A:$D,4,FALSE)</f>
        <v>6</v>
      </c>
      <c r="J1787" t="str">
        <f>VLOOKUP(I1787,[2]categories!$A$1:$B$8,2,FALSE)</f>
        <v>Mountain Bikes</v>
      </c>
    </row>
    <row r="1788" customHeight="1" spans="1:10">
      <c r="A1788" s="1">
        <v>640</v>
      </c>
      <c r="B1788" s="1">
        <v>4</v>
      </c>
      <c r="C1788" s="1">
        <v>76</v>
      </c>
      <c r="D1788" s="1">
        <v>2</v>
      </c>
      <c r="E1788" s="1">
        <v>299.99</v>
      </c>
      <c r="F1788" s="1">
        <v>0.07</v>
      </c>
      <c r="G1788">
        <f t="shared" si="27"/>
        <v>599.91</v>
      </c>
      <c r="H1788" t="str">
        <f>VLOOKUP(C1788,[1]products!$A:$B,2,FALSE)</f>
        <v>Electra Girl's Hawaii 1 16" - 2017</v>
      </c>
      <c r="I1788">
        <f>VLOOKUP(C1788,[1]products!$A:$D,4,FALSE)</f>
        <v>3</v>
      </c>
      <c r="J1788" t="str">
        <f>VLOOKUP(I1788,[2]categories!$A$1:$B$8,2,FALSE)</f>
        <v>Cruisers Bicycles</v>
      </c>
    </row>
    <row r="1789" customHeight="1" spans="1:10">
      <c r="A1789" s="1">
        <v>640</v>
      </c>
      <c r="B1789" s="1">
        <v>5</v>
      </c>
      <c r="C1789" s="1">
        <v>109</v>
      </c>
      <c r="D1789" s="1">
        <v>2</v>
      </c>
      <c r="E1789" s="1">
        <v>416.99</v>
      </c>
      <c r="F1789" s="1">
        <v>0.2</v>
      </c>
      <c r="G1789">
        <f t="shared" si="27"/>
        <v>833.78</v>
      </c>
      <c r="H1789" t="str">
        <f>VLOOKUP(C1789,[1]products!$A:$B,2,FALSE)</f>
        <v>Sun Bicycles Cruz 7 - Women's - 2017</v>
      </c>
      <c r="I1789">
        <f>VLOOKUP(C1789,[1]products!$A:$D,4,FALSE)</f>
        <v>2</v>
      </c>
      <c r="J1789" t="str">
        <f>VLOOKUP(I1789,[2]categories!$A$1:$B$8,2,FALSE)</f>
        <v>Comfort Bicycles</v>
      </c>
    </row>
    <row r="1790" customHeight="1" spans="1:10">
      <c r="A1790" s="1">
        <v>641</v>
      </c>
      <c r="B1790" s="1">
        <v>1</v>
      </c>
      <c r="C1790" s="1">
        <v>15</v>
      </c>
      <c r="D1790" s="1">
        <v>1</v>
      </c>
      <c r="E1790" s="1">
        <v>529.99</v>
      </c>
      <c r="F1790" s="1">
        <v>0.05</v>
      </c>
      <c r="G1790">
        <f t="shared" si="27"/>
        <v>529.94</v>
      </c>
      <c r="H1790" t="str">
        <f>VLOOKUP(C1790,[1]products!$A:$B,2,FALSE)</f>
        <v>Electra Moto 1 - 2016</v>
      </c>
      <c r="I1790">
        <f>VLOOKUP(C1790,[1]products!$A:$D,4,FALSE)</f>
        <v>3</v>
      </c>
      <c r="J1790" t="str">
        <f>VLOOKUP(I1790,[2]categories!$A$1:$B$8,2,FALSE)</f>
        <v>Cruisers Bicycles</v>
      </c>
    </row>
    <row r="1791" customHeight="1" spans="1:10">
      <c r="A1791" s="1">
        <v>641</v>
      </c>
      <c r="B1791" s="1">
        <v>2</v>
      </c>
      <c r="C1791" s="1">
        <v>62</v>
      </c>
      <c r="D1791" s="1">
        <v>1</v>
      </c>
      <c r="E1791" s="1">
        <v>3499.99</v>
      </c>
      <c r="F1791" s="1">
        <v>0.2</v>
      </c>
      <c r="G1791">
        <f t="shared" si="27"/>
        <v>3499.79</v>
      </c>
      <c r="H1791" t="str">
        <f>VLOOKUP(C1791,[1]products!$A:$B,2,FALSE)</f>
        <v>Trek Boone 7 - 2017</v>
      </c>
      <c r="I1791">
        <f>VLOOKUP(C1791,[1]products!$A:$D,4,FALSE)</f>
        <v>4</v>
      </c>
      <c r="J1791" t="str">
        <f>VLOOKUP(I1791,[2]categories!$A$1:$B$8,2,FALSE)</f>
        <v>Cyclocross Bicycles</v>
      </c>
    </row>
    <row r="1792" customHeight="1" spans="1:10">
      <c r="A1792" s="1">
        <v>641</v>
      </c>
      <c r="B1792" s="1">
        <v>3</v>
      </c>
      <c r="C1792" s="1">
        <v>64</v>
      </c>
      <c r="D1792" s="1">
        <v>1</v>
      </c>
      <c r="E1792" s="1">
        <v>489.99</v>
      </c>
      <c r="F1792" s="1">
        <v>0.2</v>
      </c>
      <c r="G1792">
        <f t="shared" si="27"/>
        <v>489.79</v>
      </c>
      <c r="H1792" t="str">
        <f>VLOOKUP(C1792,[1]products!$A:$B,2,FALSE)</f>
        <v>Electra Townie Original 7D - 2017</v>
      </c>
      <c r="I1792">
        <f>VLOOKUP(C1792,[1]products!$A:$D,4,FALSE)</f>
        <v>3</v>
      </c>
      <c r="J1792" t="str">
        <f>VLOOKUP(I1792,[2]categories!$A$1:$B$8,2,FALSE)</f>
        <v>Cruisers Bicycles</v>
      </c>
    </row>
    <row r="1793" customHeight="1" spans="1:10">
      <c r="A1793" s="1">
        <v>642</v>
      </c>
      <c r="B1793" s="1">
        <v>1</v>
      </c>
      <c r="C1793" s="1">
        <v>68</v>
      </c>
      <c r="D1793" s="1">
        <v>2</v>
      </c>
      <c r="E1793" s="1">
        <v>449.99</v>
      </c>
      <c r="F1793" s="1">
        <v>0.07</v>
      </c>
      <c r="G1793">
        <f t="shared" si="27"/>
        <v>899.91</v>
      </c>
      <c r="H1793" t="str">
        <f>VLOOKUP(C1793,[1]products!$A:$B,2,FALSE)</f>
        <v>Sun Bicycles Cruz 3 - 2017</v>
      </c>
      <c r="I1793">
        <f>VLOOKUP(C1793,[1]products!$A:$D,4,FALSE)</f>
        <v>3</v>
      </c>
      <c r="J1793" t="str">
        <f>VLOOKUP(I1793,[2]categories!$A$1:$B$8,2,FALSE)</f>
        <v>Cruisers Bicycles</v>
      </c>
    </row>
    <row r="1794" customHeight="1" spans="1:10">
      <c r="A1794" s="1">
        <v>643</v>
      </c>
      <c r="B1794" s="1">
        <v>1</v>
      </c>
      <c r="C1794" s="1">
        <v>53</v>
      </c>
      <c r="D1794" s="1">
        <v>1</v>
      </c>
      <c r="E1794" s="1">
        <v>749.99</v>
      </c>
      <c r="F1794" s="1">
        <v>0.05</v>
      </c>
      <c r="G1794">
        <f t="shared" si="27"/>
        <v>749.94</v>
      </c>
      <c r="H1794" t="str">
        <f>VLOOKUP(C1794,[1]products!$A:$B,2,FALSE)</f>
        <v>Surly Ogre Frameset - 2017</v>
      </c>
      <c r="I1794">
        <f>VLOOKUP(C1794,[1]products!$A:$D,4,FALSE)</f>
        <v>7</v>
      </c>
      <c r="J1794" t="str">
        <f>VLOOKUP(I1794,[2]categories!$A$1:$B$8,2,FALSE)</f>
        <v>Road Bikes</v>
      </c>
    </row>
    <row r="1795" customHeight="1" spans="1:10">
      <c r="A1795" s="1">
        <v>644</v>
      </c>
      <c r="B1795" s="1">
        <v>1</v>
      </c>
      <c r="C1795" s="1">
        <v>9</v>
      </c>
      <c r="D1795" s="1">
        <v>1</v>
      </c>
      <c r="E1795" s="1">
        <v>2999.99</v>
      </c>
      <c r="F1795" s="1">
        <v>0.07</v>
      </c>
      <c r="G1795">
        <f t="shared" ref="G1795:G1858" si="28">(E1795*D1795)-F1795</f>
        <v>2999.92</v>
      </c>
      <c r="H1795" t="str">
        <f>VLOOKUP(C1795,[1]products!$A:$B,2,FALSE)</f>
        <v>Trek Conduit+ - 2016</v>
      </c>
      <c r="I1795">
        <f>VLOOKUP(C1795,[1]products!$A:$D,4,FALSE)</f>
        <v>5</v>
      </c>
      <c r="J1795" t="str">
        <f>VLOOKUP(I1795,[2]categories!$A$1:$B$8,2,FALSE)</f>
        <v>Electric Bikes</v>
      </c>
    </row>
    <row r="1796" customHeight="1" spans="1:10">
      <c r="A1796" s="1">
        <v>645</v>
      </c>
      <c r="B1796" s="1">
        <v>1</v>
      </c>
      <c r="C1796" s="1">
        <v>99</v>
      </c>
      <c r="D1796" s="1">
        <v>1</v>
      </c>
      <c r="E1796" s="1">
        <v>299.99</v>
      </c>
      <c r="F1796" s="1">
        <v>0.07</v>
      </c>
      <c r="G1796">
        <f t="shared" si="28"/>
        <v>299.92</v>
      </c>
      <c r="H1796" t="str">
        <f>VLOOKUP(C1796,[1]products!$A:$B,2,FALSE)</f>
        <v>Electra Sugar Skulls 1 (20-inch) - Girl's - 2017</v>
      </c>
      <c r="I1796">
        <f>VLOOKUP(C1796,[1]products!$A:$D,4,FALSE)</f>
        <v>1</v>
      </c>
      <c r="J1796" t="str">
        <f>VLOOKUP(I1796,[2]categories!$A$1:$B$8,2,FALSE)</f>
        <v>Children Bicycles</v>
      </c>
    </row>
    <row r="1797" customHeight="1" spans="1:10">
      <c r="A1797" s="1">
        <v>645</v>
      </c>
      <c r="B1797" s="1">
        <v>2</v>
      </c>
      <c r="C1797" s="1">
        <v>42</v>
      </c>
      <c r="D1797" s="1">
        <v>2</v>
      </c>
      <c r="E1797" s="1">
        <v>2299.99</v>
      </c>
      <c r="F1797" s="1">
        <v>0.05</v>
      </c>
      <c r="G1797">
        <f t="shared" si="28"/>
        <v>4599.93</v>
      </c>
      <c r="H1797" t="str">
        <f>VLOOKUP(C1797,[1]products!$A:$B,2,FALSE)</f>
        <v>Trek Fuel EX 5 27.5 Plus - 2017</v>
      </c>
      <c r="I1797">
        <f>VLOOKUP(C1797,[1]products!$A:$D,4,FALSE)</f>
        <v>6</v>
      </c>
      <c r="J1797" t="str">
        <f>VLOOKUP(I1797,[2]categories!$A$1:$B$8,2,FALSE)</f>
        <v>Mountain Bikes</v>
      </c>
    </row>
    <row r="1798" customHeight="1" spans="1:10">
      <c r="A1798" s="1">
        <v>645</v>
      </c>
      <c r="B1798" s="1">
        <v>3</v>
      </c>
      <c r="C1798" s="1">
        <v>6</v>
      </c>
      <c r="D1798" s="1">
        <v>1</v>
      </c>
      <c r="E1798" s="1">
        <v>469.99</v>
      </c>
      <c r="F1798" s="1">
        <v>0.05</v>
      </c>
      <c r="G1798">
        <f t="shared" si="28"/>
        <v>469.94</v>
      </c>
      <c r="H1798" t="str">
        <f>VLOOKUP(C1798,[1]products!$A:$B,2,FALSE)</f>
        <v>Surly Ice Cream Truck Frameset - 2016</v>
      </c>
      <c r="I1798">
        <f>VLOOKUP(C1798,[1]products!$A:$D,4,FALSE)</f>
        <v>6</v>
      </c>
      <c r="J1798" t="str">
        <f>VLOOKUP(I1798,[2]categories!$A$1:$B$8,2,FALSE)</f>
        <v>Mountain Bikes</v>
      </c>
    </row>
    <row r="1799" customHeight="1" spans="1:10">
      <c r="A1799" s="1">
        <v>645</v>
      </c>
      <c r="B1799" s="1">
        <v>4</v>
      </c>
      <c r="C1799" s="1">
        <v>47</v>
      </c>
      <c r="D1799" s="1">
        <v>2</v>
      </c>
      <c r="E1799" s="1">
        <v>5299.99</v>
      </c>
      <c r="F1799" s="1">
        <v>0.07</v>
      </c>
      <c r="G1799">
        <f t="shared" si="28"/>
        <v>10599.91</v>
      </c>
      <c r="H1799" t="str">
        <f>VLOOKUP(C1799,[1]products!$A:$B,2,FALSE)</f>
        <v>Trek Remedy 9.8 - 2017</v>
      </c>
      <c r="I1799">
        <f>VLOOKUP(C1799,[1]products!$A:$D,4,FALSE)</f>
        <v>6</v>
      </c>
      <c r="J1799" t="str">
        <f>VLOOKUP(I1799,[2]categories!$A$1:$B$8,2,FALSE)</f>
        <v>Mountain Bikes</v>
      </c>
    </row>
    <row r="1800" customHeight="1" spans="1:10">
      <c r="A1800" s="1">
        <v>645</v>
      </c>
      <c r="B1800" s="1">
        <v>5</v>
      </c>
      <c r="C1800" s="1">
        <v>21</v>
      </c>
      <c r="D1800" s="1">
        <v>2</v>
      </c>
      <c r="E1800" s="1">
        <v>269.99</v>
      </c>
      <c r="F1800" s="1">
        <v>0.07</v>
      </c>
      <c r="G1800">
        <f t="shared" si="28"/>
        <v>539.91</v>
      </c>
      <c r="H1800" t="str">
        <f>VLOOKUP(C1800,[1]products!$A:$B,2,FALSE)</f>
        <v>Electra Cruiser 1 (24-Inch) - 2016</v>
      </c>
      <c r="I1800">
        <f>VLOOKUP(C1800,[1]products!$A:$D,4,FALSE)</f>
        <v>1</v>
      </c>
      <c r="J1800" t="str">
        <f>VLOOKUP(I1800,[2]categories!$A$1:$B$8,2,FALSE)</f>
        <v>Children Bicycles</v>
      </c>
    </row>
    <row r="1801" customHeight="1" spans="1:10">
      <c r="A1801" s="1">
        <v>646</v>
      </c>
      <c r="B1801" s="1">
        <v>1</v>
      </c>
      <c r="C1801" s="1">
        <v>15</v>
      </c>
      <c r="D1801" s="1">
        <v>2</v>
      </c>
      <c r="E1801" s="1">
        <v>529.99</v>
      </c>
      <c r="F1801" s="1">
        <v>0.2</v>
      </c>
      <c r="G1801">
        <f t="shared" si="28"/>
        <v>1059.78</v>
      </c>
      <c r="H1801" t="str">
        <f>VLOOKUP(C1801,[1]products!$A:$B,2,FALSE)</f>
        <v>Electra Moto 1 - 2016</v>
      </c>
      <c r="I1801">
        <f>VLOOKUP(C1801,[1]products!$A:$D,4,FALSE)</f>
        <v>3</v>
      </c>
      <c r="J1801" t="str">
        <f>VLOOKUP(I1801,[2]categories!$A$1:$B$8,2,FALSE)</f>
        <v>Cruisers Bicycles</v>
      </c>
    </row>
    <row r="1802" customHeight="1" spans="1:10">
      <c r="A1802" s="1">
        <v>646</v>
      </c>
      <c r="B1802" s="1">
        <v>2</v>
      </c>
      <c r="C1802" s="1">
        <v>4</v>
      </c>
      <c r="D1802" s="1">
        <v>1</v>
      </c>
      <c r="E1802" s="1">
        <v>2899.99</v>
      </c>
      <c r="F1802" s="1">
        <v>0.07</v>
      </c>
      <c r="G1802">
        <f t="shared" si="28"/>
        <v>2899.92</v>
      </c>
      <c r="H1802" t="str">
        <f>VLOOKUP(C1802,[1]products!$A:$B,2,FALSE)</f>
        <v>Trek Fuel EX 8 29 - 2016</v>
      </c>
      <c r="I1802">
        <f>VLOOKUP(C1802,[1]products!$A:$D,4,FALSE)</f>
        <v>6</v>
      </c>
      <c r="J1802" t="str">
        <f>VLOOKUP(I1802,[2]categories!$A$1:$B$8,2,FALSE)</f>
        <v>Mountain Bikes</v>
      </c>
    </row>
    <row r="1803" customHeight="1" spans="1:10">
      <c r="A1803" s="1">
        <v>646</v>
      </c>
      <c r="B1803" s="1">
        <v>3</v>
      </c>
      <c r="C1803" s="1">
        <v>95</v>
      </c>
      <c r="D1803" s="1">
        <v>1</v>
      </c>
      <c r="E1803" s="1">
        <v>299.99</v>
      </c>
      <c r="F1803" s="1">
        <v>0.05</v>
      </c>
      <c r="G1803">
        <f t="shared" si="28"/>
        <v>299.94</v>
      </c>
      <c r="H1803" t="str">
        <f>VLOOKUP(C1803,[1]products!$A:$B,2,FALSE)</f>
        <v>Electra Girl's Hawaii 1 16" - 2017</v>
      </c>
      <c r="I1803">
        <f>VLOOKUP(C1803,[1]products!$A:$D,4,FALSE)</f>
        <v>1</v>
      </c>
      <c r="J1803" t="str">
        <f>VLOOKUP(I1803,[2]categories!$A$1:$B$8,2,FALSE)</f>
        <v>Children Bicycles</v>
      </c>
    </row>
    <row r="1804" customHeight="1" spans="1:10">
      <c r="A1804" s="1">
        <v>646</v>
      </c>
      <c r="B1804" s="1">
        <v>4</v>
      </c>
      <c r="C1804" s="1">
        <v>12</v>
      </c>
      <c r="D1804" s="1">
        <v>1</v>
      </c>
      <c r="E1804" s="1">
        <v>549.99</v>
      </c>
      <c r="F1804" s="1">
        <v>0.2</v>
      </c>
      <c r="G1804">
        <f t="shared" si="28"/>
        <v>549.79</v>
      </c>
      <c r="H1804" t="str">
        <f>VLOOKUP(C1804,[1]products!$A:$B,2,FALSE)</f>
        <v>Electra Townie Original 21D - 2016</v>
      </c>
      <c r="I1804">
        <f>VLOOKUP(C1804,[1]products!$A:$D,4,FALSE)</f>
        <v>3</v>
      </c>
      <c r="J1804" t="str">
        <f>VLOOKUP(I1804,[2]categories!$A$1:$B$8,2,FALSE)</f>
        <v>Cruisers Bicycles</v>
      </c>
    </row>
    <row r="1805" customHeight="1" spans="1:10">
      <c r="A1805" s="1">
        <v>647</v>
      </c>
      <c r="B1805" s="1">
        <v>1</v>
      </c>
      <c r="C1805" s="1">
        <v>25</v>
      </c>
      <c r="D1805" s="1">
        <v>2</v>
      </c>
      <c r="E1805" s="1">
        <v>499.99</v>
      </c>
      <c r="F1805" s="1">
        <v>0.07</v>
      </c>
      <c r="G1805">
        <f t="shared" si="28"/>
        <v>999.91</v>
      </c>
      <c r="H1805" t="str">
        <f>VLOOKUP(C1805,[1]products!$A:$B,2,FALSE)</f>
        <v>Electra Townie Original 7D - 2015/2016</v>
      </c>
      <c r="I1805">
        <f>VLOOKUP(C1805,[1]products!$A:$D,4,FALSE)</f>
        <v>2</v>
      </c>
      <c r="J1805" t="str">
        <f>VLOOKUP(I1805,[2]categories!$A$1:$B$8,2,FALSE)</f>
        <v>Comfort Bicycles</v>
      </c>
    </row>
    <row r="1806" customHeight="1" spans="1:10">
      <c r="A1806" s="1">
        <v>647</v>
      </c>
      <c r="B1806" s="1">
        <v>2</v>
      </c>
      <c r="C1806" s="1">
        <v>13</v>
      </c>
      <c r="D1806" s="1">
        <v>1</v>
      </c>
      <c r="E1806" s="1">
        <v>269.99</v>
      </c>
      <c r="F1806" s="1">
        <v>0.1</v>
      </c>
      <c r="G1806">
        <f t="shared" si="28"/>
        <v>269.89</v>
      </c>
      <c r="H1806" t="str">
        <f>VLOOKUP(C1806,[1]products!$A:$B,2,FALSE)</f>
        <v>Electra Cruiser 1 (24-Inch) - 2016</v>
      </c>
      <c r="I1806">
        <f>VLOOKUP(C1806,[1]products!$A:$D,4,FALSE)</f>
        <v>3</v>
      </c>
      <c r="J1806" t="str">
        <f>VLOOKUP(I1806,[2]categories!$A$1:$B$8,2,FALSE)</f>
        <v>Cruisers Bicycles</v>
      </c>
    </row>
    <row r="1807" customHeight="1" spans="1:10">
      <c r="A1807" s="1">
        <v>648</v>
      </c>
      <c r="B1807" s="1">
        <v>1</v>
      </c>
      <c r="C1807" s="1">
        <v>24</v>
      </c>
      <c r="D1807" s="1">
        <v>1</v>
      </c>
      <c r="E1807" s="1">
        <v>549.99</v>
      </c>
      <c r="F1807" s="1">
        <v>0.07</v>
      </c>
      <c r="G1807">
        <f t="shared" si="28"/>
        <v>549.92</v>
      </c>
      <c r="H1807" t="str">
        <f>VLOOKUP(C1807,[1]products!$A:$B,2,FALSE)</f>
        <v>Electra Townie Original 21D - 2016</v>
      </c>
      <c r="I1807">
        <f>VLOOKUP(C1807,[1]products!$A:$D,4,FALSE)</f>
        <v>2</v>
      </c>
      <c r="J1807" t="str">
        <f>VLOOKUP(I1807,[2]categories!$A$1:$B$8,2,FALSE)</f>
        <v>Comfort Bicycles</v>
      </c>
    </row>
    <row r="1808" customHeight="1" spans="1:10">
      <c r="A1808" s="1">
        <v>649</v>
      </c>
      <c r="B1808" s="1">
        <v>1</v>
      </c>
      <c r="C1808" s="1">
        <v>97</v>
      </c>
      <c r="D1808" s="1">
        <v>2</v>
      </c>
      <c r="E1808" s="1">
        <v>349.99</v>
      </c>
      <c r="F1808" s="1">
        <v>0.1</v>
      </c>
      <c r="G1808">
        <f t="shared" si="28"/>
        <v>699.88</v>
      </c>
      <c r="H1808" t="str">
        <f>VLOOKUP(C1808,[1]products!$A:$B,2,FALSE)</f>
        <v>Electra Savannah 3i (20-inch) - Girl's - 2017</v>
      </c>
      <c r="I1808">
        <f>VLOOKUP(C1808,[1]products!$A:$D,4,FALSE)</f>
        <v>1</v>
      </c>
      <c r="J1808" t="str">
        <f>VLOOKUP(I1808,[2]categories!$A$1:$B$8,2,FALSE)</f>
        <v>Children Bicycles</v>
      </c>
    </row>
    <row r="1809" customHeight="1" spans="1:10">
      <c r="A1809" s="1">
        <v>649</v>
      </c>
      <c r="B1809" s="1">
        <v>2</v>
      </c>
      <c r="C1809" s="1">
        <v>90</v>
      </c>
      <c r="D1809" s="1">
        <v>1</v>
      </c>
      <c r="E1809" s="1">
        <v>209.99</v>
      </c>
      <c r="F1809" s="1">
        <v>0.07</v>
      </c>
      <c r="G1809">
        <f t="shared" si="28"/>
        <v>209.92</v>
      </c>
      <c r="H1809" t="str">
        <f>VLOOKUP(C1809,[1]products!$A:$B,2,FALSE)</f>
        <v>Trek Precaliber 16 Girls - 2017</v>
      </c>
      <c r="I1809">
        <f>VLOOKUP(C1809,[1]products!$A:$D,4,FALSE)</f>
        <v>1</v>
      </c>
      <c r="J1809" t="str">
        <f>VLOOKUP(I1809,[2]categories!$A$1:$B$8,2,FALSE)</f>
        <v>Children Bicycles</v>
      </c>
    </row>
    <row r="1810" customHeight="1" spans="1:10">
      <c r="A1810" s="1">
        <v>649</v>
      </c>
      <c r="B1810" s="1">
        <v>3</v>
      </c>
      <c r="C1810" s="1">
        <v>11</v>
      </c>
      <c r="D1810" s="1">
        <v>2</v>
      </c>
      <c r="E1810" s="1">
        <v>1680.99</v>
      </c>
      <c r="F1810" s="1">
        <v>0.1</v>
      </c>
      <c r="G1810">
        <f t="shared" si="28"/>
        <v>3361.88</v>
      </c>
      <c r="H1810" t="str">
        <f>VLOOKUP(C1810,[1]products!$A:$B,2,FALSE)</f>
        <v>Surly Straggler 650b - 2016</v>
      </c>
      <c r="I1810">
        <f>VLOOKUP(C1810,[1]products!$A:$D,4,FALSE)</f>
        <v>4</v>
      </c>
      <c r="J1810" t="str">
        <f>VLOOKUP(I1810,[2]categories!$A$1:$B$8,2,FALSE)</f>
        <v>Cyclocross Bicycles</v>
      </c>
    </row>
    <row r="1811" customHeight="1" spans="1:10">
      <c r="A1811" s="1">
        <v>649</v>
      </c>
      <c r="B1811" s="1">
        <v>4</v>
      </c>
      <c r="C1811" s="1">
        <v>78</v>
      </c>
      <c r="D1811" s="1">
        <v>1</v>
      </c>
      <c r="E1811" s="1">
        <v>647.99</v>
      </c>
      <c r="F1811" s="1">
        <v>0.05</v>
      </c>
      <c r="G1811">
        <f t="shared" si="28"/>
        <v>647.94</v>
      </c>
      <c r="H1811" t="str">
        <f>VLOOKUP(C1811,[1]products!$A:$B,2,FALSE)</f>
        <v>Sun Bicycles Biscayne Tandem CB - 2017</v>
      </c>
      <c r="I1811">
        <f>VLOOKUP(C1811,[1]products!$A:$D,4,FALSE)</f>
        <v>3</v>
      </c>
      <c r="J1811" t="str">
        <f>VLOOKUP(I1811,[2]categories!$A$1:$B$8,2,FALSE)</f>
        <v>Cruisers Bicycles</v>
      </c>
    </row>
    <row r="1812" customHeight="1" spans="1:10">
      <c r="A1812" s="1">
        <v>650</v>
      </c>
      <c r="B1812" s="1">
        <v>1</v>
      </c>
      <c r="C1812" s="1">
        <v>3</v>
      </c>
      <c r="D1812" s="1">
        <v>1</v>
      </c>
      <c r="E1812" s="1">
        <v>999.99</v>
      </c>
      <c r="F1812" s="1">
        <v>0.2</v>
      </c>
      <c r="G1812">
        <f t="shared" si="28"/>
        <v>999.79</v>
      </c>
      <c r="H1812" t="str">
        <f>VLOOKUP(C1812,[1]products!$A:$B,2,FALSE)</f>
        <v>Surly Wednesday Frameset - 2016</v>
      </c>
      <c r="I1812">
        <f>VLOOKUP(C1812,[1]products!$A:$D,4,FALSE)</f>
        <v>6</v>
      </c>
      <c r="J1812" t="str">
        <f>VLOOKUP(I1812,[2]categories!$A$1:$B$8,2,FALSE)</f>
        <v>Mountain Bikes</v>
      </c>
    </row>
    <row r="1813" customHeight="1" spans="1:10">
      <c r="A1813" s="1">
        <v>651</v>
      </c>
      <c r="B1813" s="1">
        <v>1</v>
      </c>
      <c r="C1813" s="1">
        <v>79</v>
      </c>
      <c r="D1813" s="1">
        <v>1</v>
      </c>
      <c r="E1813" s="1">
        <v>402.99</v>
      </c>
      <c r="F1813" s="1">
        <v>0.1</v>
      </c>
      <c r="G1813">
        <f t="shared" si="28"/>
        <v>402.89</v>
      </c>
      <c r="H1813" t="str">
        <f>VLOOKUP(C1813,[1]products!$A:$B,2,FALSE)</f>
        <v>Sun Bicycles Boardwalk (24-inch Wheels) - 2017</v>
      </c>
      <c r="I1813">
        <f>VLOOKUP(C1813,[1]products!$A:$D,4,FALSE)</f>
        <v>3</v>
      </c>
      <c r="J1813" t="str">
        <f>VLOOKUP(I1813,[2]categories!$A$1:$B$8,2,FALSE)</f>
        <v>Cruisers Bicycles</v>
      </c>
    </row>
    <row r="1814" customHeight="1" spans="1:10">
      <c r="A1814" s="1">
        <v>651</v>
      </c>
      <c r="B1814" s="1">
        <v>2</v>
      </c>
      <c r="C1814" s="1">
        <v>85</v>
      </c>
      <c r="D1814" s="1">
        <v>1</v>
      </c>
      <c r="E1814" s="1">
        <v>329.99</v>
      </c>
      <c r="F1814" s="1">
        <v>0.05</v>
      </c>
      <c r="G1814">
        <f t="shared" si="28"/>
        <v>329.94</v>
      </c>
      <c r="H1814" t="str">
        <f>VLOOKUP(C1814,[1]products!$A:$B,2,FALSE)</f>
        <v>Haro Downtown 16 - 2017</v>
      </c>
      <c r="I1814">
        <f>VLOOKUP(C1814,[1]products!$A:$D,4,FALSE)</f>
        <v>1</v>
      </c>
      <c r="J1814" t="str">
        <f>VLOOKUP(I1814,[2]categories!$A$1:$B$8,2,FALSE)</f>
        <v>Children Bicycles</v>
      </c>
    </row>
    <row r="1815" customHeight="1" spans="1:10">
      <c r="A1815" s="1">
        <v>651</v>
      </c>
      <c r="B1815" s="1">
        <v>3</v>
      </c>
      <c r="C1815" s="1">
        <v>102</v>
      </c>
      <c r="D1815" s="1">
        <v>2</v>
      </c>
      <c r="E1815" s="1">
        <v>489.99</v>
      </c>
      <c r="F1815" s="1">
        <v>0.05</v>
      </c>
      <c r="G1815">
        <f t="shared" si="28"/>
        <v>979.93</v>
      </c>
      <c r="H1815" t="str">
        <f>VLOOKUP(C1815,[1]products!$A:$B,2,FALSE)</f>
        <v>Electra Townie Original 7D - 2017</v>
      </c>
      <c r="I1815">
        <f>VLOOKUP(C1815,[1]products!$A:$D,4,FALSE)</f>
        <v>2</v>
      </c>
      <c r="J1815" t="str">
        <f>VLOOKUP(I1815,[2]categories!$A$1:$B$8,2,FALSE)</f>
        <v>Comfort Bicycles</v>
      </c>
    </row>
    <row r="1816" customHeight="1" spans="1:10">
      <c r="A1816" s="1">
        <v>651</v>
      </c>
      <c r="B1816" s="1">
        <v>4</v>
      </c>
      <c r="C1816" s="1">
        <v>94</v>
      </c>
      <c r="D1816" s="1">
        <v>2</v>
      </c>
      <c r="E1816" s="1">
        <v>249.99</v>
      </c>
      <c r="F1816" s="1">
        <v>0.05</v>
      </c>
      <c r="G1816">
        <f t="shared" si="28"/>
        <v>499.93</v>
      </c>
      <c r="H1816" t="str">
        <f>VLOOKUP(C1816,[1]products!$A:$B,2,FALSE)</f>
        <v>Haro Shredder Pro 20 - 2017</v>
      </c>
      <c r="I1816">
        <f>VLOOKUP(C1816,[1]products!$A:$D,4,FALSE)</f>
        <v>1</v>
      </c>
      <c r="J1816" t="str">
        <f>VLOOKUP(I1816,[2]categories!$A$1:$B$8,2,FALSE)</f>
        <v>Children Bicycles</v>
      </c>
    </row>
    <row r="1817" customHeight="1" spans="1:10">
      <c r="A1817" s="1">
        <v>652</v>
      </c>
      <c r="B1817" s="1">
        <v>1</v>
      </c>
      <c r="C1817" s="1">
        <v>102</v>
      </c>
      <c r="D1817" s="1">
        <v>1</v>
      </c>
      <c r="E1817" s="1">
        <v>489.99</v>
      </c>
      <c r="F1817" s="1">
        <v>0.1</v>
      </c>
      <c r="G1817">
        <f t="shared" si="28"/>
        <v>489.89</v>
      </c>
      <c r="H1817" t="str">
        <f>VLOOKUP(C1817,[1]products!$A:$B,2,FALSE)</f>
        <v>Electra Townie Original 7D - 2017</v>
      </c>
      <c r="I1817">
        <f>VLOOKUP(C1817,[1]products!$A:$D,4,FALSE)</f>
        <v>2</v>
      </c>
      <c r="J1817" t="str">
        <f>VLOOKUP(I1817,[2]categories!$A$1:$B$8,2,FALSE)</f>
        <v>Comfort Bicycles</v>
      </c>
    </row>
    <row r="1818" customHeight="1" spans="1:10">
      <c r="A1818" s="1">
        <v>652</v>
      </c>
      <c r="B1818" s="1">
        <v>2</v>
      </c>
      <c r="C1818" s="1">
        <v>62</v>
      </c>
      <c r="D1818" s="1">
        <v>2</v>
      </c>
      <c r="E1818" s="1">
        <v>3499.99</v>
      </c>
      <c r="F1818" s="1">
        <v>0.2</v>
      </c>
      <c r="G1818">
        <f t="shared" si="28"/>
        <v>6999.78</v>
      </c>
      <c r="H1818" t="str">
        <f>VLOOKUP(C1818,[1]products!$A:$B,2,FALSE)</f>
        <v>Trek Boone 7 - 2017</v>
      </c>
      <c r="I1818">
        <f>VLOOKUP(C1818,[1]products!$A:$D,4,FALSE)</f>
        <v>4</v>
      </c>
      <c r="J1818" t="str">
        <f>VLOOKUP(I1818,[2]categories!$A$1:$B$8,2,FALSE)</f>
        <v>Cyclocross Bicycles</v>
      </c>
    </row>
    <row r="1819" customHeight="1" spans="1:10">
      <c r="A1819" s="1">
        <v>652</v>
      </c>
      <c r="B1819" s="1">
        <v>3</v>
      </c>
      <c r="C1819" s="1">
        <v>67</v>
      </c>
      <c r="D1819" s="1">
        <v>2</v>
      </c>
      <c r="E1819" s="1">
        <v>250.99</v>
      </c>
      <c r="F1819" s="1">
        <v>0.2</v>
      </c>
      <c r="G1819">
        <f t="shared" si="28"/>
        <v>501.78</v>
      </c>
      <c r="H1819" t="str">
        <f>VLOOKUP(C1819,[1]products!$A:$B,2,FALSE)</f>
        <v>Sun Bicycles Revolutions 24 - Girl's - 2017</v>
      </c>
      <c r="I1819">
        <f>VLOOKUP(C1819,[1]products!$A:$D,4,FALSE)</f>
        <v>3</v>
      </c>
      <c r="J1819" t="str">
        <f>VLOOKUP(I1819,[2]categories!$A$1:$B$8,2,FALSE)</f>
        <v>Cruisers Bicycles</v>
      </c>
    </row>
    <row r="1820" customHeight="1" spans="1:10">
      <c r="A1820" s="1">
        <v>652</v>
      </c>
      <c r="B1820" s="1">
        <v>4</v>
      </c>
      <c r="C1820" s="1">
        <v>23</v>
      </c>
      <c r="D1820" s="1">
        <v>1</v>
      </c>
      <c r="E1820" s="1">
        <v>299.99</v>
      </c>
      <c r="F1820" s="1">
        <v>0.1</v>
      </c>
      <c r="G1820">
        <f t="shared" si="28"/>
        <v>299.89</v>
      </c>
      <c r="H1820" t="str">
        <f>VLOOKUP(C1820,[1]products!$A:$B,2,FALSE)</f>
        <v>Electra Girl's Hawaii 1 (20-inch) - 2015/2016</v>
      </c>
      <c r="I1820">
        <f>VLOOKUP(C1820,[1]products!$A:$D,4,FALSE)</f>
        <v>1</v>
      </c>
      <c r="J1820" t="str">
        <f>VLOOKUP(I1820,[2]categories!$A$1:$B$8,2,FALSE)</f>
        <v>Children Bicycles</v>
      </c>
    </row>
    <row r="1821" customHeight="1" spans="1:10">
      <c r="A1821" s="1">
        <v>652</v>
      </c>
      <c r="B1821" s="1">
        <v>5</v>
      </c>
      <c r="C1821" s="1">
        <v>74</v>
      </c>
      <c r="D1821" s="1">
        <v>1</v>
      </c>
      <c r="E1821" s="1">
        <v>439.99</v>
      </c>
      <c r="F1821" s="1">
        <v>0.05</v>
      </c>
      <c r="G1821">
        <f t="shared" si="28"/>
        <v>439.94</v>
      </c>
      <c r="H1821" t="str">
        <f>VLOOKUP(C1821,[1]products!$A:$B,2,FALSE)</f>
        <v>Electra Cruiser Lux 1 - 2017</v>
      </c>
      <c r="I1821">
        <f>VLOOKUP(C1821,[1]products!$A:$D,4,FALSE)</f>
        <v>3</v>
      </c>
      <c r="J1821" t="str">
        <f>VLOOKUP(I1821,[2]categories!$A$1:$B$8,2,FALSE)</f>
        <v>Cruisers Bicycles</v>
      </c>
    </row>
    <row r="1822" customHeight="1" spans="1:10">
      <c r="A1822" s="1">
        <v>653</v>
      </c>
      <c r="B1822" s="1">
        <v>1</v>
      </c>
      <c r="C1822" s="1">
        <v>6</v>
      </c>
      <c r="D1822" s="1">
        <v>1</v>
      </c>
      <c r="E1822" s="1">
        <v>469.99</v>
      </c>
      <c r="F1822" s="1">
        <v>0.07</v>
      </c>
      <c r="G1822">
        <f t="shared" si="28"/>
        <v>469.92</v>
      </c>
      <c r="H1822" t="str">
        <f>VLOOKUP(C1822,[1]products!$A:$B,2,FALSE)</f>
        <v>Surly Ice Cream Truck Frameset - 2016</v>
      </c>
      <c r="I1822">
        <f>VLOOKUP(C1822,[1]products!$A:$D,4,FALSE)</f>
        <v>6</v>
      </c>
      <c r="J1822" t="str">
        <f>VLOOKUP(I1822,[2]categories!$A$1:$B$8,2,FALSE)</f>
        <v>Mountain Bikes</v>
      </c>
    </row>
    <row r="1823" customHeight="1" spans="1:10">
      <c r="A1823" s="1">
        <v>653</v>
      </c>
      <c r="B1823" s="1">
        <v>2</v>
      </c>
      <c r="C1823" s="1">
        <v>43</v>
      </c>
      <c r="D1823" s="1">
        <v>1</v>
      </c>
      <c r="E1823" s="1">
        <v>5299.99</v>
      </c>
      <c r="F1823" s="1">
        <v>0.1</v>
      </c>
      <c r="G1823">
        <f t="shared" si="28"/>
        <v>5299.89</v>
      </c>
      <c r="H1823" t="str">
        <f>VLOOKUP(C1823,[1]products!$A:$B,2,FALSE)</f>
        <v>Trek Fuel EX 9.8 27.5 Plus - 2017</v>
      </c>
      <c r="I1823">
        <f>VLOOKUP(C1823,[1]products!$A:$D,4,FALSE)</f>
        <v>6</v>
      </c>
      <c r="J1823" t="str">
        <f>VLOOKUP(I1823,[2]categories!$A$1:$B$8,2,FALSE)</f>
        <v>Mountain Bikes</v>
      </c>
    </row>
    <row r="1824" customHeight="1" spans="1:10">
      <c r="A1824" s="1">
        <v>653</v>
      </c>
      <c r="B1824" s="1">
        <v>3</v>
      </c>
      <c r="C1824" s="1">
        <v>2</v>
      </c>
      <c r="D1824" s="1">
        <v>2</v>
      </c>
      <c r="E1824" s="1">
        <v>749.99</v>
      </c>
      <c r="F1824" s="1">
        <v>0.1</v>
      </c>
      <c r="G1824">
        <f t="shared" si="28"/>
        <v>1499.88</v>
      </c>
      <c r="H1824" t="str">
        <f>VLOOKUP(C1824,[1]products!$A:$B,2,FALSE)</f>
        <v>Ritchey Timberwolf Frameset - 2016</v>
      </c>
      <c r="I1824">
        <f>VLOOKUP(C1824,[1]products!$A:$D,4,FALSE)</f>
        <v>6</v>
      </c>
      <c r="J1824" t="str">
        <f>VLOOKUP(I1824,[2]categories!$A$1:$B$8,2,FALSE)</f>
        <v>Mountain Bikes</v>
      </c>
    </row>
    <row r="1825" customHeight="1" spans="1:10">
      <c r="A1825" s="1">
        <v>653</v>
      </c>
      <c r="B1825" s="1">
        <v>4</v>
      </c>
      <c r="C1825" s="1">
        <v>80</v>
      </c>
      <c r="D1825" s="1">
        <v>1</v>
      </c>
      <c r="E1825" s="1">
        <v>761.99</v>
      </c>
      <c r="F1825" s="1">
        <v>0.2</v>
      </c>
      <c r="G1825">
        <f t="shared" si="28"/>
        <v>761.79</v>
      </c>
      <c r="H1825" t="str">
        <f>VLOOKUP(C1825,[1]products!$A:$B,2,FALSE)</f>
        <v>Sun Bicycles Brickell Tandem CB - 2017</v>
      </c>
      <c r="I1825">
        <f>VLOOKUP(C1825,[1]products!$A:$D,4,FALSE)</f>
        <v>3</v>
      </c>
      <c r="J1825" t="str">
        <f>VLOOKUP(I1825,[2]categories!$A$1:$B$8,2,FALSE)</f>
        <v>Cruisers Bicycles</v>
      </c>
    </row>
    <row r="1826" customHeight="1" spans="1:10">
      <c r="A1826" s="1">
        <v>653</v>
      </c>
      <c r="B1826" s="1">
        <v>5</v>
      </c>
      <c r="C1826" s="1">
        <v>88</v>
      </c>
      <c r="D1826" s="1">
        <v>2</v>
      </c>
      <c r="E1826" s="1">
        <v>189.99</v>
      </c>
      <c r="F1826" s="1">
        <v>0.07</v>
      </c>
      <c r="G1826">
        <f t="shared" si="28"/>
        <v>379.91</v>
      </c>
      <c r="H1826" t="str">
        <f>VLOOKUP(C1826,[1]products!$A:$B,2,FALSE)</f>
        <v>Trek Precaliber 12 Girls - 2017</v>
      </c>
      <c r="I1826">
        <f>VLOOKUP(C1826,[1]products!$A:$D,4,FALSE)</f>
        <v>1</v>
      </c>
      <c r="J1826" t="str">
        <f>VLOOKUP(I1826,[2]categories!$A$1:$B$8,2,FALSE)</f>
        <v>Children Bicycles</v>
      </c>
    </row>
    <row r="1827" customHeight="1" spans="1:10">
      <c r="A1827" s="1">
        <v>654</v>
      </c>
      <c r="B1827" s="1">
        <v>1</v>
      </c>
      <c r="C1827" s="1">
        <v>9</v>
      </c>
      <c r="D1827" s="1">
        <v>1</v>
      </c>
      <c r="E1827" s="1">
        <v>2999.99</v>
      </c>
      <c r="F1827" s="1">
        <v>0.1</v>
      </c>
      <c r="G1827">
        <f t="shared" si="28"/>
        <v>2999.89</v>
      </c>
      <c r="H1827" t="str">
        <f>VLOOKUP(C1827,[1]products!$A:$B,2,FALSE)</f>
        <v>Trek Conduit+ - 2016</v>
      </c>
      <c r="I1827">
        <f>VLOOKUP(C1827,[1]products!$A:$D,4,FALSE)</f>
        <v>5</v>
      </c>
      <c r="J1827" t="str">
        <f>VLOOKUP(I1827,[2]categories!$A$1:$B$8,2,FALSE)</f>
        <v>Electric Bikes</v>
      </c>
    </row>
    <row r="1828" customHeight="1" spans="1:10">
      <c r="A1828" s="1">
        <v>654</v>
      </c>
      <c r="B1828" s="1">
        <v>2</v>
      </c>
      <c r="C1828" s="1">
        <v>95</v>
      </c>
      <c r="D1828" s="1">
        <v>1</v>
      </c>
      <c r="E1828" s="1">
        <v>299.99</v>
      </c>
      <c r="F1828" s="1">
        <v>0.1</v>
      </c>
      <c r="G1828">
        <f t="shared" si="28"/>
        <v>299.89</v>
      </c>
      <c r="H1828" t="str">
        <f>VLOOKUP(C1828,[1]products!$A:$B,2,FALSE)</f>
        <v>Electra Girl's Hawaii 1 16" - 2017</v>
      </c>
      <c r="I1828">
        <f>VLOOKUP(C1828,[1]products!$A:$D,4,FALSE)</f>
        <v>1</v>
      </c>
      <c r="J1828" t="str">
        <f>VLOOKUP(I1828,[2]categories!$A$1:$B$8,2,FALSE)</f>
        <v>Children Bicycles</v>
      </c>
    </row>
    <row r="1829" customHeight="1" spans="1:10">
      <c r="A1829" s="1">
        <v>654</v>
      </c>
      <c r="B1829" s="1">
        <v>3</v>
      </c>
      <c r="C1829" s="1">
        <v>110</v>
      </c>
      <c r="D1829" s="1">
        <v>2</v>
      </c>
      <c r="E1829" s="1">
        <v>470.99</v>
      </c>
      <c r="F1829" s="1">
        <v>0.07</v>
      </c>
      <c r="G1829">
        <f t="shared" si="28"/>
        <v>941.91</v>
      </c>
      <c r="H1829" t="str">
        <f>VLOOKUP(C1829,[1]products!$A:$B,2,FALSE)</f>
        <v>Sun Bicycles Drifter 7 - 2017</v>
      </c>
      <c r="I1829">
        <f>VLOOKUP(C1829,[1]products!$A:$D,4,FALSE)</f>
        <v>2</v>
      </c>
      <c r="J1829" t="str">
        <f>VLOOKUP(I1829,[2]categories!$A$1:$B$8,2,FALSE)</f>
        <v>Comfort Bicycles</v>
      </c>
    </row>
    <row r="1830" customHeight="1" spans="1:10">
      <c r="A1830" s="1">
        <v>654</v>
      </c>
      <c r="B1830" s="1">
        <v>4</v>
      </c>
      <c r="C1830" s="1">
        <v>97</v>
      </c>
      <c r="D1830" s="1">
        <v>2</v>
      </c>
      <c r="E1830" s="1">
        <v>349.99</v>
      </c>
      <c r="F1830" s="1">
        <v>0.07</v>
      </c>
      <c r="G1830">
        <f t="shared" si="28"/>
        <v>699.91</v>
      </c>
      <c r="H1830" t="str">
        <f>VLOOKUP(C1830,[1]products!$A:$B,2,FALSE)</f>
        <v>Electra Savannah 3i (20-inch) - Girl's - 2017</v>
      </c>
      <c r="I1830">
        <f>VLOOKUP(C1830,[1]products!$A:$D,4,FALSE)</f>
        <v>1</v>
      </c>
      <c r="J1830" t="str">
        <f>VLOOKUP(I1830,[2]categories!$A$1:$B$8,2,FALSE)</f>
        <v>Children Bicycles</v>
      </c>
    </row>
    <row r="1831" customHeight="1" spans="1:10">
      <c r="A1831" s="1">
        <v>655</v>
      </c>
      <c r="B1831" s="1">
        <v>1</v>
      </c>
      <c r="C1831" s="1">
        <v>67</v>
      </c>
      <c r="D1831" s="1">
        <v>1</v>
      </c>
      <c r="E1831" s="1">
        <v>250.99</v>
      </c>
      <c r="F1831" s="1">
        <v>0.1</v>
      </c>
      <c r="G1831">
        <f t="shared" si="28"/>
        <v>250.89</v>
      </c>
      <c r="H1831" t="str">
        <f>VLOOKUP(C1831,[1]products!$A:$B,2,FALSE)</f>
        <v>Sun Bicycles Revolutions 24 - Girl's - 2017</v>
      </c>
      <c r="I1831">
        <f>VLOOKUP(C1831,[1]products!$A:$D,4,FALSE)</f>
        <v>3</v>
      </c>
      <c r="J1831" t="str">
        <f>VLOOKUP(I1831,[2]categories!$A$1:$B$8,2,FALSE)</f>
        <v>Cruisers Bicycles</v>
      </c>
    </row>
    <row r="1832" customHeight="1" spans="1:10">
      <c r="A1832" s="1">
        <v>656</v>
      </c>
      <c r="B1832" s="1">
        <v>1</v>
      </c>
      <c r="C1832" s="1">
        <v>83</v>
      </c>
      <c r="D1832" s="1">
        <v>1</v>
      </c>
      <c r="E1832" s="1">
        <v>149.99</v>
      </c>
      <c r="F1832" s="1">
        <v>0.1</v>
      </c>
      <c r="G1832">
        <f t="shared" si="28"/>
        <v>149.89</v>
      </c>
      <c r="H1832" t="str">
        <f>VLOOKUP(C1832,[1]products!$A:$B,2,FALSE)</f>
        <v>Trek Boy's Kickster - 2015/2017</v>
      </c>
      <c r="I1832">
        <f>VLOOKUP(C1832,[1]products!$A:$D,4,FALSE)</f>
        <v>1</v>
      </c>
      <c r="J1832" t="str">
        <f>VLOOKUP(I1832,[2]categories!$A$1:$B$8,2,FALSE)</f>
        <v>Children Bicycles</v>
      </c>
    </row>
    <row r="1833" customHeight="1" spans="1:10">
      <c r="A1833" s="1">
        <v>656</v>
      </c>
      <c r="B1833" s="1">
        <v>2</v>
      </c>
      <c r="C1833" s="1">
        <v>22</v>
      </c>
      <c r="D1833" s="1">
        <v>1</v>
      </c>
      <c r="E1833" s="1">
        <v>269.99</v>
      </c>
      <c r="F1833" s="1">
        <v>0.07</v>
      </c>
      <c r="G1833">
        <f t="shared" si="28"/>
        <v>269.92</v>
      </c>
      <c r="H1833" t="str">
        <f>VLOOKUP(C1833,[1]products!$A:$B,2,FALSE)</f>
        <v>Electra Girl's Hawaii 1 (16-inch) - 2015/2016</v>
      </c>
      <c r="I1833">
        <f>VLOOKUP(C1833,[1]products!$A:$D,4,FALSE)</f>
        <v>1</v>
      </c>
      <c r="J1833" t="str">
        <f>VLOOKUP(I1833,[2]categories!$A$1:$B$8,2,FALSE)</f>
        <v>Children Bicycles</v>
      </c>
    </row>
    <row r="1834" customHeight="1" spans="1:10">
      <c r="A1834" s="1">
        <v>656</v>
      </c>
      <c r="B1834" s="1">
        <v>3</v>
      </c>
      <c r="C1834" s="1">
        <v>33</v>
      </c>
      <c r="D1834" s="1">
        <v>2</v>
      </c>
      <c r="E1834" s="1">
        <v>469.99</v>
      </c>
      <c r="F1834" s="1">
        <v>0.05</v>
      </c>
      <c r="G1834">
        <f t="shared" si="28"/>
        <v>939.93</v>
      </c>
      <c r="H1834" t="str">
        <f>VLOOKUP(C1834,[1]products!$A:$B,2,FALSE)</f>
        <v>Surly Wednesday Frameset - 2017</v>
      </c>
      <c r="I1834">
        <f>VLOOKUP(C1834,[1]products!$A:$D,4,FALSE)</f>
        <v>6</v>
      </c>
      <c r="J1834" t="str">
        <f>VLOOKUP(I1834,[2]categories!$A$1:$B$8,2,FALSE)</f>
        <v>Mountain Bikes</v>
      </c>
    </row>
    <row r="1835" customHeight="1" spans="1:10">
      <c r="A1835" s="1">
        <v>657</v>
      </c>
      <c r="B1835" s="1">
        <v>1</v>
      </c>
      <c r="C1835" s="1">
        <v>52</v>
      </c>
      <c r="D1835" s="1">
        <v>1</v>
      </c>
      <c r="E1835" s="1">
        <v>875.99</v>
      </c>
      <c r="F1835" s="1">
        <v>0.05</v>
      </c>
      <c r="G1835">
        <f t="shared" si="28"/>
        <v>875.94</v>
      </c>
      <c r="H1835" t="str">
        <f>VLOOKUP(C1835,[1]products!$A:$B,2,FALSE)</f>
        <v>Surly Steamroller - 2017</v>
      </c>
      <c r="I1835">
        <f>VLOOKUP(C1835,[1]products!$A:$D,4,FALSE)</f>
        <v>7</v>
      </c>
      <c r="J1835" t="str">
        <f>VLOOKUP(I1835,[2]categories!$A$1:$B$8,2,FALSE)</f>
        <v>Road Bikes</v>
      </c>
    </row>
    <row r="1836" customHeight="1" spans="1:10">
      <c r="A1836" s="1">
        <v>657</v>
      </c>
      <c r="B1836" s="1">
        <v>2</v>
      </c>
      <c r="C1836" s="1">
        <v>54</v>
      </c>
      <c r="D1836" s="1">
        <v>2</v>
      </c>
      <c r="E1836" s="1">
        <v>3199.99</v>
      </c>
      <c r="F1836" s="1">
        <v>0.05</v>
      </c>
      <c r="G1836">
        <f t="shared" si="28"/>
        <v>6399.93</v>
      </c>
      <c r="H1836" t="str">
        <f>VLOOKUP(C1836,[1]products!$A:$B,2,FALSE)</f>
        <v>Trek Domane SL Disc Frameset - 2017</v>
      </c>
      <c r="I1836">
        <f>VLOOKUP(C1836,[1]products!$A:$D,4,FALSE)</f>
        <v>7</v>
      </c>
      <c r="J1836" t="str">
        <f>VLOOKUP(I1836,[2]categories!$A$1:$B$8,2,FALSE)</f>
        <v>Road Bikes</v>
      </c>
    </row>
    <row r="1837" customHeight="1" spans="1:10">
      <c r="A1837" s="1">
        <v>658</v>
      </c>
      <c r="B1837" s="1">
        <v>1</v>
      </c>
      <c r="C1837" s="1">
        <v>49</v>
      </c>
      <c r="D1837" s="1">
        <v>2</v>
      </c>
      <c r="E1837" s="1">
        <v>3499.99</v>
      </c>
      <c r="F1837" s="1">
        <v>0.2</v>
      </c>
      <c r="G1837">
        <f t="shared" si="28"/>
        <v>6999.78</v>
      </c>
      <c r="H1837" t="str">
        <f>VLOOKUP(C1837,[1]products!$A:$B,2,FALSE)</f>
        <v>Trek Domane SL 6 - 2017</v>
      </c>
      <c r="I1837">
        <f>VLOOKUP(C1837,[1]products!$A:$D,4,FALSE)</f>
        <v>7</v>
      </c>
      <c r="J1837" t="str">
        <f>VLOOKUP(I1837,[2]categories!$A$1:$B$8,2,FALSE)</f>
        <v>Road Bikes</v>
      </c>
    </row>
    <row r="1838" customHeight="1" spans="1:10">
      <c r="A1838" s="1">
        <v>658</v>
      </c>
      <c r="B1838" s="1">
        <v>2</v>
      </c>
      <c r="C1838" s="1">
        <v>29</v>
      </c>
      <c r="D1838" s="1">
        <v>1</v>
      </c>
      <c r="E1838" s="1">
        <v>999.99</v>
      </c>
      <c r="F1838" s="1">
        <v>0.05</v>
      </c>
      <c r="G1838">
        <f t="shared" si="28"/>
        <v>999.94</v>
      </c>
      <c r="H1838" t="str">
        <f>VLOOKUP(C1838,[1]products!$A:$B,2,FALSE)</f>
        <v>Trek X-Caliber 8 - 2017</v>
      </c>
      <c r="I1838">
        <f>VLOOKUP(C1838,[1]products!$A:$D,4,FALSE)</f>
        <v>6</v>
      </c>
      <c r="J1838" t="str">
        <f>VLOOKUP(I1838,[2]categories!$A$1:$B$8,2,FALSE)</f>
        <v>Mountain Bikes</v>
      </c>
    </row>
    <row r="1839" customHeight="1" spans="1:10">
      <c r="A1839" s="1">
        <v>658</v>
      </c>
      <c r="B1839" s="1">
        <v>3</v>
      </c>
      <c r="C1839" s="1">
        <v>9</v>
      </c>
      <c r="D1839" s="1">
        <v>1</v>
      </c>
      <c r="E1839" s="1">
        <v>2999.99</v>
      </c>
      <c r="F1839" s="1">
        <v>0.05</v>
      </c>
      <c r="G1839">
        <f t="shared" si="28"/>
        <v>2999.94</v>
      </c>
      <c r="H1839" t="str">
        <f>VLOOKUP(C1839,[1]products!$A:$B,2,FALSE)</f>
        <v>Trek Conduit+ - 2016</v>
      </c>
      <c r="I1839">
        <f>VLOOKUP(C1839,[1]products!$A:$D,4,FALSE)</f>
        <v>5</v>
      </c>
      <c r="J1839" t="str">
        <f>VLOOKUP(I1839,[2]categories!$A$1:$B$8,2,FALSE)</f>
        <v>Electric Bikes</v>
      </c>
    </row>
    <row r="1840" customHeight="1" spans="1:10">
      <c r="A1840" s="1">
        <v>659</v>
      </c>
      <c r="B1840" s="1">
        <v>1</v>
      </c>
      <c r="C1840" s="1">
        <v>42</v>
      </c>
      <c r="D1840" s="1">
        <v>2</v>
      </c>
      <c r="E1840" s="1">
        <v>2299.99</v>
      </c>
      <c r="F1840" s="1">
        <v>0.05</v>
      </c>
      <c r="G1840">
        <f t="shared" si="28"/>
        <v>4599.93</v>
      </c>
      <c r="H1840" t="str">
        <f>VLOOKUP(C1840,[1]products!$A:$B,2,FALSE)</f>
        <v>Trek Fuel EX 5 27.5 Plus - 2017</v>
      </c>
      <c r="I1840">
        <f>VLOOKUP(C1840,[1]products!$A:$D,4,FALSE)</f>
        <v>6</v>
      </c>
      <c r="J1840" t="str">
        <f>VLOOKUP(I1840,[2]categories!$A$1:$B$8,2,FALSE)</f>
        <v>Mountain Bikes</v>
      </c>
    </row>
    <row r="1841" customHeight="1" spans="1:10">
      <c r="A1841" s="1">
        <v>659</v>
      </c>
      <c r="B1841" s="1">
        <v>2</v>
      </c>
      <c r="C1841" s="1">
        <v>39</v>
      </c>
      <c r="D1841" s="1">
        <v>2</v>
      </c>
      <c r="E1841" s="1">
        <v>1499.99</v>
      </c>
      <c r="F1841" s="1">
        <v>0.07</v>
      </c>
      <c r="G1841">
        <f t="shared" si="28"/>
        <v>2999.91</v>
      </c>
      <c r="H1841" t="str">
        <f>VLOOKUP(C1841,[1]products!$A:$B,2,FALSE)</f>
        <v>Trek Stache 5 - 2017</v>
      </c>
      <c r="I1841">
        <f>VLOOKUP(C1841,[1]products!$A:$D,4,FALSE)</f>
        <v>6</v>
      </c>
      <c r="J1841" t="str">
        <f>VLOOKUP(I1841,[2]categories!$A$1:$B$8,2,FALSE)</f>
        <v>Mountain Bikes</v>
      </c>
    </row>
    <row r="1842" customHeight="1" spans="1:10">
      <c r="A1842" s="1">
        <v>659</v>
      </c>
      <c r="B1842" s="1">
        <v>3</v>
      </c>
      <c r="C1842" s="1">
        <v>70</v>
      </c>
      <c r="D1842" s="1">
        <v>1</v>
      </c>
      <c r="E1842" s="1">
        <v>659.99</v>
      </c>
      <c r="F1842" s="1">
        <v>0.05</v>
      </c>
      <c r="G1842">
        <f t="shared" si="28"/>
        <v>659.94</v>
      </c>
      <c r="H1842" t="str">
        <f>VLOOKUP(C1842,[1]products!$A:$B,2,FALSE)</f>
        <v>Electra Amsterdam Original 3i - 2015/2017</v>
      </c>
      <c r="I1842">
        <f>VLOOKUP(C1842,[1]products!$A:$D,4,FALSE)</f>
        <v>3</v>
      </c>
      <c r="J1842" t="str">
        <f>VLOOKUP(I1842,[2]categories!$A$1:$B$8,2,FALSE)</f>
        <v>Cruisers Bicycles</v>
      </c>
    </row>
    <row r="1843" customHeight="1" spans="1:10">
      <c r="A1843" s="1">
        <v>659</v>
      </c>
      <c r="B1843" s="1">
        <v>4</v>
      </c>
      <c r="C1843" s="1">
        <v>61</v>
      </c>
      <c r="D1843" s="1">
        <v>2</v>
      </c>
      <c r="E1843" s="1">
        <v>4999.99</v>
      </c>
      <c r="F1843" s="1">
        <v>0.07</v>
      </c>
      <c r="G1843">
        <f t="shared" si="28"/>
        <v>9999.91</v>
      </c>
      <c r="H1843" t="str">
        <f>VLOOKUP(C1843,[1]products!$A:$B,2,FALSE)</f>
        <v>Trek Powerfly 8 FS Plus - 2017</v>
      </c>
      <c r="I1843">
        <f>VLOOKUP(C1843,[1]products!$A:$D,4,FALSE)</f>
        <v>5</v>
      </c>
      <c r="J1843" t="str">
        <f>VLOOKUP(I1843,[2]categories!$A$1:$B$8,2,FALSE)</f>
        <v>Electric Bikes</v>
      </c>
    </row>
    <row r="1844" customHeight="1" spans="1:10">
      <c r="A1844" s="1">
        <v>660</v>
      </c>
      <c r="B1844" s="1">
        <v>1</v>
      </c>
      <c r="C1844" s="1">
        <v>30</v>
      </c>
      <c r="D1844" s="1">
        <v>1</v>
      </c>
      <c r="E1844" s="1">
        <v>999.99</v>
      </c>
      <c r="F1844" s="1">
        <v>0.2</v>
      </c>
      <c r="G1844">
        <f t="shared" si="28"/>
        <v>999.79</v>
      </c>
      <c r="H1844" t="str">
        <f>VLOOKUP(C1844,[1]products!$A:$B,2,FALSE)</f>
        <v>Surly Ice Cream Truck Frameset - 2017</v>
      </c>
      <c r="I1844">
        <f>VLOOKUP(C1844,[1]products!$A:$D,4,FALSE)</f>
        <v>6</v>
      </c>
      <c r="J1844" t="str">
        <f>VLOOKUP(I1844,[2]categories!$A$1:$B$8,2,FALSE)</f>
        <v>Mountain Bikes</v>
      </c>
    </row>
    <row r="1845" customHeight="1" spans="1:10">
      <c r="A1845" s="1">
        <v>660</v>
      </c>
      <c r="B1845" s="1">
        <v>2</v>
      </c>
      <c r="C1845" s="1">
        <v>59</v>
      </c>
      <c r="D1845" s="1">
        <v>2</v>
      </c>
      <c r="E1845" s="1">
        <v>2599.99</v>
      </c>
      <c r="F1845" s="1">
        <v>0.07</v>
      </c>
      <c r="G1845">
        <f t="shared" si="28"/>
        <v>5199.91</v>
      </c>
      <c r="H1845" t="str">
        <f>VLOOKUP(C1845,[1]products!$A:$B,2,FALSE)</f>
        <v>Trek Domane S 5 Disc - 2017</v>
      </c>
      <c r="I1845">
        <f>VLOOKUP(C1845,[1]products!$A:$D,4,FALSE)</f>
        <v>7</v>
      </c>
      <c r="J1845" t="str">
        <f>VLOOKUP(I1845,[2]categories!$A$1:$B$8,2,FALSE)</f>
        <v>Road Bikes</v>
      </c>
    </row>
    <row r="1846" customHeight="1" spans="1:10">
      <c r="A1846" s="1">
        <v>660</v>
      </c>
      <c r="B1846" s="1">
        <v>3</v>
      </c>
      <c r="C1846" s="1">
        <v>47</v>
      </c>
      <c r="D1846" s="1">
        <v>2</v>
      </c>
      <c r="E1846" s="1">
        <v>5299.99</v>
      </c>
      <c r="F1846" s="1">
        <v>0.05</v>
      </c>
      <c r="G1846">
        <f t="shared" si="28"/>
        <v>10599.93</v>
      </c>
      <c r="H1846" t="str">
        <f>VLOOKUP(C1846,[1]products!$A:$B,2,FALSE)</f>
        <v>Trek Remedy 9.8 - 2017</v>
      </c>
      <c r="I1846">
        <f>VLOOKUP(C1846,[1]products!$A:$D,4,FALSE)</f>
        <v>6</v>
      </c>
      <c r="J1846" t="str">
        <f>VLOOKUP(I1846,[2]categories!$A$1:$B$8,2,FALSE)</f>
        <v>Mountain Bikes</v>
      </c>
    </row>
    <row r="1847" customHeight="1" spans="1:10">
      <c r="A1847" s="1">
        <v>660</v>
      </c>
      <c r="B1847" s="1">
        <v>4</v>
      </c>
      <c r="C1847" s="1">
        <v>29</v>
      </c>
      <c r="D1847" s="1">
        <v>2</v>
      </c>
      <c r="E1847" s="1">
        <v>999.99</v>
      </c>
      <c r="F1847" s="1">
        <v>0.2</v>
      </c>
      <c r="G1847">
        <f t="shared" si="28"/>
        <v>1999.78</v>
      </c>
      <c r="H1847" t="str">
        <f>VLOOKUP(C1847,[1]products!$A:$B,2,FALSE)</f>
        <v>Trek X-Caliber 8 - 2017</v>
      </c>
      <c r="I1847">
        <f>VLOOKUP(C1847,[1]products!$A:$D,4,FALSE)</f>
        <v>6</v>
      </c>
      <c r="J1847" t="str">
        <f>VLOOKUP(I1847,[2]categories!$A$1:$B$8,2,FALSE)</f>
        <v>Mountain Bikes</v>
      </c>
    </row>
    <row r="1848" customHeight="1" spans="1:10">
      <c r="A1848" s="1">
        <v>661</v>
      </c>
      <c r="B1848" s="1">
        <v>1</v>
      </c>
      <c r="C1848" s="1">
        <v>63</v>
      </c>
      <c r="D1848" s="1">
        <v>2</v>
      </c>
      <c r="E1848" s="1">
        <v>3499.99</v>
      </c>
      <c r="F1848" s="1">
        <v>0.07</v>
      </c>
      <c r="G1848">
        <f t="shared" si="28"/>
        <v>6999.91</v>
      </c>
      <c r="H1848" t="str">
        <f>VLOOKUP(C1848,[1]products!$A:$B,2,FALSE)</f>
        <v>Trek Boone Race Shop Limited - 2017</v>
      </c>
      <c r="I1848">
        <f>VLOOKUP(C1848,[1]products!$A:$D,4,FALSE)</f>
        <v>4</v>
      </c>
      <c r="J1848" t="str">
        <f>VLOOKUP(I1848,[2]categories!$A$1:$B$8,2,FALSE)</f>
        <v>Cyclocross Bicycles</v>
      </c>
    </row>
    <row r="1849" customHeight="1" spans="1:10">
      <c r="A1849" s="1">
        <v>661</v>
      </c>
      <c r="B1849" s="1">
        <v>2</v>
      </c>
      <c r="C1849" s="1">
        <v>22</v>
      </c>
      <c r="D1849" s="1">
        <v>2</v>
      </c>
      <c r="E1849" s="1">
        <v>269.99</v>
      </c>
      <c r="F1849" s="1">
        <v>0.05</v>
      </c>
      <c r="G1849">
        <f t="shared" si="28"/>
        <v>539.93</v>
      </c>
      <c r="H1849" t="str">
        <f>VLOOKUP(C1849,[1]products!$A:$B,2,FALSE)</f>
        <v>Electra Girl's Hawaii 1 (16-inch) - 2015/2016</v>
      </c>
      <c r="I1849">
        <f>VLOOKUP(C1849,[1]products!$A:$D,4,FALSE)</f>
        <v>1</v>
      </c>
      <c r="J1849" t="str">
        <f>VLOOKUP(I1849,[2]categories!$A$1:$B$8,2,FALSE)</f>
        <v>Children Bicycles</v>
      </c>
    </row>
    <row r="1850" customHeight="1" spans="1:10">
      <c r="A1850" s="1">
        <v>662</v>
      </c>
      <c r="B1850" s="1">
        <v>1</v>
      </c>
      <c r="C1850" s="1">
        <v>55</v>
      </c>
      <c r="D1850" s="1">
        <v>2</v>
      </c>
      <c r="E1850" s="1">
        <v>2699.99</v>
      </c>
      <c r="F1850" s="1">
        <v>0.1</v>
      </c>
      <c r="G1850">
        <f t="shared" si="28"/>
        <v>5399.88</v>
      </c>
      <c r="H1850" t="str">
        <f>VLOOKUP(C1850,[1]products!$A:$B,2,FALSE)</f>
        <v>Trek Domane S 6 - 2017</v>
      </c>
      <c r="I1850">
        <f>VLOOKUP(C1850,[1]products!$A:$D,4,FALSE)</f>
        <v>7</v>
      </c>
      <c r="J1850" t="str">
        <f>VLOOKUP(I1850,[2]categories!$A$1:$B$8,2,FALSE)</f>
        <v>Road Bikes</v>
      </c>
    </row>
    <row r="1851" customHeight="1" spans="1:10">
      <c r="A1851" s="1">
        <v>662</v>
      </c>
      <c r="B1851" s="1">
        <v>2</v>
      </c>
      <c r="C1851" s="1">
        <v>95</v>
      </c>
      <c r="D1851" s="1">
        <v>2</v>
      </c>
      <c r="E1851" s="1">
        <v>299.99</v>
      </c>
      <c r="F1851" s="1">
        <v>0.2</v>
      </c>
      <c r="G1851">
        <f t="shared" si="28"/>
        <v>599.78</v>
      </c>
      <c r="H1851" t="str">
        <f>VLOOKUP(C1851,[1]products!$A:$B,2,FALSE)</f>
        <v>Electra Girl's Hawaii 1 16" - 2017</v>
      </c>
      <c r="I1851">
        <f>VLOOKUP(C1851,[1]products!$A:$D,4,FALSE)</f>
        <v>1</v>
      </c>
      <c r="J1851" t="str">
        <f>VLOOKUP(I1851,[2]categories!$A$1:$B$8,2,FALSE)</f>
        <v>Children Bicycles</v>
      </c>
    </row>
    <row r="1852" customHeight="1" spans="1:10">
      <c r="A1852" s="1">
        <v>662</v>
      </c>
      <c r="B1852" s="1">
        <v>3</v>
      </c>
      <c r="C1852" s="1">
        <v>102</v>
      </c>
      <c r="D1852" s="1">
        <v>2</v>
      </c>
      <c r="E1852" s="1">
        <v>489.99</v>
      </c>
      <c r="F1852" s="1">
        <v>0.07</v>
      </c>
      <c r="G1852">
        <f t="shared" si="28"/>
        <v>979.91</v>
      </c>
      <c r="H1852" t="str">
        <f>VLOOKUP(C1852,[1]products!$A:$B,2,FALSE)</f>
        <v>Electra Townie Original 7D - 2017</v>
      </c>
      <c r="I1852">
        <f>VLOOKUP(C1852,[1]products!$A:$D,4,FALSE)</f>
        <v>2</v>
      </c>
      <c r="J1852" t="str">
        <f>VLOOKUP(I1852,[2]categories!$A$1:$B$8,2,FALSE)</f>
        <v>Comfort Bicycles</v>
      </c>
    </row>
    <row r="1853" customHeight="1" spans="1:10">
      <c r="A1853" s="1">
        <v>662</v>
      </c>
      <c r="B1853" s="1">
        <v>4</v>
      </c>
      <c r="C1853" s="1">
        <v>22</v>
      </c>
      <c r="D1853" s="1">
        <v>1</v>
      </c>
      <c r="E1853" s="1">
        <v>269.99</v>
      </c>
      <c r="F1853" s="1">
        <v>0.07</v>
      </c>
      <c r="G1853">
        <f t="shared" si="28"/>
        <v>269.92</v>
      </c>
      <c r="H1853" t="str">
        <f>VLOOKUP(C1853,[1]products!$A:$B,2,FALSE)</f>
        <v>Electra Girl's Hawaii 1 (16-inch) - 2015/2016</v>
      </c>
      <c r="I1853">
        <f>VLOOKUP(C1853,[1]products!$A:$D,4,FALSE)</f>
        <v>1</v>
      </c>
      <c r="J1853" t="str">
        <f>VLOOKUP(I1853,[2]categories!$A$1:$B$8,2,FALSE)</f>
        <v>Children Bicycles</v>
      </c>
    </row>
    <row r="1854" customHeight="1" spans="1:10">
      <c r="A1854" s="1">
        <v>662</v>
      </c>
      <c r="B1854" s="1">
        <v>5</v>
      </c>
      <c r="C1854" s="1">
        <v>106</v>
      </c>
      <c r="D1854" s="1">
        <v>2</v>
      </c>
      <c r="E1854" s="1">
        <v>449.99</v>
      </c>
      <c r="F1854" s="1">
        <v>0.07</v>
      </c>
      <c r="G1854">
        <f t="shared" si="28"/>
        <v>899.91</v>
      </c>
      <c r="H1854" t="str">
        <f>VLOOKUP(C1854,[1]products!$A:$B,2,FALSE)</f>
        <v>Sun Bicycles Cruz 3 - 2017</v>
      </c>
      <c r="I1854">
        <f>VLOOKUP(C1854,[1]products!$A:$D,4,FALSE)</f>
        <v>2</v>
      </c>
      <c r="J1854" t="str">
        <f>VLOOKUP(I1854,[2]categories!$A$1:$B$8,2,FALSE)</f>
        <v>Comfort Bicycles</v>
      </c>
    </row>
    <row r="1855" customHeight="1" spans="1:10">
      <c r="A1855" s="1">
        <v>663</v>
      </c>
      <c r="B1855" s="1">
        <v>1</v>
      </c>
      <c r="C1855" s="1">
        <v>41</v>
      </c>
      <c r="D1855" s="1">
        <v>2</v>
      </c>
      <c r="E1855" s="1">
        <v>1469.99</v>
      </c>
      <c r="F1855" s="1">
        <v>0.05</v>
      </c>
      <c r="G1855">
        <f t="shared" si="28"/>
        <v>2939.93</v>
      </c>
      <c r="H1855" t="str">
        <f>VLOOKUP(C1855,[1]products!$A:$B,2,FALSE)</f>
        <v>Haro Shift R3 - 2017</v>
      </c>
      <c r="I1855">
        <f>VLOOKUP(C1855,[1]products!$A:$D,4,FALSE)</f>
        <v>6</v>
      </c>
      <c r="J1855" t="str">
        <f>VLOOKUP(I1855,[2]categories!$A$1:$B$8,2,FALSE)</f>
        <v>Mountain Bikes</v>
      </c>
    </row>
    <row r="1856" customHeight="1" spans="1:10">
      <c r="A1856" s="1">
        <v>663</v>
      </c>
      <c r="B1856" s="1">
        <v>2</v>
      </c>
      <c r="C1856" s="1">
        <v>17</v>
      </c>
      <c r="D1856" s="1">
        <v>2</v>
      </c>
      <c r="E1856" s="1">
        <v>429</v>
      </c>
      <c r="F1856" s="1">
        <v>0.2</v>
      </c>
      <c r="G1856">
        <f t="shared" si="28"/>
        <v>857.8</v>
      </c>
      <c r="H1856" t="str">
        <f>VLOOKUP(C1856,[1]products!$A:$B,2,FALSE)</f>
        <v>Pure Cycles Vine 8-Speed - 2016</v>
      </c>
      <c r="I1856">
        <f>VLOOKUP(C1856,[1]products!$A:$D,4,FALSE)</f>
        <v>3</v>
      </c>
      <c r="J1856" t="str">
        <f>VLOOKUP(I1856,[2]categories!$A$1:$B$8,2,FALSE)</f>
        <v>Cruisers Bicycles</v>
      </c>
    </row>
    <row r="1857" customHeight="1" spans="1:10">
      <c r="A1857" s="1">
        <v>663</v>
      </c>
      <c r="B1857" s="1">
        <v>3</v>
      </c>
      <c r="C1857" s="1">
        <v>94</v>
      </c>
      <c r="D1857" s="1">
        <v>1</v>
      </c>
      <c r="E1857" s="1">
        <v>249.99</v>
      </c>
      <c r="F1857" s="1">
        <v>0.05</v>
      </c>
      <c r="G1857">
        <f t="shared" si="28"/>
        <v>249.94</v>
      </c>
      <c r="H1857" t="str">
        <f>VLOOKUP(C1857,[1]products!$A:$B,2,FALSE)</f>
        <v>Haro Shredder Pro 20 - 2017</v>
      </c>
      <c r="I1857">
        <f>VLOOKUP(C1857,[1]products!$A:$D,4,FALSE)</f>
        <v>1</v>
      </c>
      <c r="J1857" t="str">
        <f>VLOOKUP(I1857,[2]categories!$A$1:$B$8,2,FALSE)</f>
        <v>Children Bicycles</v>
      </c>
    </row>
    <row r="1858" customHeight="1" spans="1:10">
      <c r="A1858" s="1">
        <v>663</v>
      </c>
      <c r="B1858" s="1">
        <v>4</v>
      </c>
      <c r="C1858" s="1">
        <v>71</v>
      </c>
      <c r="D1858" s="1">
        <v>1</v>
      </c>
      <c r="E1858" s="1">
        <v>416.99</v>
      </c>
      <c r="F1858" s="1">
        <v>0.07</v>
      </c>
      <c r="G1858">
        <f t="shared" si="28"/>
        <v>416.92</v>
      </c>
      <c r="H1858" t="str">
        <f>VLOOKUP(C1858,[1]products!$A:$B,2,FALSE)</f>
        <v>Sun Bicycles Atlas X-Type - 2017</v>
      </c>
      <c r="I1858">
        <f>VLOOKUP(C1858,[1]products!$A:$D,4,FALSE)</f>
        <v>3</v>
      </c>
      <c r="J1858" t="str">
        <f>VLOOKUP(I1858,[2]categories!$A$1:$B$8,2,FALSE)</f>
        <v>Cruisers Bicycles</v>
      </c>
    </row>
    <row r="1859" customHeight="1" spans="1:10">
      <c r="A1859" s="1">
        <v>663</v>
      </c>
      <c r="B1859" s="1">
        <v>5</v>
      </c>
      <c r="C1859" s="1">
        <v>106</v>
      </c>
      <c r="D1859" s="1">
        <v>1</v>
      </c>
      <c r="E1859" s="1">
        <v>449.99</v>
      </c>
      <c r="F1859" s="1">
        <v>0.2</v>
      </c>
      <c r="G1859">
        <f t="shared" ref="G1859:G1922" si="29">(E1859*D1859)-F1859</f>
        <v>449.79</v>
      </c>
      <c r="H1859" t="str">
        <f>VLOOKUP(C1859,[1]products!$A:$B,2,FALSE)</f>
        <v>Sun Bicycles Cruz 3 - 2017</v>
      </c>
      <c r="I1859">
        <f>VLOOKUP(C1859,[1]products!$A:$D,4,FALSE)</f>
        <v>2</v>
      </c>
      <c r="J1859" t="str">
        <f>VLOOKUP(I1859,[2]categories!$A$1:$B$8,2,FALSE)</f>
        <v>Comfort Bicycles</v>
      </c>
    </row>
    <row r="1860" customHeight="1" spans="1:10">
      <c r="A1860" s="1">
        <v>664</v>
      </c>
      <c r="B1860" s="1">
        <v>1</v>
      </c>
      <c r="C1860" s="1">
        <v>52</v>
      </c>
      <c r="D1860" s="1">
        <v>2</v>
      </c>
      <c r="E1860" s="1">
        <v>875.99</v>
      </c>
      <c r="F1860" s="1">
        <v>0.07</v>
      </c>
      <c r="G1860">
        <f t="shared" si="29"/>
        <v>1751.91</v>
      </c>
      <c r="H1860" t="str">
        <f>VLOOKUP(C1860,[1]products!$A:$B,2,FALSE)</f>
        <v>Surly Steamroller - 2017</v>
      </c>
      <c r="I1860">
        <f>VLOOKUP(C1860,[1]products!$A:$D,4,FALSE)</f>
        <v>7</v>
      </c>
      <c r="J1860" t="str">
        <f>VLOOKUP(I1860,[2]categories!$A$1:$B$8,2,FALSE)</f>
        <v>Road Bikes</v>
      </c>
    </row>
    <row r="1861" customHeight="1" spans="1:10">
      <c r="A1861" s="1">
        <v>664</v>
      </c>
      <c r="B1861" s="1">
        <v>2</v>
      </c>
      <c r="C1861" s="1">
        <v>5</v>
      </c>
      <c r="D1861" s="1">
        <v>1</v>
      </c>
      <c r="E1861" s="1">
        <v>1320.99</v>
      </c>
      <c r="F1861" s="1">
        <v>0.07</v>
      </c>
      <c r="G1861">
        <f t="shared" si="29"/>
        <v>1320.92</v>
      </c>
      <c r="H1861" t="str">
        <f>VLOOKUP(C1861,[1]products!$A:$B,2,FALSE)</f>
        <v>Heller Shagamaw Frame - 2016</v>
      </c>
      <c r="I1861">
        <f>VLOOKUP(C1861,[1]products!$A:$D,4,FALSE)</f>
        <v>6</v>
      </c>
      <c r="J1861" t="str">
        <f>VLOOKUP(I1861,[2]categories!$A$1:$B$8,2,FALSE)</f>
        <v>Mountain Bikes</v>
      </c>
    </row>
    <row r="1862" customHeight="1" spans="1:10">
      <c r="A1862" s="1">
        <v>664</v>
      </c>
      <c r="B1862" s="1">
        <v>3</v>
      </c>
      <c r="C1862" s="1">
        <v>50</v>
      </c>
      <c r="D1862" s="1">
        <v>1</v>
      </c>
      <c r="E1862" s="1">
        <v>5999.99</v>
      </c>
      <c r="F1862" s="1">
        <v>0.2</v>
      </c>
      <c r="G1862">
        <f t="shared" si="29"/>
        <v>5999.79</v>
      </c>
      <c r="H1862" t="str">
        <f>VLOOKUP(C1862,[1]products!$A:$B,2,FALSE)</f>
        <v>Trek Silque SLR 7 Women's - 2017</v>
      </c>
      <c r="I1862">
        <f>VLOOKUP(C1862,[1]products!$A:$D,4,FALSE)</f>
        <v>7</v>
      </c>
      <c r="J1862" t="str">
        <f>VLOOKUP(I1862,[2]categories!$A$1:$B$8,2,FALSE)</f>
        <v>Road Bikes</v>
      </c>
    </row>
    <row r="1863" customHeight="1" spans="1:10">
      <c r="A1863" s="1">
        <v>664</v>
      </c>
      <c r="B1863" s="1">
        <v>4</v>
      </c>
      <c r="C1863" s="1">
        <v>101</v>
      </c>
      <c r="D1863" s="1">
        <v>2</v>
      </c>
      <c r="E1863" s="1">
        <v>339.99</v>
      </c>
      <c r="F1863" s="1">
        <v>0.2</v>
      </c>
      <c r="G1863">
        <f t="shared" si="29"/>
        <v>679.78</v>
      </c>
      <c r="H1863" t="str">
        <f>VLOOKUP(C1863,[1]products!$A:$B,2,FALSE)</f>
        <v>Electra Townie 7D (20-inch) - Boys' - 2017</v>
      </c>
      <c r="I1863">
        <f>VLOOKUP(C1863,[1]products!$A:$D,4,FALSE)</f>
        <v>1</v>
      </c>
      <c r="J1863" t="str">
        <f>VLOOKUP(I1863,[2]categories!$A$1:$B$8,2,FALSE)</f>
        <v>Children Bicycles</v>
      </c>
    </row>
    <row r="1864" customHeight="1" spans="1:10">
      <c r="A1864" s="1">
        <v>664</v>
      </c>
      <c r="B1864" s="1">
        <v>5</v>
      </c>
      <c r="C1864" s="1">
        <v>47</v>
      </c>
      <c r="D1864" s="1">
        <v>1</v>
      </c>
      <c r="E1864" s="1">
        <v>5299.99</v>
      </c>
      <c r="F1864" s="1">
        <v>0.07</v>
      </c>
      <c r="G1864">
        <f t="shared" si="29"/>
        <v>5299.92</v>
      </c>
      <c r="H1864" t="str">
        <f>VLOOKUP(C1864,[1]products!$A:$B,2,FALSE)</f>
        <v>Trek Remedy 9.8 - 2017</v>
      </c>
      <c r="I1864">
        <f>VLOOKUP(C1864,[1]products!$A:$D,4,FALSE)</f>
        <v>6</v>
      </c>
      <c r="J1864" t="str">
        <f>VLOOKUP(I1864,[2]categories!$A$1:$B$8,2,FALSE)</f>
        <v>Mountain Bikes</v>
      </c>
    </row>
    <row r="1865" customHeight="1" spans="1:10">
      <c r="A1865" s="1">
        <v>665</v>
      </c>
      <c r="B1865" s="1">
        <v>1</v>
      </c>
      <c r="C1865" s="1">
        <v>58</v>
      </c>
      <c r="D1865" s="1">
        <v>1</v>
      </c>
      <c r="E1865" s="1">
        <v>4999.99</v>
      </c>
      <c r="F1865" s="1">
        <v>0.07</v>
      </c>
      <c r="G1865">
        <f t="shared" si="29"/>
        <v>4999.92</v>
      </c>
      <c r="H1865" t="str">
        <f>VLOOKUP(C1865,[1]products!$A:$B,2,FALSE)</f>
        <v>Trek Madone 9.2 - 2017</v>
      </c>
      <c r="I1865">
        <f>VLOOKUP(C1865,[1]products!$A:$D,4,FALSE)</f>
        <v>7</v>
      </c>
      <c r="J1865" t="str">
        <f>VLOOKUP(I1865,[2]categories!$A$1:$B$8,2,FALSE)</f>
        <v>Road Bikes</v>
      </c>
    </row>
    <row r="1866" customHeight="1" spans="1:10">
      <c r="A1866" s="1">
        <v>665</v>
      </c>
      <c r="B1866" s="1">
        <v>2</v>
      </c>
      <c r="C1866" s="1">
        <v>42</v>
      </c>
      <c r="D1866" s="1">
        <v>2</v>
      </c>
      <c r="E1866" s="1">
        <v>2299.99</v>
      </c>
      <c r="F1866" s="1">
        <v>0.2</v>
      </c>
      <c r="G1866">
        <f t="shared" si="29"/>
        <v>4599.78</v>
      </c>
      <c r="H1866" t="str">
        <f>VLOOKUP(C1866,[1]products!$A:$B,2,FALSE)</f>
        <v>Trek Fuel EX 5 27.5 Plus - 2017</v>
      </c>
      <c r="I1866">
        <f>VLOOKUP(C1866,[1]products!$A:$D,4,FALSE)</f>
        <v>6</v>
      </c>
      <c r="J1866" t="str">
        <f>VLOOKUP(I1866,[2]categories!$A$1:$B$8,2,FALSE)</f>
        <v>Mountain Bikes</v>
      </c>
    </row>
    <row r="1867" customHeight="1" spans="1:10">
      <c r="A1867" s="1">
        <v>665</v>
      </c>
      <c r="B1867" s="1">
        <v>3</v>
      </c>
      <c r="C1867" s="1">
        <v>25</v>
      </c>
      <c r="D1867" s="1">
        <v>2</v>
      </c>
      <c r="E1867" s="1">
        <v>499.99</v>
      </c>
      <c r="F1867" s="1">
        <v>0.05</v>
      </c>
      <c r="G1867">
        <f t="shared" si="29"/>
        <v>999.93</v>
      </c>
      <c r="H1867" t="str">
        <f>VLOOKUP(C1867,[1]products!$A:$B,2,FALSE)</f>
        <v>Electra Townie Original 7D - 2015/2016</v>
      </c>
      <c r="I1867">
        <f>VLOOKUP(C1867,[1]products!$A:$D,4,FALSE)</f>
        <v>2</v>
      </c>
      <c r="J1867" t="str">
        <f>VLOOKUP(I1867,[2]categories!$A$1:$B$8,2,FALSE)</f>
        <v>Comfort Bicycles</v>
      </c>
    </row>
    <row r="1868" customHeight="1" spans="1:10">
      <c r="A1868" s="1">
        <v>666</v>
      </c>
      <c r="B1868" s="1">
        <v>1</v>
      </c>
      <c r="C1868" s="1">
        <v>98</v>
      </c>
      <c r="D1868" s="1">
        <v>2</v>
      </c>
      <c r="E1868" s="1">
        <v>489.99</v>
      </c>
      <c r="F1868" s="1">
        <v>0.2</v>
      </c>
      <c r="G1868">
        <f t="shared" si="29"/>
        <v>979.78</v>
      </c>
      <c r="H1868" t="str">
        <f>VLOOKUP(C1868,[1]products!$A:$B,2,FALSE)</f>
        <v>Electra Straight 8 3i (20-inch) - Boy's - 2017</v>
      </c>
      <c r="I1868">
        <f>VLOOKUP(C1868,[1]products!$A:$D,4,FALSE)</f>
        <v>1</v>
      </c>
      <c r="J1868" t="str">
        <f>VLOOKUP(I1868,[2]categories!$A$1:$B$8,2,FALSE)</f>
        <v>Children Bicycles</v>
      </c>
    </row>
    <row r="1869" customHeight="1" spans="1:10">
      <c r="A1869" s="1">
        <v>666</v>
      </c>
      <c r="B1869" s="1">
        <v>2</v>
      </c>
      <c r="C1869" s="1">
        <v>39</v>
      </c>
      <c r="D1869" s="1">
        <v>1</v>
      </c>
      <c r="E1869" s="1">
        <v>1499.99</v>
      </c>
      <c r="F1869" s="1">
        <v>0.05</v>
      </c>
      <c r="G1869">
        <f t="shared" si="29"/>
        <v>1499.94</v>
      </c>
      <c r="H1869" t="str">
        <f>VLOOKUP(C1869,[1]products!$A:$B,2,FALSE)</f>
        <v>Trek Stache 5 - 2017</v>
      </c>
      <c r="I1869">
        <f>VLOOKUP(C1869,[1]products!$A:$D,4,FALSE)</f>
        <v>6</v>
      </c>
      <c r="J1869" t="str">
        <f>VLOOKUP(I1869,[2]categories!$A$1:$B$8,2,FALSE)</f>
        <v>Mountain Bikes</v>
      </c>
    </row>
    <row r="1870" customHeight="1" spans="1:10">
      <c r="A1870" s="1">
        <v>667</v>
      </c>
      <c r="B1870" s="1">
        <v>1</v>
      </c>
      <c r="C1870" s="1">
        <v>79</v>
      </c>
      <c r="D1870" s="1">
        <v>1</v>
      </c>
      <c r="E1870" s="1">
        <v>402.99</v>
      </c>
      <c r="F1870" s="1">
        <v>0.2</v>
      </c>
      <c r="G1870">
        <f t="shared" si="29"/>
        <v>402.79</v>
      </c>
      <c r="H1870" t="str">
        <f>VLOOKUP(C1870,[1]products!$A:$B,2,FALSE)</f>
        <v>Sun Bicycles Boardwalk (24-inch Wheels) - 2017</v>
      </c>
      <c r="I1870">
        <f>VLOOKUP(C1870,[1]products!$A:$D,4,FALSE)</f>
        <v>3</v>
      </c>
      <c r="J1870" t="str">
        <f>VLOOKUP(I1870,[2]categories!$A$1:$B$8,2,FALSE)</f>
        <v>Cruisers Bicycles</v>
      </c>
    </row>
    <row r="1871" customHeight="1" spans="1:10">
      <c r="A1871" s="1">
        <v>667</v>
      </c>
      <c r="B1871" s="1">
        <v>2</v>
      </c>
      <c r="C1871" s="1">
        <v>84</v>
      </c>
      <c r="D1871" s="1">
        <v>1</v>
      </c>
      <c r="E1871" s="1">
        <v>109.99</v>
      </c>
      <c r="F1871" s="1">
        <v>0.1</v>
      </c>
      <c r="G1871">
        <f t="shared" si="29"/>
        <v>109.89</v>
      </c>
      <c r="H1871" t="str">
        <f>VLOOKUP(C1871,[1]products!$A:$B,2,FALSE)</f>
        <v>Sun Bicycles Lil Kitt'n - 2017</v>
      </c>
      <c r="I1871">
        <f>VLOOKUP(C1871,[1]products!$A:$D,4,FALSE)</f>
        <v>1</v>
      </c>
      <c r="J1871" t="str">
        <f>VLOOKUP(I1871,[2]categories!$A$1:$B$8,2,FALSE)</f>
        <v>Children Bicycles</v>
      </c>
    </row>
    <row r="1872" customHeight="1" spans="1:10">
      <c r="A1872" s="1">
        <v>667</v>
      </c>
      <c r="B1872" s="1">
        <v>3</v>
      </c>
      <c r="C1872" s="1">
        <v>3</v>
      </c>
      <c r="D1872" s="1">
        <v>1</v>
      </c>
      <c r="E1872" s="1">
        <v>999.99</v>
      </c>
      <c r="F1872" s="1">
        <v>0.2</v>
      </c>
      <c r="G1872">
        <f t="shared" si="29"/>
        <v>999.79</v>
      </c>
      <c r="H1872" t="str">
        <f>VLOOKUP(C1872,[1]products!$A:$B,2,FALSE)</f>
        <v>Surly Wednesday Frameset - 2016</v>
      </c>
      <c r="I1872">
        <f>VLOOKUP(C1872,[1]products!$A:$D,4,FALSE)</f>
        <v>6</v>
      </c>
      <c r="J1872" t="str">
        <f>VLOOKUP(I1872,[2]categories!$A$1:$B$8,2,FALSE)</f>
        <v>Mountain Bikes</v>
      </c>
    </row>
    <row r="1873" customHeight="1" spans="1:10">
      <c r="A1873" s="1">
        <v>667</v>
      </c>
      <c r="B1873" s="1">
        <v>4</v>
      </c>
      <c r="C1873" s="1">
        <v>99</v>
      </c>
      <c r="D1873" s="1">
        <v>1</v>
      </c>
      <c r="E1873" s="1">
        <v>299.99</v>
      </c>
      <c r="F1873" s="1">
        <v>0.1</v>
      </c>
      <c r="G1873">
        <f t="shared" si="29"/>
        <v>299.89</v>
      </c>
      <c r="H1873" t="str">
        <f>VLOOKUP(C1873,[1]products!$A:$B,2,FALSE)</f>
        <v>Electra Sugar Skulls 1 (20-inch) - Girl's - 2017</v>
      </c>
      <c r="I1873">
        <f>VLOOKUP(C1873,[1]products!$A:$D,4,FALSE)</f>
        <v>1</v>
      </c>
      <c r="J1873" t="str">
        <f>VLOOKUP(I1873,[2]categories!$A$1:$B$8,2,FALSE)</f>
        <v>Children Bicycles</v>
      </c>
    </row>
    <row r="1874" customHeight="1" spans="1:10">
      <c r="A1874" s="1">
        <v>667</v>
      </c>
      <c r="B1874" s="1">
        <v>5</v>
      </c>
      <c r="C1874" s="1">
        <v>85</v>
      </c>
      <c r="D1874" s="1">
        <v>1</v>
      </c>
      <c r="E1874" s="1">
        <v>329.99</v>
      </c>
      <c r="F1874" s="1">
        <v>0.05</v>
      </c>
      <c r="G1874">
        <f t="shared" si="29"/>
        <v>329.94</v>
      </c>
      <c r="H1874" t="str">
        <f>VLOOKUP(C1874,[1]products!$A:$B,2,FALSE)</f>
        <v>Haro Downtown 16 - 2017</v>
      </c>
      <c r="I1874">
        <f>VLOOKUP(C1874,[1]products!$A:$D,4,FALSE)</f>
        <v>1</v>
      </c>
      <c r="J1874" t="str">
        <f>VLOOKUP(I1874,[2]categories!$A$1:$B$8,2,FALSE)</f>
        <v>Children Bicycles</v>
      </c>
    </row>
    <row r="1875" customHeight="1" spans="1:10">
      <c r="A1875" s="1">
        <v>668</v>
      </c>
      <c r="B1875" s="1">
        <v>1</v>
      </c>
      <c r="C1875" s="1">
        <v>48</v>
      </c>
      <c r="D1875" s="1">
        <v>2</v>
      </c>
      <c r="E1875" s="1">
        <v>1499.99</v>
      </c>
      <c r="F1875" s="1">
        <v>0.05</v>
      </c>
      <c r="G1875">
        <f t="shared" si="29"/>
        <v>2999.93</v>
      </c>
      <c r="H1875" t="str">
        <f>VLOOKUP(C1875,[1]products!$A:$B,2,FALSE)</f>
        <v>Trek Emonda S 4 - 2017</v>
      </c>
      <c r="I1875">
        <f>VLOOKUP(C1875,[1]products!$A:$D,4,FALSE)</f>
        <v>7</v>
      </c>
      <c r="J1875" t="str">
        <f>VLOOKUP(I1875,[2]categories!$A$1:$B$8,2,FALSE)</f>
        <v>Road Bikes</v>
      </c>
    </row>
    <row r="1876" customHeight="1" spans="1:10">
      <c r="A1876" s="1">
        <v>668</v>
      </c>
      <c r="B1876" s="1">
        <v>2</v>
      </c>
      <c r="C1876" s="1">
        <v>19</v>
      </c>
      <c r="D1876" s="1">
        <v>2</v>
      </c>
      <c r="E1876" s="1">
        <v>449</v>
      </c>
      <c r="F1876" s="1">
        <v>0.1</v>
      </c>
      <c r="G1876">
        <f t="shared" si="29"/>
        <v>897.9</v>
      </c>
      <c r="H1876" t="str">
        <f>VLOOKUP(C1876,[1]products!$A:$B,2,FALSE)</f>
        <v>Pure Cycles William 3-Speed - 2016</v>
      </c>
      <c r="I1876">
        <f>VLOOKUP(C1876,[1]products!$A:$D,4,FALSE)</f>
        <v>3</v>
      </c>
      <c r="J1876" t="str">
        <f>VLOOKUP(I1876,[2]categories!$A$1:$B$8,2,FALSE)</f>
        <v>Cruisers Bicycles</v>
      </c>
    </row>
    <row r="1877" customHeight="1" spans="1:10">
      <c r="A1877" s="1">
        <v>669</v>
      </c>
      <c r="B1877" s="1">
        <v>1</v>
      </c>
      <c r="C1877" s="1">
        <v>16</v>
      </c>
      <c r="D1877" s="1">
        <v>2</v>
      </c>
      <c r="E1877" s="1">
        <v>599.99</v>
      </c>
      <c r="F1877" s="1">
        <v>0.07</v>
      </c>
      <c r="G1877">
        <f t="shared" si="29"/>
        <v>1199.91</v>
      </c>
      <c r="H1877" t="str">
        <f>VLOOKUP(C1877,[1]products!$A:$B,2,FALSE)</f>
        <v>Electra Townie Original 7D EQ - 2016</v>
      </c>
      <c r="I1877">
        <f>VLOOKUP(C1877,[1]products!$A:$D,4,FALSE)</f>
        <v>3</v>
      </c>
      <c r="J1877" t="str">
        <f>VLOOKUP(I1877,[2]categories!$A$1:$B$8,2,FALSE)</f>
        <v>Cruisers Bicycles</v>
      </c>
    </row>
    <row r="1878" customHeight="1" spans="1:10">
      <c r="A1878" s="1">
        <v>669</v>
      </c>
      <c r="B1878" s="1">
        <v>2</v>
      </c>
      <c r="C1878" s="1">
        <v>72</v>
      </c>
      <c r="D1878" s="1">
        <v>1</v>
      </c>
      <c r="E1878" s="1">
        <v>619.99</v>
      </c>
      <c r="F1878" s="1">
        <v>0.07</v>
      </c>
      <c r="G1878">
        <f t="shared" si="29"/>
        <v>619.92</v>
      </c>
      <c r="H1878" t="str">
        <f>VLOOKUP(C1878,[1]products!$A:$B,2,FALSE)</f>
        <v>Sun Bicycles Biscayne Tandem 7 - 2017</v>
      </c>
      <c r="I1878">
        <f>VLOOKUP(C1878,[1]products!$A:$D,4,FALSE)</f>
        <v>3</v>
      </c>
      <c r="J1878" t="str">
        <f>VLOOKUP(I1878,[2]categories!$A$1:$B$8,2,FALSE)</f>
        <v>Cruisers Bicycles</v>
      </c>
    </row>
    <row r="1879" customHeight="1" spans="1:10">
      <c r="A1879" s="1">
        <v>670</v>
      </c>
      <c r="B1879" s="1">
        <v>1</v>
      </c>
      <c r="C1879" s="1">
        <v>108</v>
      </c>
      <c r="D1879" s="1">
        <v>1</v>
      </c>
      <c r="E1879" s="1">
        <v>449.99</v>
      </c>
      <c r="F1879" s="1">
        <v>0.1</v>
      </c>
      <c r="G1879">
        <f t="shared" si="29"/>
        <v>449.89</v>
      </c>
      <c r="H1879" t="str">
        <f>VLOOKUP(C1879,[1]products!$A:$B,2,FALSE)</f>
        <v>Sun Bicycles Cruz 3 - Women's - 2017</v>
      </c>
      <c r="I1879">
        <f>VLOOKUP(C1879,[1]products!$A:$D,4,FALSE)</f>
        <v>2</v>
      </c>
      <c r="J1879" t="str">
        <f>VLOOKUP(I1879,[2]categories!$A$1:$B$8,2,FALSE)</f>
        <v>Comfort Bicycles</v>
      </c>
    </row>
    <row r="1880" customHeight="1" spans="1:10">
      <c r="A1880" s="1">
        <v>670</v>
      </c>
      <c r="B1880" s="1">
        <v>2</v>
      </c>
      <c r="C1880" s="1">
        <v>28</v>
      </c>
      <c r="D1880" s="1">
        <v>1</v>
      </c>
      <c r="E1880" s="1">
        <v>2499.99</v>
      </c>
      <c r="F1880" s="1">
        <v>0.07</v>
      </c>
      <c r="G1880">
        <f t="shared" si="29"/>
        <v>2499.92</v>
      </c>
      <c r="H1880" t="str">
        <f>VLOOKUP(C1880,[1]products!$A:$B,2,FALSE)</f>
        <v>Surly Karate Monkey 27.5+ Frameset - 2017</v>
      </c>
      <c r="I1880">
        <f>VLOOKUP(C1880,[1]products!$A:$D,4,FALSE)</f>
        <v>6</v>
      </c>
      <c r="J1880" t="str">
        <f>VLOOKUP(I1880,[2]categories!$A$1:$B$8,2,FALSE)</f>
        <v>Mountain Bikes</v>
      </c>
    </row>
    <row r="1881" customHeight="1" spans="1:10">
      <c r="A1881" s="1">
        <v>670</v>
      </c>
      <c r="B1881" s="1">
        <v>3</v>
      </c>
      <c r="C1881" s="1">
        <v>104</v>
      </c>
      <c r="D1881" s="1">
        <v>2</v>
      </c>
      <c r="E1881" s="1">
        <v>481.99</v>
      </c>
      <c r="F1881" s="1">
        <v>0.2</v>
      </c>
      <c r="G1881">
        <f t="shared" si="29"/>
        <v>963.78</v>
      </c>
      <c r="H1881" t="str">
        <f>VLOOKUP(C1881,[1]products!$A:$B,2,FALSE)</f>
        <v>Sun Bicycles Streamway - 2017</v>
      </c>
      <c r="I1881">
        <f>VLOOKUP(C1881,[1]products!$A:$D,4,FALSE)</f>
        <v>2</v>
      </c>
      <c r="J1881" t="str">
        <f>VLOOKUP(I1881,[2]categories!$A$1:$B$8,2,FALSE)</f>
        <v>Comfort Bicycles</v>
      </c>
    </row>
    <row r="1882" customHeight="1" spans="1:10">
      <c r="A1882" s="1">
        <v>670</v>
      </c>
      <c r="B1882" s="1">
        <v>4</v>
      </c>
      <c r="C1882" s="1">
        <v>45</v>
      </c>
      <c r="D1882" s="1">
        <v>2</v>
      </c>
      <c r="E1882" s="1">
        <v>869.99</v>
      </c>
      <c r="F1882" s="1">
        <v>0.05</v>
      </c>
      <c r="G1882">
        <f t="shared" si="29"/>
        <v>1739.93</v>
      </c>
      <c r="H1882" t="str">
        <f>VLOOKUP(C1882,[1]products!$A:$B,2,FALSE)</f>
        <v>Haro SR 1.2 - 2017</v>
      </c>
      <c r="I1882">
        <f>VLOOKUP(C1882,[1]products!$A:$D,4,FALSE)</f>
        <v>6</v>
      </c>
      <c r="J1882" t="str">
        <f>VLOOKUP(I1882,[2]categories!$A$1:$B$8,2,FALSE)</f>
        <v>Mountain Bikes</v>
      </c>
    </row>
    <row r="1883" customHeight="1" spans="1:10">
      <c r="A1883" s="1">
        <v>671</v>
      </c>
      <c r="B1883" s="1">
        <v>1</v>
      </c>
      <c r="C1883" s="1">
        <v>30</v>
      </c>
      <c r="D1883" s="1">
        <v>1</v>
      </c>
      <c r="E1883" s="1">
        <v>999.99</v>
      </c>
      <c r="F1883" s="1">
        <v>0.05</v>
      </c>
      <c r="G1883">
        <f t="shared" si="29"/>
        <v>999.94</v>
      </c>
      <c r="H1883" t="str">
        <f>VLOOKUP(C1883,[1]products!$A:$B,2,FALSE)</f>
        <v>Surly Ice Cream Truck Frameset - 2017</v>
      </c>
      <c r="I1883">
        <f>VLOOKUP(C1883,[1]products!$A:$D,4,FALSE)</f>
        <v>6</v>
      </c>
      <c r="J1883" t="str">
        <f>VLOOKUP(I1883,[2]categories!$A$1:$B$8,2,FALSE)</f>
        <v>Mountain Bikes</v>
      </c>
    </row>
    <row r="1884" customHeight="1" spans="1:10">
      <c r="A1884" s="1">
        <v>671</v>
      </c>
      <c r="B1884" s="1">
        <v>2</v>
      </c>
      <c r="C1884" s="1">
        <v>69</v>
      </c>
      <c r="D1884" s="1">
        <v>1</v>
      </c>
      <c r="E1884" s="1">
        <v>416.99</v>
      </c>
      <c r="F1884" s="1">
        <v>0.05</v>
      </c>
      <c r="G1884">
        <f t="shared" si="29"/>
        <v>416.94</v>
      </c>
      <c r="H1884" t="str">
        <f>VLOOKUP(C1884,[1]products!$A:$B,2,FALSE)</f>
        <v>Sun Bicycles Cruz 7 - 2017</v>
      </c>
      <c r="I1884">
        <f>VLOOKUP(C1884,[1]products!$A:$D,4,FALSE)</f>
        <v>3</v>
      </c>
      <c r="J1884" t="str">
        <f>VLOOKUP(I1884,[2]categories!$A$1:$B$8,2,FALSE)</f>
        <v>Cruisers Bicycles</v>
      </c>
    </row>
    <row r="1885" customHeight="1" spans="1:10">
      <c r="A1885" s="1">
        <v>671</v>
      </c>
      <c r="B1885" s="1">
        <v>3</v>
      </c>
      <c r="C1885" s="1">
        <v>55</v>
      </c>
      <c r="D1885" s="1">
        <v>1</v>
      </c>
      <c r="E1885" s="1">
        <v>2699.99</v>
      </c>
      <c r="F1885" s="1">
        <v>0.2</v>
      </c>
      <c r="G1885">
        <f t="shared" si="29"/>
        <v>2699.79</v>
      </c>
      <c r="H1885" t="str">
        <f>VLOOKUP(C1885,[1]products!$A:$B,2,FALSE)</f>
        <v>Trek Domane S 6 - 2017</v>
      </c>
      <c r="I1885">
        <f>VLOOKUP(C1885,[1]products!$A:$D,4,FALSE)</f>
        <v>7</v>
      </c>
      <c r="J1885" t="str">
        <f>VLOOKUP(I1885,[2]categories!$A$1:$B$8,2,FALSE)</f>
        <v>Road Bikes</v>
      </c>
    </row>
    <row r="1886" customHeight="1" spans="1:10">
      <c r="A1886" s="1">
        <v>671</v>
      </c>
      <c r="B1886" s="1">
        <v>4</v>
      </c>
      <c r="C1886" s="1">
        <v>4</v>
      </c>
      <c r="D1886" s="1">
        <v>1</v>
      </c>
      <c r="E1886" s="1">
        <v>2899.99</v>
      </c>
      <c r="F1886" s="1">
        <v>0.07</v>
      </c>
      <c r="G1886">
        <f t="shared" si="29"/>
        <v>2899.92</v>
      </c>
      <c r="H1886" t="str">
        <f>VLOOKUP(C1886,[1]products!$A:$B,2,FALSE)</f>
        <v>Trek Fuel EX 8 29 - 2016</v>
      </c>
      <c r="I1886">
        <f>VLOOKUP(C1886,[1]products!$A:$D,4,FALSE)</f>
        <v>6</v>
      </c>
      <c r="J1886" t="str">
        <f>VLOOKUP(I1886,[2]categories!$A$1:$B$8,2,FALSE)</f>
        <v>Mountain Bikes</v>
      </c>
    </row>
    <row r="1887" customHeight="1" spans="1:10">
      <c r="A1887" s="1">
        <v>671</v>
      </c>
      <c r="B1887" s="1">
        <v>5</v>
      </c>
      <c r="C1887" s="1">
        <v>109</v>
      </c>
      <c r="D1887" s="1">
        <v>2</v>
      </c>
      <c r="E1887" s="1">
        <v>416.99</v>
      </c>
      <c r="F1887" s="1">
        <v>0.07</v>
      </c>
      <c r="G1887">
        <f t="shared" si="29"/>
        <v>833.91</v>
      </c>
      <c r="H1887" t="str">
        <f>VLOOKUP(C1887,[1]products!$A:$B,2,FALSE)</f>
        <v>Sun Bicycles Cruz 7 - Women's - 2017</v>
      </c>
      <c r="I1887">
        <f>VLOOKUP(C1887,[1]products!$A:$D,4,FALSE)</f>
        <v>2</v>
      </c>
      <c r="J1887" t="str">
        <f>VLOOKUP(I1887,[2]categories!$A$1:$B$8,2,FALSE)</f>
        <v>Comfort Bicycles</v>
      </c>
    </row>
    <row r="1888" customHeight="1" spans="1:10">
      <c r="A1888" s="1">
        <v>672</v>
      </c>
      <c r="B1888" s="1">
        <v>1</v>
      </c>
      <c r="C1888" s="1">
        <v>51</v>
      </c>
      <c r="D1888" s="1">
        <v>2</v>
      </c>
      <c r="E1888" s="1">
        <v>6499.99</v>
      </c>
      <c r="F1888" s="1">
        <v>0.07</v>
      </c>
      <c r="G1888">
        <f t="shared" si="29"/>
        <v>12999.91</v>
      </c>
      <c r="H1888" t="str">
        <f>VLOOKUP(C1888,[1]products!$A:$B,2,FALSE)</f>
        <v>Trek Silque SLR 8 Women's - 2017</v>
      </c>
      <c r="I1888">
        <f>VLOOKUP(C1888,[1]products!$A:$D,4,FALSE)</f>
        <v>7</v>
      </c>
      <c r="J1888" t="str">
        <f>VLOOKUP(I1888,[2]categories!$A$1:$B$8,2,FALSE)</f>
        <v>Road Bikes</v>
      </c>
    </row>
    <row r="1889" customHeight="1" spans="1:10">
      <c r="A1889" s="1">
        <v>672</v>
      </c>
      <c r="B1889" s="1">
        <v>2</v>
      </c>
      <c r="C1889" s="1">
        <v>96</v>
      </c>
      <c r="D1889" s="1">
        <v>2</v>
      </c>
      <c r="E1889" s="1">
        <v>349.99</v>
      </c>
      <c r="F1889" s="1">
        <v>0.2</v>
      </c>
      <c r="G1889">
        <f t="shared" si="29"/>
        <v>699.78</v>
      </c>
      <c r="H1889" t="str">
        <f>VLOOKUP(C1889,[1]products!$A:$B,2,FALSE)</f>
        <v>Electra Moto 3i (20-inch) - Boy's - 2017</v>
      </c>
      <c r="I1889">
        <f>VLOOKUP(C1889,[1]products!$A:$D,4,FALSE)</f>
        <v>1</v>
      </c>
      <c r="J1889" t="str">
        <f>VLOOKUP(I1889,[2]categories!$A$1:$B$8,2,FALSE)</f>
        <v>Children Bicycles</v>
      </c>
    </row>
    <row r="1890" customHeight="1" spans="1:10">
      <c r="A1890" s="1">
        <v>672</v>
      </c>
      <c r="B1890" s="1">
        <v>3</v>
      </c>
      <c r="C1890" s="1">
        <v>48</v>
      </c>
      <c r="D1890" s="1">
        <v>2</v>
      </c>
      <c r="E1890" s="1">
        <v>1499.99</v>
      </c>
      <c r="F1890" s="1">
        <v>0.07</v>
      </c>
      <c r="G1890">
        <f t="shared" si="29"/>
        <v>2999.91</v>
      </c>
      <c r="H1890" t="str">
        <f>VLOOKUP(C1890,[1]products!$A:$B,2,FALSE)</f>
        <v>Trek Emonda S 4 - 2017</v>
      </c>
      <c r="I1890">
        <f>VLOOKUP(C1890,[1]products!$A:$D,4,FALSE)</f>
        <v>7</v>
      </c>
      <c r="J1890" t="str">
        <f>VLOOKUP(I1890,[2]categories!$A$1:$B$8,2,FALSE)</f>
        <v>Road Bikes</v>
      </c>
    </row>
    <row r="1891" customHeight="1" spans="1:10">
      <c r="A1891" s="1">
        <v>673</v>
      </c>
      <c r="B1891" s="1">
        <v>1</v>
      </c>
      <c r="C1891" s="1">
        <v>66</v>
      </c>
      <c r="D1891" s="1">
        <v>1</v>
      </c>
      <c r="E1891" s="1">
        <v>250.99</v>
      </c>
      <c r="F1891" s="1">
        <v>0.2</v>
      </c>
      <c r="G1891">
        <f t="shared" si="29"/>
        <v>250.79</v>
      </c>
      <c r="H1891" t="str">
        <f>VLOOKUP(C1891,[1]products!$A:$B,2,FALSE)</f>
        <v>Sun Bicycles Revolutions 24 - 2017</v>
      </c>
      <c r="I1891">
        <f>VLOOKUP(C1891,[1]products!$A:$D,4,FALSE)</f>
        <v>3</v>
      </c>
      <c r="J1891" t="str">
        <f>VLOOKUP(I1891,[2]categories!$A$1:$B$8,2,FALSE)</f>
        <v>Cruisers Bicycles</v>
      </c>
    </row>
    <row r="1892" customHeight="1" spans="1:10">
      <c r="A1892" s="1">
        <v>673</v>
      </c>
      <c r="B1892" s="1">
        <v>2</v>
      </c>
      <c r="C1892" s="1">
        <v>38</v>
      </c>
      <c r="D1892" s="1">
        <v>1</v>
      </c>
      <c r="E1892" s="1">
        <v>549.99</v>
      </c>
      <c r="F1892" s="1">
        <v>0.2</v>
      </c>
      <c r="G1892">
        <f t="shared" si="29"/>
        <v>549.79</v>
      </c>
      <c r="H1892" t="str">
        <f>VLOOKUP(C1892,[1]products!$A:$B,2,FALSE)</f>
        <v>Haro Flightline Two 26 Plus - 2017</v>
      </c>
      <c r="I1892">
        <f>VLOOKUP(C1892,[1]products!$A:$D,4,FALSE)</f>
        <v>6</v>
      </c>
      <c r="J1892" t="str">
        <f>VLOOKUP(I1892,[2]categories!$A$1:$B$8,2,FALSE)</f>
        <v>Mountain Bikes</v>
      </c>
    </row>
    <row r="1893" customHeight="1" spans="1:10">
      <c r="A1893" s="1">
        <v>673</v>
      </c>
      <c r="B1893" s="1">
        <v>3</v>
      </c>
      <c r="C1893" s="1">
        <v>5</v>
      </c>
      <c r="D1893" s="1">
        <v>1</v>
      </c>
      <c r="E1893" s="1">
        <v>1320.99</v>
      </c>
      <c r="F1893" s="1">
        <v>0.07</v>
      </c>
      <c r="G1893">
        <f t="shared" si="29"/>
        <v>1320.92</v>
      </c>
      <c r="H1893" t="str">
        <f>VLOOKUP(C1893,[1]products!$A:$B,2,FALSE)</f>
        <v>Heller Shagamaw Frame - 2016</v>
      </c>
      <c r="I1893">
        <f>VLOOKUP(C1893,[1]products!$A:$D,4,FALSE)</f>
        <v>6</v>
      </c>
      <c r="J1893" t="str">
        <f>VLOOKUP(I1893,[2]categories!$A$1:$B$8,2,FALSE)</f>
        <v>Mountain Bikes</v>
      </c>
    </row>
    <row r="1894" customHeight="1" spans="1:10">
      <c r="A1894" s="1">
        <v>673</v>
      </c>
      <c r="B1894" s="1">
        <v>4</v>
      </c>
      <c r="C1894" s="1">
        <v>13</v>
      </c>
      <c r="D1894" s="1">
        <v>1</v>
      </c>
      <c r="E1894" s="1">
        <v>269.99</v>
      </c>
      <c r="F1894" s="1">
        <v>0.1</v>
      </c>
      <c r="G1894">
        <f t="shared" si="29"/>
        <v>269.89</v>
      </c>
      <c r="H1894" t="str">
        <f>VLOOKUP(C1894,[1]products!$A:$B,2,FALSE)</f>
        <v>Electra Cruiser 1 (24-Inch) - 2016</v>
      </c>
      <c r="I1894">
        <f>VLOOKUP(C1894,[1]products!$A:$D,4,FALSE)</f>
        <v>3</v>
      </c>
      <c r="J1894" t="str">
        <f>VLOOKUP(I1894,[2]categories!$A$1:$B$8,2,FALSE)</f>
        <v>Cruisers Bicycles</v>
      </c>
    </row>
    <row r="1895" customHeight="1" spans="1:10">
      <c r="A1895" s="1">
        <v>674</v>
      </c>
      <c r="B1895" s="1">
        <v>1</v>
      </c>
      <c r="C1895" s="1">
        <v>26</v>
      </c>
      <c r="D1895" s="1">
        <v>2</v>
      </c>
      <c r="E1895" s="1">
        <v>599.99</v>
      </c>
      <c r="F1895" s="1">
        <v>0.2</v>
      </c>
      <c r="G1895">
        <f t="shared" si="29"/>
        <v>1199.78</v>
      </c>
      <c r="H1895" t="str">
        <f>VLOOKUP(C1895,[1]products!$A:$B,2,FALSE)</f>
        <v>Electra Townie Original 7D EQ - 2016</v>
      </c>
      <c r="I1895">
        <f>VLOOKUP(C1895,[1]products!$A:$D,4,FALSE)</f>
        <v>2</v>
      </c>
      <c r="J1895" t="str">
        <f>VLOOKUP(I1895,[2]categories!$A$1:$B$8,2,FALSE)</f>
        <v>Comfort Bicycles</v>
      </c>
    </row>
    <row r="1896" customHeight="1" spans="1:10">
      <c r="A1896" s="1">
        <v>675</v>
      </c>
      <c r="B1896" s="1">
        <v>1</v>
      </c>
      <c r="C1896" s="1">
        <v>17</v>
      </c>
      <c r="D1896" s="1">
        <v>1</v>
      </c>
      <c r="E1896" s="1">
        <v>429</v>
      </c>
      <c r="F1896" s="1">
        <v>0.05</v>
      </c>
      <c r="G1896">
        <f t="shared" si="29"/>
        <v>428.95</v>
      </c>
      <c r="H1896" t="str">
        <f>VLOOKUP(C1896,[1]products!$A:$B,2,FALSE)</f>
        <v>Pure Cycles Vine 8-Speed - 2016</v>
      </c>
      <c r="I1896">
        <f>VLOOKUP(C1896,[1]products!$A:$D,4,FALSE)</f>
        <v>3</v>
      </c>
      <c r="J1896" t="str">
        <f>VLOOKUP(I1896,[2]categories!$A$1:$B$8,2,FALSE)</f>
        <v>Cruisers Bicycles</v>
      </c>
    </row>
    <row r="1897" customHeight="1" spans="1:10">
      <c r="A1897" s="1">
        <v>675</v>
      </c>
      <c r="B1897" s="1">
        <v>2</v>
      </c>
      <c r="C1897" s="1">
        <v>89</v>
      </c>
      <c r="D1897" s="1">
        <v>2</v>
      </c>
      <c r="E1897" s="1">
        <v>209.99</v>
      </c>
      <c r="F1897" s="1">
        <v>0.05</v>
      </c>
      <c r="G1897">
        <f t="shared" si="29"/>
        <v>419.93</v>
      </c>
      <c r="H1897" t="str">
        <f>VLOOKUP(C1897,[1]products!$A:$B,2,FALSE)</f>
        <v>Trek Precaliber 16 Boys - 2017</v>
      </c>
      <c r="I1897">
        <f>VLOOKUP(C1897,[1]products!$A:$D,4,FALSE)</f>
        <v>1</v>
      </c>
      <c r="J1897" t="str">
        <f>VLOOKUP(I1897,[2]categories!$A$1:$B$8,2,FALSE)</f>
        <v>Children Bicycles</v>
      </c>
    </row>
    <row r="1898" customHeight="1" spans="1:10">
      <c r="A1898" s="1">
        <v>675</v>
      </c>
      <c r="B1898" s="1">
        <v>3</v>
      </c>
      <c r="C1898" s="1">
        <v>19</v>
      </c>
      <c r="D1898" s="1">
        <v>1</v>
      </c>
      <c r="E1898" s="1">
        <v>449</v>
      </c>
      <c r="F1898" s="1">
        <v>0.07</v>
      </c>
      <c r="G1898">
        <f t="shared" si="29"/>
        <v>448.93</v>
      </c>
      <c r="H1898" t="str">
        <f>VLOOKUP(C1898,[1]products!$A:$B,2,FALSE)</f>
        <v>Pure Cycles William 3-Speed - 2016</v>
      </c>
      <c r="I1898">
        <f>VLOOKUP(C1898,[1]products!$A:$D,4,FALSE)</f>
        <v>3</v>
      </c>
      <c r="J1898" t="str">
        <f>VLOOKUP(I1898,[2]categories!$A$1:$B$8,2,FALSE)</f>
        <v>Cruisers Bicycles</v>
      </c>
    </row>
    <row r="1899" customHeight="1" spans="1:10">
      <c r="A1899" s="1">
        <v>675</v>
      </c>
      <c r="B1899" s="1">
        <v>4</v>
      </c>
      <c r="C1899" s="1">
        <v>32</v>
      </c>
      <c r="D1899" s="1">
        <v>1</v>
      </c>
      <c r="E1899" s="1">
        <v>469.99</v>
      </c>
      <c r="F1899" s="1">
        <v>0.2</v>
      </c>
      <c r="G1899">
        <f t="shared" si="29"/>
        <v>469.79</v>
      </c>
      <c r="H1899" t="str">
        <f>VLOOKUP(C1899,[1]products!$A:$B,2,FALSE)</f>
        <v>Trek Farley Alloy Frameset - 2017</v>
      </c>
      <c r="I1899">
        <f>VLOOKUP(C1899,[1]products!$A:$D,4,FALSE)</f>
        <v>6</v>
      </c>
      <c r="J1899" t="str">
        <f>VLOOKUP(I1899,[2]categories!$A$1:$B$8,2,FALSE)</f>
        <v>Mountain Bikes</v>
      </c>
    </row>
    <row r="1900" customHeight="1" spans="1:10">
      <c r="A1900" s="1">
        <v>676</v>
      </c>
      <c r="B1900" s="1">
        <v>1</v>
      </c>
      <c r="C1900" s="1">
        <v>70</v>
      </c>
      <c r="D1900" s="1">
        <v>1</v>
      </c>
      <c r="E1900" s="1">
        <v>659.99</v>
      </c>
      <c r="F1900" s="1">
        <v>0.2</v>
      </c>
      <c r="G1900">
        <f t="shared" si="29"/>
        <v>659.79</v>
      </c>
      <c r="H1900" t="str">
        <f>VLOOKUP(C1900,[1]products!$A:$B,2,FALSE)</f>
        <v>Electra Amsterdam Original 3i - 2015/2017</v>
      </c>
      <c r="I1900">
        <f>VLOOKUP(C1900,[1]products!$A:$D,4,FALSE)</f>
        <v>3</v>
      </c>
      <c r="J1900" t="str">
        <f>VLOOKUP(I1900,[2]categories!$A$1:$B$8,2,FALSE)</f>
        <v>Cruisers Bicycles</v>
      </c>
    </row>
    <row r="1901" customHeight="1" spans="1:10">
      <c r="A1901" s="1">
        <v>676</v>
      </c>
      <c r="B1901" s="1">
        <v>2</v>
      </c>
      <c r="C1901" s="1">
        <v>104</v>
      </c>
      <c r="D1901" s="1">
        <v>2</v>
      </c>
      <c r="E1901" s="1">
        <v>481.99</v>
      </c>
      <c r="F1901" s="1">
        <v>0.07</v>
      </c>
      <c r="G1901">
        <f t="shared" si="29"/>
        <v>963.91</v>
      </c>
      <c r="H1901" t="str">
        <f>VLOOKUP(C1901,[1]products!$A:$B,2,FALSE)</f>
        <v>Sun Bicycles Streamway - 2017</v>
      </c>
      <c r="I1901">
        <f>VLOOKUP(C1901,[1]products!$A:$D,4,FALSE)</f>
        <v>2</v>
      </c>
      <c r="J1901" t="str">
        <f>VLOOKUP(I1901,[2]categories!$A$1:$B$8,2,FALSE)</f>
        <v>Comfort Bicycles</v>
      </c>
    </row>
    <row r="1902" customHeight="1" spans="1:10">
      <c r="A1902" s="1">
        <v>676</v>
      </c>
      <c r="B1902" s="1">
        <v>3</v>
      </c>
      <c r="C1902" s="1">
        <v>24</v>
      </c>
      <c r="D1902" s="1">
        <v>1</v>
      </c>
      <c r="E1902" s="1">
        <v>549.99</v>
      </c>
      <c r="F1902" s="1">
        <v>0.1</v>
      </c>
      <c r="G1902">
        <f t="shared" si="29"/>
        <v>549.89</v>
      </c>
      <c r="H1902" t="str">
        <f>VLOOKUP(C1902,[1]products!$A:$B,2,FALSE)</f>
        <v>Electra Townie Original 21D - 2016</v>
      </c>
      <c r="I1902">
        <f>VLOOKUP(C1902,[1]products!$A:$D,4,FALSE)</f>
        <v>2</v>
      </c>
      <c r="J1902" t="str">
        <f>VLOOKUP(I1902,[2]categories!$A$1:$B$8,2,FALSE)</f>
        <v>Comfort Bicycles</v>
      </c>
    </row>
    <row r="1903" customHeight="1" spans="1:10">
      <c r="A1903" s="1">
        <v>676</v>
      </c>
      <c r="B1903" s="1">
        <v>4</v>
      </c>
      <c r="C1903" s="1">
        <v>29</v>
      </c>
      <c r="D1903" s="1">
        <v>1</v>
      </c>
      <c r="E1903" s="1">
        <v>999.99</v>
      </c>
      <c r="F1903" s="1">
        <v>0.2</v>
      </c>
      <c r="G1903">
        <f t="shared" si="29"/>
        <v>999.79</v>
      </c>
      <c r="H1903" t="str">
        <f>VLOOKUP(C1903,[1]products!$A:$B,2,FALSE)</f>
        <v>Trek X-Caliber 8 - 2017</v>
      </c>
      <c r="I1903">
        <f>VLOOKUP(C1903,[1]products!$A:$D,4,FALSE)</f>
        <v>6</v>
      </c>
      <c r="J1903" t="str">
        <f>VLOOKUP(I1903,[2]categories!$A$1:$B$8,2,FALSE)</f>
        <v>Mountain Bikes</v>
      </c>
    </row>
    <row r="1904" customHeight="1" spans="1:10">
      <c r="A1904" s="1">
        <v>677</v>
      </c>
      <c r="B1904" s="1">
        <v>1</v>
      </c>
      <c r="C1904" s="1">
        <v>75</v>
      </c>
      <c r="D1904" s="1">
        <v>1</v>
      </c>
      <c r="E1904" s="1">
        <v>599.99</v>
      </c>
      <c r="F1904" s="1">
        <v>0.07</v>
      </c>
      <c r="G1904">
        <f t="shared" si="29"/>
        <v>599.92</v>
      </c>
      <c r="H1904" t="str">
        <f>VLOOKUP(C1904,[1]products!$A:$B,2,FALSE)</f>
        <v>Electra Cruiser Lux Fat Tire 1 Ladies - 2017</v>
      </c>
      <c r="I1904">
        <f>VLOOKUP(C1904,[1]products!$A:$D,4,FALSE)</f>
        <v>3</v>
      </c>
      <c r="J1904" t="str">
        <f>VLOOKUP(I1904,[2]categories!$A$1:$B$8,2,FALSE)</f>
        <v>Cruisers Bicycles</v>
      </c>
    </row>
    <row r="1905" customHeight="1" spans="1:10">
      <c r="A1905" s="1">
        <v>677</v>
      </c>
      <c r="B1905" s="1">
        <v>2</v>
      </c>
      <c r="C1905" s="1">
        <v>7</v>
      </c>
      <c r="D1905" s="1">
        <v>2</v>
      </c>
      <c r="E1905" s="1">
        <v>3999.99</v>
      </c>
      <c r="F1905" s="1">
        <v>0.07</v>
      </c>
      <c r="G1905">
        <f t="shared" si="29"/>
        <v>7999.91</v>
      </c>
      <c r="H1905" t="str">
        <f>VLOOKUP(C1905,[1]products!$A:$B,2,FALSE)</f>
        <v>Trek Slash 8 27.5 - 2016</v>
      </c>
      <c r="I1905">
        <f>VLOOKUP(C1905,[1]products!$A:$D,4,FALSE)</f>
        <v>6</v>
      </c>
      <c r="J1905" t="str">
        <f>VLOOKUP(I1905,[2]categories!$A$1:$B$8,2,FALSE)</f>
        <v>Mountain Bikes</v>
      </c>
    </row>
    <row r="1906" customHeight="1" spans="1:10">
      <c r="A1906" s="1">
        <v>677</v>
      </c>
      <c r="B1906" s="1">
        <v>3</v>
      </c>
      <c r="C1906" s="1">
        <v>105</v>
      </c>
      <c r="D1906" s="1">
        <v>2</v>
      </c>
      <c r="E1906" s="1">
        <v>533.99</v>
      </c>
      <c r="F1906" s="1">
        <v>0.07</v>
      </c>
      <c r="G1906">
        <f t="shared" si="29"/>
        <v>1067.91</v>
      </c>
      <c r="H1906" t="str">
        <f>VLOOKUP(C1906,[1]products!$A:$B,2,FALSE)</f>
        <v>Sun Bicycles Streamway 7 - 2017</v>
      </c>
      <c r="I1906">
        <f>VLOOKUP(C1906,[1]products!$A:$D,4,FALSE)</f>
        <v>2</v>
      </c>
      <c r="J1906" t="str">
        <f>VLOOKUP(I1906,[2]categories!$A$1:$B$8,2,FALSE)</f>
        <v>Comfort Bicycles</v>
      </c>
    </row>
    <row r="1907" customHeight="1" spans="1:10">
      <c r="A1907" s="1">
        <v>677</v>
      </c>
      <c r="B1907" s="1">
        <v>4</v>
      </c>
      <c r="C1907" s="1">
        <v>91</v>
      </c>
      <c r="D1907" s="1">
        <v>2</v>
      </c>
      <c r="E1907" s="1">
        <v>349.99</v>
      </c>
      <c r="F1907" s="1">
        <v>0.05</v>
      </c>
      <c r="G1907">
        <f t="shared" si="29"/>
        <v>699.93</v>
      </c>
      <c r="H1907" t="str">
        <f>VLOOKUP(C1907,[1]products!$A:$B,2,FALSE)</f>
        <v>Trek Precaliber 24 (21-Speed) - Girls - 2017</v>
      </c>
      <c r="I1907">
        <f>VLOOKUP(C1907,[1]products!$A:$D,4,FALSE)</f>
        <v>1</v>
      </c>
      <c r="J1907" t="str">
        <f>VLOOKUP(I1907,[2]categories!$A$1:$B$8,2,FALSE)</f>
        <v>Children Bicycles</v>
      </c>
    </row>
    <row r="1908" customHeight="1" spans="1:10">
      <c r="A1908" s="1">
        <v>677</v>
      </c>
      <c r="B1908" s="1">
        <v>5</v>
      </c>
      <c r="C1908" s="1">
        <v>54</v>
      </c>
      <c r="D1908" s="1">
        <v>2</v>
      </c>
      <c r="E1908" s="1">
        <v>3199.99</v>
      </c>
      <c r="F1908" s="1">
        <v>0.1</v>
      </c>
      <c r="G1908">
        <f t="shared" si="29"/>
        <v>6399.88</v>
      </c>
      <c r="H1908" t="str">
        <f>VLOOKUP(C1908,[1]products!$A:$B,2,FALSE)</f>
        <v>Trek Domane SL Disc Frameset - 2017</v>
      </c>
      <c r="I1908">
        <f>VLOOKUP(C1908,[1]products!$A:$D,4,FALSE)</f>
        <v>7</v>
      </c>
      <c r="J1908" t="str">
        <f>VLOOKUP(I1908,[2]categories!$A$1:$B$8,2,FALSE)</f>
        <v>Road Bikes</v>
      </c>
    </row>
    <row r="1909" customHeight="1" spans="1:10">
      <c r="A1909" s="1">
        <v>678</v>
      </c>
      <c r="B1909" s="1">
        <v>1</v>
      </c>
      <c r="C1909" s="1">
        <v>52</v>
      </c>
      <c r="D1909" s="1">
        <v>2</v>
      </c>
      <c r="E1909" s="1">
        <v>875.99</v>
      </c>
      <c r="F1909" s="1">
        <v>0.05</v>
      </c>
      <c r="G1909">
        <f t="shared" si="29"/>
        <v>1751.93</v>
      </c>
      <c r="H1909" t="str">
        <f>VLOOKUP(C1909,[1]products!$A:$B,2,FALSE)</f>
        <v>Surly Steamroller - 2017</v>
      </c>
      <c r="I1909">
        <f>VLOOKUP(C1909,[1]products!$A:$D,4,FALSE)</f>
        <v>7</v>
      </c>
      <c r="J1909" t="str">
        <f>VLOOKUP(I1909,[2]categories!$A$1:$B$8,2,FALSE)</f>
        <v>Road Bikes</v>
      </c>
    </row>
    <row r="1910" customHeight="1" spans="1:10">
      <c r="A1910" s="1">
        <v>678</v>
      </c>
      <c r="B1910" s="1">
        <v>2</v>
      </c>
      <c r="C1910" s="1">
        <v>37</v>
      </c>
      <c r="D1910" s="1">
        <v>2</v>
      </c>
      <c r="E1910" s="1">
        <v>379.99</v>
      </c>
      <c r="F1910" s="1">
        <v>0.07</v>
      </c>
      <c r="G1910">
        <f t="shared" si="29"/>
        <v>759.91</v>
      </c>
      <c r="H1910" t="str">
        <f>VLOOKUP(C1910,[1]products!$A:$B,2,FALSE)</f>
        <v>Haro Flightline One ST - 2017</v>
      </c>
      <c r="I1910">
        <f>VLOOKUP(C1910,[1]products!$A:$D,4,FALSE)</f>
        <v>6</v>
      </c>
      <c r="J1910" t="str">
        <f>VLOOKUP(I1910,[2]categories!$A$1:$B$8,2,FALSE)</f>
        <v>Mountain Bikes</v>
      </c>
    </row>
    <row r="1911" customHeight="1" spans="1:10">
      <c r="A1911" s="1">
        <v>679</v>
      </c>
      <c r="B1911" s="1">
        <v>1</v>
      </c>
      <c r="C1911" s="1">
        <v>15</v>
      </c>
      <c r="D1911" s="1">
        <v>2</v>
      </c>
      <c r="E1911" s="1">
        <v>529.99</v>
      </c>
      <c r="F1911" s="1">
        <v>0.2</v>
      </c>
      <c r="G1911">
        <f t="shared" si="29"/>
        <v>1059.78</v>
      </c>
      <c r="H1911" t="str">
        <f>VLOOKUP(C1911,[1]products!$A:$B,2,FALSE)</f>
        <v>Electra Moto 1 - 2016</v>
      </c>
      <c r="I1911">
        <f>VLOOKUP(C1911,[1]products!$A:$D,4,FALSE)</f>
        <v>3</v>
      </c>
      <c r="J1911" t="str">
        <f>VLOOKUP(I1911,[2]categories!$A$1:$B$8,2,FALSE)</f>
        <v>Cruisers Bicycles</v>
      </c>
    </row>
    <row r="1912" customHeight="1" spans="1:10">
      <c r="A1912" s="1">
        <v>679</v>
      </c>
      <c r="B1912" s="1">
        <v>2</v>
      </c>
      <c r="C1912" s="1">
        <v>83</v>
      </c>
      <c r="D1912" s="1">
        <v>2</v>
      </c>
      <c r="E1912" s="1">
        <v>149.99</v>
      </c>
      <c r="F1912" s="1">
        <v>0.05</v>
      </c>
      <c r="G1912">
        <f t="shared" si="29"/>
        <v>299.93</v>
      </c>
      <c r="H1912" t="str">
        <f>VLOOKUP(C1912,[1]products!$A:$B,2,FALSE)</f>
        <v>Trek Boy's Kickster - 2015/2017</v>
      </c>
      <c r="I1912">
        <f>VLOOKUP(C1912,[1]products!$A:$D,4,FALSE)</f>
        <v>1</v>
      </c>
      <c r="J1912" t="str">
        <f>VLOOKUP(I1912,[2]categories!$A$1:$B$8,2,FALSE)</f>
        <v>Children Bicycles</v>
      </c>
    </row>
    <row r="1913" customHeight="1" spans="1:10">
      <c r="A1913" s="1">
        <v>680</v>
      </c>
      <c r="B1913" s="1">
        <v>1</v>
      </c>
      <c r="C1913" s="1">
        <v>81</v>
      </c>
      <c r="D1913" s="1">
        <v>2</v>
      </c>
      <c r="E1913" s="1">
        <v>1099.99</v>
      </c>
      <c r="F1913" s="1">
        <v>0.05</v>
      </c>
      <c r="G1913">
        <f t="shared" si="29"/>
        <v>2199.93</v>
      </c>
      <c r="H1913" t="str">
        <f>VLOOKUP(C1913,[1]products!$A:$B,2,FALSE)</f>
        <v>Electra Amsterdam Fashion 7i Ladies' - 2017</v>
      </c>
      <c r="I1913">
        <f>VLOOKUP(C1913,[1]products!$A:$D,4,FALSE)</f>
        <v>3</v>
      </c>
      <c r="J1913" t="str">
        <f>VLOOKUP(I1913,[2]categories!$A$1:$B$8,2,FALSE)</f>
        <v>Cruisers Bicycles</v>
      </c>
    </row>
    <row r="1914" customHeight="1" spans="1:10">
      <c r="A1914" s="1">
        <v>680</v>
      </c>
      <c r="B1914" s="1">
        <v>2</v>
      </c>
      <c r="C1914" s="1">
        <v>7</v>
      </c>
      <c r="D1914" s="1">
        <v>1</v>
      </c>
      <c r="E1914" s="1">
        <v>3999.99</v>
      </c>
      <c r="F1914" s="1">
        <v>0.2</v>
      </c>
      <c r="G1914">
        <f t="shared" si="29"/>
        <v>3999.79</v>
      </c>
      <c r="H1914" t="str">
        <f>VLOOKUP(C1914,[1]products!$A:$B,2,FALSE)</f>
        <v>Trek Slash 8 27.5 - 2016</v>
      </c>
      <c r="I1914">
        <f>VLOOKUP(C1914,[1]products!$A:$D,4,FALSE)</f>
        <v>6</v>
      </c>
      <c r="J1914" t="str">
        <f>VLOOKUP(I1914,[2]categories!$A$1:$B$8,2,FALSE)</f>
        <v>Mountain Bikes</v>
      </c>
    </row>
    <row r="1915" customHeight="1" spans="1:10">
      <c r="A1915" s="1">
        <v>680</v>
      </c>
      <c r="B1915" s="1">
        <v>3</v>
      </c>
      <c r="C1915" s="1">
        <v>50</v>
      </c>
      <c r="D1915" s="1">
        <v>1</v>
      </c>
      <c r="E1915" s="1">
        <v>5999.99</v>
      </c>
      <c r="F1915" s="1">
        <v>0.07</v>
      </c>
      <c r="G1915">
        <f t="shared" si="29"/>
        <v>5999.92</v>
      </c>
      <c r="H1915" t="str">
        <f>VLOOKUP(C1915,[1]products!$A:$B,2,FALSE)</f>
        <v>Trek Silque SLR 7 Women's - 2017</v>
      </c>
      <c r="I1915">
        <f>VLOOKUP(C1915,[1]products!$A:$D,4,FALSE)</f>
        <v>7</v>
      </c>
      <c r="J1915" t="str">
        <f>VLOOKUP(I1915,[2]categories!$A$1:$B$8,2,FALSE)</f>
        <v>Road Bikes</v>
      </c>
    </row>
    <row r="1916" customHeight="1" spans="1:10">
      <c r="A1916" s="1">
        <v>681</v>
      </c>
      <c r="B1916" s="1">
        <v>1</v>
      </c>
      <c r="C1916" s="1">
        <v>82</v>
      </c>
      <c r="D1916" s="1">
        <v>1</v>
      </c>
      <c r="E1916" s="1">
        <v>659.99</v>
      </c>
      <c r="F1916" s="1">
        <v>0.05</v>
      </c>
      <c r="G1916">
        <f t="shared" si="29"/>
        <v>659.94</v>
      </c>
      <c r="H1916" t="str">
        <f>VLOOKUP(C1916,[1]products!$A:$B,2,FALSE)</f>
        <v>Electra Amsterdam Original 3i Ladies' - 2017</v>
      </c>
      <c r="I1916">
        <f>VLOOKUP(C1916,[1]products!$A:$D,4,FALSE)</f>
        <v>3</v>
      </c>
      <c r="J1916" t="str">
        <f>VLOOKUP(I1916,[2]categories!$A$1:$B$8,2,FALSE)</f>
        <v>Cruisers Bicycles</v>
      </c>
    </row>
    <row r="1917" customHeight="1" spans="1:10">
      <c r="A1917" s="1">
        <v>681</v>
      </c>
      <c r="B1917" s="1">
        <v>2</v>
      </c>
      <c r="C1917" s="1">
        <v>63</v>
      </c>
      <c r="D1917" s="1">
        <v>1</v>
      </c>
      <c r="E1917" s="1">
        <v>3499.99</v>
      </c>
      <c r="F1917" s="1">
        <v>0.07</v>
      </c>
      <c r="G1917">
        <f t="shared" si="29"/>
        <v>3499.92</v>
      </c>
      <c r="H1917" t="str">
        <f>VLOOKUP(C1917,[1]products!$A:$B,2,FALSE)</f>
        <v>Trek Boone Race Shop Limited - 2017</v>
      </c>
      <c r="I1917">
        <f>VLOOKUP(C1917,[1]products!$A:$D,4,FALSE)</f>
        <v>4</v>
      </c>
      <c r="J1917" t="str">
        <f>VLOOKUP(I1917,[2]categories!$A$1:$B$8,2,FALSE)</f>
        <v>Cyclocross Bicycles</v>
      </c>
    </row>
    <row r="1918" customHeight="1" spans="1:10">
      <c r="A1918" s="1">
        <v>681</v>
      </c>
      <c r="B1918" s="1">
        <v>3</v>
      </c>
      <c r="C1918" s="1">
        <v>61</v>
      </c>
      <c r="D1918" s="1">
        <v>1</v>
      </c>
      <c r="E1918" s="1">
        <v>4999.99</v>
      </c>
      <c r="F1918" s="1">
        <v>0.2</v>
      </c>
      <c r="G1918">
        <f t="shared" si="29"/>
        <v>4999.79</v>
      </c>
      <c r="H1918" t="str">
        <f>VLOOKUP(C1918,[1]products!$A:$B,2,FALSE)</f>
        <v>Trek Powerfly 8 FS Plus - 2017</v>
      </c>
      <c r="I1918">
        <f>VLOOKUP(C1918,[1]products!$A:$D,4,FALSE)</f>
        <v>5</v>
      </c>
      <c r="J1918" t="str">
        <f>VLOOKUP(I1918,[2]categories!$A$1:$B$8,2,FALSE)</f>
        <v>Electric Bikes</v>
      </c>
    </row>
    <row r="1919" customHeight="1" spans="1:10">
      <c r="A1919" s="1">
        <v>681</v>
      </c>
      <c r="B1919" s="1">
        <v>4</v>
      </c>
      <c r="C1919" s="1">
        <v>6</v>
      </c>
      <c r="D1919" s="1">
        <v>2</v>
      </c>
      <c r="E1919" s="1">
        <v>469.99</v>
      </c>
      <c r="F1919" s="1">
        <v>0.05</v>
      </c>
      <c r="G1919">
        <f t="shared" si="29"/>
        <v>939.93</v>
      </c>
      <c r="H1919" t="str">
        <f>VLOOKUP(C1919,[1]products!$A:$B,2,FALSE)</f>
        <v>Surly Ice Cream Truck Frameset - 2016</v>
      </c>
      <c r="I1919">
        <f>VLOOKUP(C1919,[1]products!$A:$D,4,FALSE)</f>
        <v>6</v>
      </c>
      <c r="J1919" t="str">
        <f>VLOOKUP(I1919,[2]categories!$A$1:$B$8,2,FALSE)</f>
        <v>Mountain Bikes</v>
      </c>
    </row>
    <row r="1920" customHeight="1" spans="1:10">
      <c r="A1920" s="1">
        <v>681</v>
      </c>
      <c r="B1920" s="1">
        <v>5</v>
      </c>
      <c r="C1920" s="1">
        <v>30</v>
      </c>
      <c r="D1920" s="1">
        <v>1</v>
      </c>
      <c r="E1920" s="1">
        <v>999.99</v>
      </c>
      <c r="F1920" s="1">
        <v>0.07</v>
      </c>
      <c r="G1920">
        <f t="shared" si="29"/>
        <v>999.92</v>
      </c>
      <c r="H1920" t="str">
        <f>VLOOKUP(C1920,[1]products!$A:$B,2,FALSE)</f>
        <v>Surly Ice Cream Truck Frameset - 2017</v>
      </c>
      <c r="I1920">
        <f>VLOOKUP(C1920,[1]products!$A:$D,4,FALSE)</f>
        <v>6</v>
      </c>
      <c r="J1920" t="str">
        <f>VLOOKUP(I1920,[2]categories!$A$1:$B$8,2,FALSE)</f>
        <v>Mountain Bikes</v>
      </c>
    </row>
    <row r="1921" customHeight="1" spans="1:10">
      <c r="A1921" s="1">
        <v>682</v>
      </c>
      <c r="B1921" s="1">
        <v>1</v>
      </c>
      <c r="C1921" s="1">
        <v>39</v>
      </c>
      <c r="D1921" s="1">
        <v>1</v>
      </c>
      <c r="E1921" s="1">
        <v>1499.99</v>
      </c>
      <c r="F1921" s="1">
        <v>0.2</v>
      </c>
      <c r="G1921">
        <f t="shared" si="29"/>
        <v>1499.79</v>
      </c>
      <c r="H1921" t="str">
        <f>VLOOKUP(C1921,[1]products!$A:$B,2,FALSE)</f>
        <v>Trek Stache 5 - 2017</v>
      </c>
      <c r="I1921">
        <f>VLOOKUP(C1921,[1]products!$A:$D,4,FALSE)</f>
        <v>6</v>
      </c>
      <c r="J1921" t="str">
        <f>VLOOKUP(I1921,[2]categories!$A$1:$B$8,2,FALSE)</f>
        <v>Mountain Bikes</v>
      </c>
    </row>
    <row r="1922" customHeight="1" spans="1:10">
      <c r="A1922" s="1">
        <v>682</v>
      </c>
      <c r="B1922" s="1">
        <v>2</v>
      </c>
      <c r="C1922" s="1">
        <v>60</v>
      </c>
      <c r="D1922" s="1">
        <v>2</v>
      </c>
      <c r="E1922" s="1">
        <v>1559.99</v>
      </c>
      <c r="F1922" s="1">
        <v>0.2</v>
      </c>
      <c r="G1922">
        <f t="shared" si="29"/>
        <v>3119.78</v>
      </c>
      <c r="H1922" t="str">
        <f>VLOOKUP(C1922,[1]products!$A:$B,2,FALSE)</f>
        <v>Sun Bicycles ElectroLite - 2017</v>
      </c>
      <c r="I1922">
        <f>VLOOKUP(C1922,[1]products!$A:$D,4,FALSE)</f>
        <v>5</v>
      </c>
      <c r="J1922" t="str">
        <f>VLOOKUP(I1922,[2]categories!$A$1:$B$8,2,FALSE)</f>
        <v>Electric Bikes</v>
      </c>
    </row>
    <row r="1923" customHeight="1" spans="1:10">
      <c r="A1923" s="1">
        <v>682</v>
      </c>
      <c r="B1923" s="1">
        <v>3</v>
      </c>
      <c r="C1923" s="1">
        <v>99</v>
      </c>
      <c r="D1923" s="1">
        <v>1</v>
      </c>
      <c r="E1923" s="1">
        <v>299.99</v>
      </c>
      <c r="F1923" s="1">
        <v>0.2</v>
      </c>
      <c r="G1923">
        <f t="shared" ref="G1923:G1986" si="30">(E1923*D1923)-F1923</f>
        <v>299.79</v>
      </c>
      <c r="H1923" t="str">
        <f>VLOOKUP(C1923,[1]products!$A:$B,2,FALSE)</f>
        <v>Electra Sugar Skulls 1 (20-inch) - Girl's - 2017</v>
      </c>
      <c r="I1923">
        <f>VLOOKUP(C1923,[1]products!$A:$D,4,FALSE)</f>
        <v>1</v>
      </c>
      <c r="J1923" t="str">
        <f>VLOOKUP(I1923,[2]categories!$A$1:$B$8,2,FALSE)</f>
        <v>Children Bicycles</v>
      </c>
    </row>
    <row r="1924" customHeight="1" spans="1:10">
      <c r="A1924" s="1">
        <v>683</v>
      </c>
      <c r="B1924" s="1">
        <v>1</v>
      </c>
      <c r="C1924" s="1">
        <v>2</v>
      </c>
      <c r="D1924" s="1">
        <v>2</v>
      </c>
      <c r="E1924" s="1">
        <v>749.99</v>
      </c>
      <c r="F1924" s="1">
        <v>0.1</v>
      </c>
      <c r="G1924">
        <f t="shared" si="30"/>
        <v>1499.88</v>
      </c>
      <c r="H1924" t="str">
        <f>VLOOKUP(C1924,[1]products!$A:$B,2,FALSE)</f>
        <v>Ritchey Timberwolf Frameset - 2016</v>
      </c>
      <c r="I1924">
        <f>VLOOKUP(C1924,[1]products!$A:$D,4,FALSE)</f>
        <v>6</v>
      </c>
      <c r="J1924" t="str">
        <f>VLOOKUP(I1924,[2]categories!$A$1:$B$8,2,FALSE)</f>
        <v>Mountain Bikes</v>
      </c>
    </row>
    <row r="1925" customHeight="1" spans="1:10">
      <c r="A1925" s="1">
        <v>684</v>
      </c>
      <c r="B1925" s="1">
        <v>1</v>
      </c>
      <c r="C1925" s="1">
        <v>56</v>
      </c>
      <c r="D1925" s="1">
        <v>1</v>
      </c>
      <c r="E1925" s="1">
        <v>5499.99</v>
      </c>
      <c r="F1925" s="1">
        <v>0.07</v>
      </c>
      <c r="G1925">
        <f t="shared" si="30"/>
        <v>5499.92</v>
      </c>
      <c r="H1925" t="str">
        <f>VLOOKUP(C1925,[1]products!$A:$B,2,FALSE)</f>
        <v>Trek Domane SLR 6 Disc - 2017</v>
      </c>
      <c r="I1925">
        <f>VLOOKUP(C1925,[1]products!$A:$D,4,FALSE)</f>
        <v>7</v>
      </c>
      <c r="J1925" t="str">
        <f>VLOOKUP(I1925,[2]categories!$A$1:$B$8,2,FALSE)</f>
        <v>Road Bikes</v>
      </c>
    </row>
    <row r="1926" customHeight="1" spans="1:10">
      <c r="A1926" s="1">
        <v>684</v>
      </c>
      <c r="B1926" s="1">
        <v>2</v>
      </c>
      <c r="C1926" s="1">
        <v>33</v>
      </c>
      <c r="D1926" s="1">
        <v>1</v>
      </c>
      <c r="E1926" s="1">
        <v>469.99</v>
      </c>
      <c r="F1926" s="1">
        <v>0.1</v>
      </c>
      <c r="G1926">
        <f t="shared" si="30"/>
        <v>469.89</v>
      </c>
      <c r="H1926" t="str">
        <f>VLOOKUP(C1926,[1]products!$A:$B,2,FALSE)</f>
        <v>Surly Wednesday Frameset - 2017</v>
      </c>
      <c r="I1926">
        <f>VLOOKUP(C1926,[1]products!$A:$D,4,FALSE)</f>
        <v>6</v>
      </c>
      <c r="J1926" t="str">
        <f>VLOOKUP(I1926,[2]categories!$A$1:$B$8,2,FALSE)</f>
        <v>Mountain Bikes</v>
      </c>
    </row>
    <row r="1927" customHeight="1" spans="1:10">
      <c r="A1927" s="1">
        <v>685</v>
      </c>
      <c r="B1927" s="1">
        <v>1</v>
      </c>
      <c r="C1927" s="1">
        <v>59</v>
      </c>
      <c r="D1927" s="1">
        <v>1</v>
      </c>
      <c r="E1927" s="1">
        <v>2599.99</v>
      </c>
      <c r="F1927" s="1">
        <v>0.05</v>
      </c>
      <c r="G1927">
        <f t="shared" si="30"/>
        <v>2599.94</v>
      </c>
      <c r="H1927" t="str">
        <f>VLOOKUP(C1927,[1]products!$A:$B,2,FALSE)</f>
        <v>Trek Domane S 5 Disc - 2017</v>
      </c>
      <c r="I1927">
        <f>VLOOKUP(C1927,[1]products!$A:$D,4,FALSE)</f>
        <v>7</v>
      </c>
      <c r="J1927" t="str">
        <f>VLOOKUP(I1927,[2]categories!$A$1:$B$8,2,FALSE)</f>
        <v>Road Bikes</v>
      </c>
    </row>
    <row r="1928" customHeight="1" spans="1:10">
      <c r="A1928" s="1">
        <v>685</v>
      </c>
      <c r="B1928" s="1">
        <v>2</v>
      </c>
      <c r="C1928" s="1">
        <v>48</v>
      </c>
      <c r="D1928" s="1">
        <v>2</v>
      </c>
      <c r="E1928" s="1">
        <v>1499.99</v>
      </c>
      <c r="F1928" s="1">
        <v>0.05</v>
      </c>
      <c r="G1928">
        <f t="shared" si="30"/>
        <v>2999.93</v>
      </c>
      <c r="H1928" t="str">
        <f>VLOOKUP(C1928,[1]products!$A:$B,2,FALSE)</f>
        <v>Trek Emonda S 4 - 2017</v>
      </c>
      <c r="I1928">
        <f>VLOOKUP(C1928,[1]products!$A:$D,4,FALSE)</f>
        <v>7</v>
      </c>
      <c r="J1928" t="str">
        <f>VLOOKUP(I1928,[2]categories!$A$1:$B$8,2,FALSE)</f>
        <v>Road Bikes</v>
      </c>
    </row>
    <row r="1929" customHeight="1" spans="1:10">
      <c r="A1929" s="1">
        <v>685</v>
      </c>
      <c r="B1929" s="1">
        <v>3</v>
      </c>
      <c r="C1929" s="1">
        <v>107</v>
      </c>
      <c r="D1929" s="1">
        <v>1</v>
      </c>
      <c r="E1929" s="1">
        <v>416.99</v>
      </c>
      <c r="F1929" s="1">
        <v>0.05</v>
      </c>
      <c r="G1929">
        <f t="shared" si="30"/>
        <v>416.94</v>
      </c>
      <c r="H1929" t="str">
        <f>VLOOKUP(C1929,[1]products!$A:$B,2,FALSE)</f>
        <v>Sun Bicycles Cruz 7 - 2017</v>
      </c>
      <c r="I1929">
        <f>VLOOKUP(C1929,[1]products!$A:$D,4,FALSE)</f>
        <v>2</v>
      </c>
      <c r="J1929" t="str">
        <f>VLOOKUP(I1929,[2]categories!$A$1:$B$8,2,FALSE)</f>
        <v>Comfort Bicycles</v>
      </c>
    </row>
    <row r="1930" customHeight="1" spans="1:10">
      <c r="A1930" s="1">
        <v>685</v>
      </c>
      <c r="B1930" s="1">
        <v>4</v>
      </c>
      <c r="C1930" s="1">
        <v>98</v>
      </c>
      <c r="D1930" s="1">
        <v>2</v>
      </c>
      <c r="E1930" s="1">
        <v>489.99</v>
      </c>
      <c r="F1930" s="1">
        <v>0.2</v>
      </c>
      <c r="G1930">
        <f t="shared" si="30"/>
        <v>979.78</v>
      </c>
      <c r="H1930" t="str">
        <f>VLOOKUP(C1930,[1]products!$A:$B,2,FALSE)</f>
        <v>Electra Straight 8 3i (20-inch) - Boy's - 2017</v>
      </c>
      <c r="I1930">
        <f>VLOOKUP(C1930,[1]products!$A:$D,4,FALSE)</f>
        <v>1</v>
      </c>
      <c r="J1930" t="str">
        <f>VLOOKUP(I1930,[2]categories!$A$1:$B$8,2,FALSE)</f>
        <v>Children Bicycles</v>
      </c>
    </row>
    <row r="1931" customHeight="1" spans="1:10">
      <c r="A1931" s="1">
        <v>685</v>
      </c>
      <c r="B1931" s="1">
        <v>5</v>
      </c>
      <c r="C1931" s="1">
        <v>56</v>
      </c>
      <c r="D1931" s="1">
        <v>2</v>
      </c>
      <c r="E1931" s="1">
        <v>5499.99</v>
      </c>
      <c r="F1931" s="1">
        <v>0.05</v>
      </c>
      <c r="G1931">
        <f t="shared" si="30"/>
        <v>10999.93</v>
      </c>
      <c r="H1931" t="str">
        <f>VLOOKUP(C1931,[1]products!$A:$B,2,FALSE)</f>
        <v>Trek Domane SLR 6 Disc - 2017</v>
      </c>
      <c r="I1931">
        <f>VLOOKUP(C1931,[1]products!$A:$D,4,FALSE)</f>
        <v>7</v>
      </c>
      <c r="J1931" t="str">
        <f>VLOOKUP(I1931,[2]categories!$A$1:$B$8,2,FALSE)</f>
        <v>Road Bikes</v>
      </c>
    </row>
    <row r="1932" customHeight="1" spans="1:10">
      <c r="A1932" s="1">
        <v>686</v>
      </c>
      <c r="B1932" s="1">
        <v>1</v>
      </c>
      <c r="C1932" s="1">
        <v>16</v>
      </c>
      <c r="D1932" s="1">
        <v>1</v>
      </c>
      <c r="E1932" s="1">
        <v>599.99</v>
      </c>
      <c r="F1932" s="1">
        <v>0.2</v>
      </c>
      <c r="G1932">
        <f t="shared" si="30"/>
        <v>599.79</v>
      </c>
      <c r="H1932" t="str">
        <f>VLOOKUP(C1932,[1]products!$A:$B,2,FALSE)</f>
        <v>Electra Townie Original 7D EQ - 2016</v>
      </c>
      <c r="I1932">
        <f>VLOOKUP(C1932,[1]products!$A:$D,4,FALSE)</f>
        <v>3</v>
      </c>
      <c r="J1932" t="str">
        <f>VLOOKUP(I1932,[2]categories!$A$1:$B$8,2,FALSE)</f>
        <v>Cruisers Bicycles</v>
      </c>
    </row>
    <row r="1933" customHeight="1" spans="1:10">
      <c r="A1933" s="1">
        <v>686</v>
      </c>
      <c r="B1933" s="1">
        <v>2</v>
      </c>
      <c r="C1933" s="1">
        <v>30</v>
      </c>
      <c r="D1933" s="1">
        <v>1</v>
      </c>
      <c r="E1933" s="1">
        <v>999.99</v>
      </c>
      <c r="F1933" s="1">
        <v>0.1</v>
      </c>
      <c r="G1933">
        <f t="shared" si="30"/>
        <v>999.89</v>
      </c>
      <c r="H1933" t="str">
        <f>VLOOKUP(C1933,[1]products!$A:$B,2,FALSE)</f>
        <v>Surly Ice Cream Truck Frameset - 2017</v>
      </c>
      <c r="I1933">
        <f>VLOOKUP(C1933,[1]products!$A:$D,4,FALSE)</f>
        <v>6</v>
      </c>
      <c r="J1933" t="str">
        <f>VLOOKUP(I1933,[2]categories!$A$1:$B$8,2,FALSE)</f>
        <v>Mountain Bikes</v>
      </c>
    </row>
    <row r="1934" customHeight="1" spans="1:10">
      <c r="A1934" s="1">
        <v>686</v>
      </c>
      <c r="B1934" s="1">
        <v>3</v>
      </c>
      <c r="C1934" s="1">
        <v>88</v>
      </c>
      <c r="D1934" s="1">
        <v>2</v>
      </c>
      <c r="E1934" s="1">
        <v>189.99</v>
      </c>
      <c r="F1934" s="1">
        <v>0.2</v>
      </c>
      <c r="G1934">
        <f t="shared" si="30"/>
        <v>379.78</v>
      </c>
      <c r="H1934" t="str">
        <f>VLOOKUP(C1934,[1]products!$A:$B,2,FALSE)</f>
        <v>Trek Precaliber 12 Girls - 2017</v>
      </c>
      <c r="I1934">
        <f>VLOOKUP(C1934,[1]products!$A:$D,4,FALSE)</f>
        <v>1</v>
      </c>
      <c r="J1934" t="str">
        <f>VLOOKUP(I1934,[2]categories!$A$1:$B$8,2,FALSE)</f>
        <v>Children Bicycles</v>
      </c>
    </row>
    <row r="1935" customHeight="1" spans="1:10">
      <c r="A1935" s="1">
        <v>686</v>
      </c>
      <c r="B1935" s="1">
        <v>4</v>
      </c>
      <c r="C1935" s="1">
        <v>19</v>
      </c>
      <c r="D1935" s="1">
        <v>2</v>
      </c>
      <c r="E1935" s="1">
        <v>449</v>
      </c>
      <c r="F1935" s="1">
        <v>0.2</v>
      </c>
      <c r="G1935">
        <f t="shared" si="30"/>
        <v>897.8</v>
      </c>
      <c r="H1935" t="str">
        <f>VLOOKUP(C1935,[1]products!$A:$B,2,FALSE)</f>
        <v>Pure Cycles William 3-Speed - 2016</v>
      </c>
      <c r="I1935">
        <f>VLOOKUP(C1935,[1]products!$A:$D,4,FALSE)</f>
        <v>3</v>
      </c>
      <c r="J1935" t="str">
        <f>VLOOKUP(I1935,[2]categories!$A$1:$B$8,2,FALSE)</f>
        <v>Cruisers Bicycles</v>
      </c>
    </row>
    <row r="1936" customHeight="1" spans="1:10">
      <c r="A1936" s="1">
        <v>686</v>
      </c>
      <c r="B1936" s="1">
        <v>5</v>
      </c>
      <c r="C1936" s="1">
        <v>104</v>
      </c>
      <c r="D1936" s="1">
        <v>1</v>
      </c>
      <c r="E1936" s="1">
        <v>481.99</v>
      </c>
      <c r="F1936" s="1">
        <v>0.2</v>
      </c>
      <c r="G1936">
        <f t="shared" si="30"/>
        <v>481.79</v>
      </c>
      <c r="H1936" t="str">
        <f>VLOOKUP(C1936,[1]products!$A:$B,2,FALSE)</f>
        <v>Sun Bicycles Streamway - 2017</v>
      </c>
      <c r="I1936">
        <f>VLOOKUP(C1936,[1]products!$A:$D,4,FALSE)</f>
        <v>2</v>
      </c>
      <c r="J1936" t="str">
        <f>VLOOKUP(I1936,[2]categories!$A$1:$B$8,2,FALSE)</f>
        <v>Comfort Bicycles</v>
      </c>
    </row>
    <row r="1937" customHeight="1" spans="1:10">
      <c r="A1937" s="1">
        <v>687</v>
      </c>
      <c r="B1937" s="1">
        <v>1</v>
      </c>
      <c r="C1937" s="1">
        <v>48</v>
      </c>
      <c r="D1937" s="1">
        <v>2</v>
      </c>
      <c r="E1937" s="1">
        <v>1499.99</v>
      </c>
      <c r="F1937" s="1">
        <v>0.05</v>
      </c>
      <c r="G1937">
        <f t="shared" si="30"/>
        <v>2999.93</v>
      </c>
      <c r="H1937" t="str">
        <f>VLOOKUP(C1937,[1]products!$A:$B,2,FALSE)</f>
        <v>Trek Emonda S 4 - 2017</v>
      </c>
      <c r="I1937">
        <f>VLOOKUP(C1937,[1]products!$A:$D,4,FALSE)</f>
        <v>7</v>
      </c>
      <c r="J1937" t="str">
        <f>VLOOKUP(I1937,[2]categories!$A$1:$B$8,2,FALSE)</f>
        <v>Road Bikes</v>
      </c>
    </row>
    <row r="1938" customHeight="1" spans="1:10">
      <c r="A1938" s="1">
        <v>687</v>
      </c>
      <c r="B1938" s="1">
        <v>2</v>
      </c>
      <c r="C1938" s="1">
        <v>95</v>
      </c>
      <c r="D1938" s="1">
        <v>1</v>
      </c>
      <c r="E1938" s="1">
        <v>299.99</v>
      </c>
      <c r="F1938" s="1">
        <v>0.07</v>
      </c>
      <c r="G1938">
        <f t="shared" si="30"/>
        <v>299.92</v>
      </c>
      <c r="H1938" t="str">
        <f>VLOOKUP(C1938,[1]products!$A:$B,2,FALSE)</f>
        <v>Electra Girl's Hawaii 1 16" - 2017</v>
      </c>
      <c r="I1938">
        <f>VLOOKUP(C1938,[1]products!$A:$D,4,FALSE)</f>
        <v>1</v>
      </c>
      <c r="J1938" t="str">
        <f>VLOOKUP(I1938,[2]categories!$A$1:$B$8,2,FALSE)</f>
        <v>Children Bicycles</v>
      </c>
    </row>
    <row r="1939" customHeight="1" spans="1:10">
      <c r="A1939" s="1">
        <v>687</v>
      </c>
      <c r="B1939" s="1">
        <v>3</v>
      </c>
      <c r="C1939" s="1">
        <v>5</v>
      </c>
      <c r="D1939" s="1">
        <v>2</v>
      </c>
      <c r="E1939" s="1">
        <v>1320.99</v>
      </c>
      <c r="F1939" s="1">
        <v>0.2</v>
      </c>
      <c r="G1939">
        <f t="shared" si="30"/>
        <v>2641.78</v>
      </c>
      <c r="H1939" t="str">
        <f>VLOOKUP(C1939,[1]products!$A:$B,2,FALSE)</f>
        <v>Heller Shagamaw Frame - 2016</v>
      </c>
      <c r="I1939">
        <f>VLOOKUP(C1939,[1]products!$A:$D,4,FALSE)</f>
        <v>6</v>
      </c>
      <c r="J1939" t="str">
        <f>VLOOKUP(I1939,[2]categories!$A$1:$B$8,2,FALSE)</f>
        <v>Mountain Bikes</v>
      </c>
    </row>
    <row r="1940" customHeight="1" spans="1:10">
      <c r="A1940" s="1">
        <v>687</v>
      </c>
      <c r="B1940" s="1">
        <v>4</v>
      </c>
      <c r="C1940" s="1">
        <v>83</v>
      </c>
      <c r="D1940" s="1">
        <v>1</v>
      </c>
      <c r="E1940" s="1">
        <v>149.99</v>
      </c>
      <c r="F1940" s="1">
        <v>0.07</v>
      </c>
      <c r="G1940">
        <f t="shared" si="30"/>
        <v>149.92</v>
      </c>
      <c r="H1940" t="str">
        <f>VLOOKUP(C1940,[1]products!$A:$B,2,FALSE)</f>
        <v>Trek Boy's Kickster - 2015/2017</v>
      </c>
      <c r="I1940">
        <f>VLOOKUP(C1940,[1]products!$A:$D,4,FALSE)</f>
        <v>1</v>
      </c>
      <c r="J1940" t="str">
        <f>VLOOKUP(I1940,[2]categories!$A$1:$B$8,2,FALSE)</f>
        <v>Children Bicycles</v>
      </c>
    </row>
    <row r="1941" customHeight="1" spans="1:10">
      <c r="A1941" s="1">
        <v>688</v>
      </c>
      <c r="B1941" s="1">
        <v>1</v>
      </c>
      <c r="C1941" s="1">
        <v>8</v>
      </c>
      <c r="D1941" s="1">
        <v>1</v>
      </c>
      <c r="E1941" s="1">
        <v>1799.99</v>
      </c>
      <c r="F1941" s="1">
        <v>0.1</v>
      </c>
      <c r="G1941">
        <f t="shared" si="30"/>
        <v>1799.89</v>
      </c>
      <c r="H1941" t="str">
        <f>VLOOKUP(C1941,[1]products!$A:$B,2,FALSE)</f>
        <v>Trek Remedy 29 Carbon Frameset - 2016</v>
      </c>
      <c r="I1941">
        <f>VLOOKUP(C1941,[1]products!$A:$D,4,FALSE)</f>
        <v>6</v>
      </c>
      <c r="J1941" t="str">
        <f>VLOOKUP(I1941,[2]categories!$A$1:$B$8,2,FALSE)</f>
        <v>Mountain Bikes</v>
      </c>
    </row>
    <row r="1942" customHeight="1" spans="1:10">
      <c r="A1942" s="1">
        <v>688</v>
      </c>
      <c r="B1942" s="1">
        <v>2</v>
      </c>
      <c r="C1942" s="1">
        <v>88</v>
      </c>
      <c r="D1942" s="1">
        <v>1</v>
      </c>
      <c r="E1942" s="1">
        <v>189.99</v>
      </c>
      <c r="F1942" s="1">
        <v>0.05</v>
      </c>
      <c r="G1942">
        <f t="shared" si="30"/>
        <v>189.94</v>
      </c>
      <c r="H1942" t="str">
        <f>VLOOKUP(C1942,[1]products!$A:$B,2,FALSE)</f>
        <v>Trek Precaliber 12 Girls - 2017</v>
      </c>
      <c r="I1942">
        <f>VLOOKUP(C1942,[1]products!$A:$D,4,FALSE)</f>
        <v>1</v>
      </c>
      <c r="J1942" t="str">
        <f>VLOOKUP(I1942,[2]categories!$A$1:$B$8,2,FALSE)</f>
        <v>Children Bicycles</v>
      </c>
    </row>
    <row r="1943" customHeight="1" spans="1:10">
      <c r="A1943" s="1">
        <v>689</v>
      </c>
      <c r="B1943" s="1">
        <v>1</v>
      </c>
      <c r="C1943" s="1">
        <v>33</v>
      </c>
      <c r="D1943" s="1">
        <v>2</v>
      </c>
      <c r="E1943" s="1">
        <v>469.99</v>
      </c>
      <c r="F1943" s="1">
        <v>0.1</v>
      </c>
      <c r="G1943">
        <f t="shared" si="30"/>
        <v>939.88</v>
      </c>
      <c r="H1943" t="str">
        <f>VLOOKUP(C1943,[1]products!$A:$B,2,FALSE)</f>
        <v>Surly Wednesday Frameset - 2017</v>
      </c>
      <c r="I1943">
        <f>VLOOKUP(C1943,[1]products!$A:$D,4,FALSE)</f>
        <v>6</v>
      </c>
      <c r="J1943" t="str">
        <f>VLOOKUP(I1943,[2]categories!$A$1:$B$8,2,FALSE)</f>
        <v>Mountain Bikes</v>
      </c>
    </row>
    <row r="1944" customHeight="1" spans="1:10">
      <c r="A1944" s="1">
        <v>690</v>
      </c>
      <c r="B1944" s="1">
        <v>1</v>
      </c>
      <c r="C1944" s="1">
        <v>84</v>
      </c>
      <c r="D1944" s="1">
        <v>1</v>
      </c>
      <c r="E1944" s="1">
        <v>109.99</v>
      </c>
      <c r="F1944" s="1">
        <v>0.2</v>
      </c>
      <c r="G1944">
        <f t="shared" si="30"/>
        <v>109.79</v>
      </c>
      <c r="H1944" t="str">
        <f>VLOOKUP(C1944,[1]products!$A:$B,2,FALSE)</f>
        <v>Sun Bicycles Lil Kitt'n - 2017</v>
      </c>
      <c r="I1944">
        <f>VLOOKUP(C1944,[1]products!$A:$D,4,FALSE)</f>
        <v>1</v>
      </c>
      <c r="J1944" t="str">
        <f>VLOOKUP(I1944,[2]categories!$A$1:$B$8,2,FALSE)</f>
        <v>Children Bicycles</v>
      </c>
    </row>
    <row r="1945" customHeight="1" spans="1:10">
      <c r="A1945" s="1">
        <v>690</v>
      </c>
      <c r="B1945" s="1">
        <v>2</v>
      </c>
      <c r="C1945" s="1">
        <v>11</v>
      </c>
      <c r="D1945" s="1">
        <v>2</v>
      </c>
      <c r="E1945" s="1">
        <v>1680.99</v>
      </c>
      <c r="F1945" s="1">
        <v>0.07</v>
      </c>
      <c r="G1945">
        <f t="shared" si="30"/>
        <v>3361.91</v>
      </c>
      <c r="H1945" t="str">
        <f>VLOOKUP(C1945,[1]products!$A:$B,2,FALSE)</f>
        <v>Surly Straggler 650b - 2016</v>
      </c>
      <c r="I1945">
        <f>VLOOKUP(C1945,[1]products!$A:$D,4,FALSE)</f>
        <v>4</v>
      </c>
      <c r="J1945" t="str">
        <f>VLOOKUP(I1945,[2]categories!$A$1:$B$8,2,FALSE)</f>
        <v>Cyclocross Bicycles</v>
      </c>
    </row>
    <row r="1946" customHeight="1" spans="1:10">
      <c r="A1946" s="1">
        <v>690</v>
      </c>
      <c r="B1946" s="1">
        <v>3</v>
      </c>
      <c r="C1946" s="1">
        <v>85</v>
      </c>
      <c r="D1946" s="1">
        <v>1</v>
      </c>
      <c r="E1946" s="1">
        <v>329.99</v>
      </c>
      <c r="F1946" s="1">
        <v>0.05</v>
      </c>
      <c r="G1946">
        <f t="shared" si="30"/>
        <v>329.94</v>
      </c>
      <c r="H1946" t="str">
        <f>VLOOKUP(C1946,[1]products!$A:$B,2,FALSE)</f>
        <v>Haro Downtown 16 - 2017</v>
      </c>
      <c r="I1946">
        <f>VLOOKUP(C1946,[1]products!$A:$D,4,FALSE)</f>
        <v>1</v>
      </c>
      <c r="J1946" t="str">
        <f>VLOOKUP(I1946,[2]categories!$A$1:$B$8,2,FALSE)</f>
        <v>Children Bicycles</v>
      </c>
    </row>
    <row r="1947" customHeight="1" spans="1:10">
      <c r="A1947" s="1">
        <v>690</v>
      </c>
      <c r="B1947" s="1">
        <v>4</v>
      </c>
      <c r="C1947" s="1">
        <v>109</v>
      </c>
      <c r="D1947" s="1">
        <v>2</v>
      </c>
      <c r="E1947" s="1">
        <v>416.99</v>
      </c>
      <c r="F1947" s="1">
        <v>0.2</v>
      </c>
      <c r="G1947">
        <f t="shared" si="30"/>
        <v>833.78</v>
      </c>
      <c r="H1947" t="str">
        <f>VLOOKUP(C1947,[1]products!$A:$B,2,FALSE)</f>
        <v>Sun Bicycles Cruz 7 - Women's - 2017</v>
      </c>
      <c r="I1947">
        <f>VLOOKUP(C1947,[1]products!$A:$D,4,FALSE)</f>
        <v>2</v>
      </c>
      <c r="J1947" t="str">
        <f>VLOOKUP(I1947,[2]categories!$A$1:$B$8,2,FALSE)</f>
        <v>Comfort Bicycles</v>
      </c>
    </row>
    <row r="1948" customHeight="1" spans="1:10">
      <c r="A1948" s="1">
        <v>691</v>
      </c>
      <c r="B1948" s="1">
        <v>1</v>
      </c>
      <c r="C1948" s="1">
        <v>23</v>
      </c>
      <c r="D1948" s="1">
        <v>2</v>
      </c>
      <c r="E1948" s="1">
        <v>299.99</v>
      </c>
      <c r="F1948" s="1">
        <v>0.05</v>
      </c>
      <c r="G1948">
        <f t="shared" si="30"/>
        <v>599.93</v>
      </c>
      <c r="H1948" t="str">
        <f>VLOOKUP(C1948,[1]products!$A:$B,2,FALSE)</f>
        <v>Electra Girl's Hawaii 1 (20-inch) - 2015/2016</v>
      </c>
      <c r="I1948">
        <f>VLOOKUP(C1948,[1]products!$A:$D,4,FALSE)</f>
        <v>1</v>
      </c>
      <c r="J1948" t="str">
        <f>VLOOKUP(I1948,[2]categories!$A$1:$B$8,2,FALSE)</f>
        <v>Children Bicycles</v>
      </c>
    </row>
    <row r="1949" customHeight="1" spans="1:10">
      <c r="A1949" s="1">
        <v>691</v>
      </c>
      <c r="B1949" s="1">
        <v>2</v>
      </c>
      <c r="C1949" s="1">
        <v>5</v>
      </c>
      <c r="D1949" s="1">
        <v>2</v>
      </c>
      <c r="E1949" s="1">
        <v>1320.99</v>
      </c>
      <c r="F1949" s="1">
        <v>0.1</v>
      </c>
      <c r="G1949">
        <f t="shared" si="30"/>
        <v>2641.88</v>
      </c>
      <c r="H1949" t="str">
        <f>VLOOKUP(C1949,[1]products!$A:$B,2,FALSE)</f>
        <v>Heller Shagamaw Frame - 2016</v>
      </c>
      <c r="I1949">
        <f>VLOOKUP(C1949,[1]products!$A:$D,4,FALSE)</f>
        <v>6</v>
      </c>
      <c r="J1949" t="str">
        <f>VLOOKUP(I1949,[2]categories!$A$1:$B$8,2,FALSE)</f>
        <v>Mountain Bikes</v>
      </c>
    </row>
    <row r="1950" customHeight="1" spans="1:10">
      <c r="A1950" s="1">
        <v>691</v>
      </c>
      <c r="B1950" s="1">
        <v>3</v>
      </c>
      <c r="C1950" s="1">
        <v>55</v>
      </c>
      <c r="D1950" s="1">
        <v>2</v>
      </c>
      <c r="E1950" s="1">
        <v>2699.99</v>
      </c>
      <c r="F1950" s="1">
        <v>0.2</v>
      </c>
      <c r="G1950">
        <f t="shared" si="30"/>
        <v>5399.78</v>
      </c>
      <c r="H1950" t="str">
        <f>VLOOKUP(C1950,[1]products!$A:$B,2,FALSE)</f>
        <v>Trek Domane S 6 - 2017</v>
      </c>
      <c r="I1950">
        <f>VLOOKUP(C1950,[1]products!$A:$D,4,FALSE)</f>
        <v>7</v>
      </c>
      <c r="J1950" t="str">
        <f>VLOOKUP(I1950,[2]categories!$A$1:$B$8,2,FALSE)</f>
        <v>Road Bikes</v>
      </c>
    </row>
    <row r="1951" customHeight="1" spans="1:10">
      <c r="A1951" s="1">
        <v>691</v>
      </c>
      <c r="B1951" s="1">
        <v>4</v>
      </c>
      <c r="C1951" s="1">
        <v>20</v>
      </c>
      <c r="D1951" s="1">
        <v>1</v>
      </c>
      <c r="E1951" s="1">
        <v>599.99</v>
      </c>
      <c r="F1951" s="1">
        <v>0.2</v>
      </c>
      <c r="G1951">
        <f t="shared" si="30"/>
        <v>599.79</v>
      </c>
      <c r="H1951" t="str">
        <f>VLOOKUP(C1951,[1]products!$A:$B,2,FALSE)</f>
        <v>Electra Townie Original 7D EQ - Women's - 2016</v>
      </c>
      <c r="I1951">
        <f>VLOOKUP(C1951,[1]products!$A:$D,4,FALSE)</f>
        <v>3</v>
      </c>
      <c r="J1951" t="str">
        <f>VLOOKUP(I1951,[2]categories!$A$1:$B$8,2,FALSE)</f>
        <v>Cruisers Bicycles</v>
      </c>
    </row>
    <row r="1952" customHeight="1" spans="1:10">
      <c r="A1952" s="1">
        <v>692</v>
      </c>
      <c r="B1952" s="1">
        <v>1</v>
      </c>
      <c r="C1952" s="1">
        <v>59</v>
      </c>
      <c r="D1952" s="1">
        <v>1</v>
      </c>
      <c r="E1952" s="1">
        <v>2599.99</v>
      </c>
      <c r="F1952" s="1">
        <v>0.2</v>
      </c>
      <c r="G1952">
        <f t="shared" si="30"/>
        <v>2599.79</v>
      </c>
      <c r="H1952" t="str">
        <f>VLOOKUP(C1952,[1]products!$A:$B,2,FALSE)</f>
        <v>Trek Domane S 5 Disc - 2017</v>
      </c>
      <c r="I1952">
        <f>VLOOKUP(C1952,[1]products!$A:$D,4,FALSE)</f>
        <v>7</v>
      </c>
      <c r="J1952" t="str">
        <f>VLOOKUP(I1952,[2]categories!$A$1:$B$8,2,FALSE)</f>
        <v>Road Bikes</v>
      </c>
    </row>
    <row r="1953" customHeight="1" spans="1:10">
      <c r="A1953" s="1">
        <v>692</v>
      </c>
      <c r="B1953" s="1">
        <v>2</v>
      </c>
      <c r="C1953" s="1">
        <v>75</v>
      </c>
      <c r="D1953" s="1">
        <v>1</v>
      </c>
      <c r="E1953" s="1">
        <v>599.99</v>
      </c>
      <c r="F1953" s="1">
        <v>0.07</v>
      </c>
      <c r="G1953">
        <f t="shared" si="30"/>
        <v>599.92</v>
      </c>
      <c r="H1953" t="str">
        <f>VLOOKUP(C1953,[1]products!$A:$B,2,FALSE)</f>
        <v>Electra Cruiser Lux Fat Tire 1 Ladies - 2017</v>
      </c>
      <c r="I1953">
        <f>VLOOKUP(C1953,[1]products!$A:$D,4,FALSE)</f>
        <v>3</v>
      </c>
      <c r="J1953" t="str">
        <f>VLOOKUP(I1953,[2]categories!$A$1:$B$8,2,FALSE)</f>
        <v>Cruisers Bicycles</v>
      </c>
    </row>
    <row r="1954" customHeight="1" spans="1:10">
      <c r="A1954" s="1">
        <v>692</v>
      </c>
      <c r="B1954" s="1">
        <v>3</v>
      </c>
      <c r="C1954" s="1">
        <v>15</v>
      </c>
      <c r="D1954" s="1">
        <v>2</v>
      </c>
      <c r="E1954" s="1">
        <v>529.99</v>
      </c>
      <c r="F1954" s="1">
        <v>0.07</v>
      </c>
      <c r="G1954">
        <f t="shared" si="30"/>
        <v>1059.91</v>
      </c>
      <c r="H1954" t="str">
        <f>VLOOKUP(C1954,[1]products!$A:$B,2,FALSE)</f>
        <v>Electra Moto 1 - 2016</v>
      </c>
      <c r="I1954">
        <f>VLOOKUP(C1954,[1]products!$A:$D,4,FALSE)</f>
        <v>3</v>
      </c>
      <c r="J1954" t="str">
        <f>VLOOKUP(I1954,[2]categories!$A$1:$B$8,2,FALSE)</f>
        <v>Cruisers Bicycles</v>
      </c>
    </row>
    <row r="1955" customHeight="1" spans="1:10">
      <c r="A1955" s="1">
        <v>692</v>
      </c>
      <c r="B1955" s="1">
        <v>4</v>
      </c>
      <c r="C1955" s="1">
        <v>56</v>
      </c>
      <c r="D1955" s="1">
        <v>2</v>
      </c>
      <c r="E1955" s="1">
        <v>5499.99</v>
      </c>
      <c r="F1955" s="1">
        <v>0.1</v>
      </c>
      <c r="G1955">
        <f t="shared" si="30"/>
        <v>10999.88</v>
      </c>
      <c r="H1955" t="str">
        <f>VLOOKUP(C1955,[1]products!$A:$B,2,FALSE)</f>
        <v>Trek Domane SLR 6 Disc - 2017</v>
      </c>
      <c r="I1955">
        <f>VLOOKUP(C1955,[1]products!$A:$D,4,FALSE)</f>
        <v>7</v>
      </c>
      <c r="J1955" t="str">
        <f>VLOOKUP(I1955,[2]categories!$A$1:$B$8,2,FALSE)</f>
        <v>Road Bikes</v>
      </c>
    </row>
    <row r="1956" customHeight="1" spans="1:10">
      <c r="A1956" s="1">
        <v>693</v>
      </c>
      <c r="B1956" s="1">
        <v>1</v>
      </c>
      <c r="C1956" s="1">
        <v>104</v>
      </c>
      <c r="D1956" s="1">
        <v>2</v>
      </c>
      <c r="E1956" s="1">
        <v>481.99</v>
      </c>
      <c r="F1956" s="1">
        <v>0.2</v>
      </c>
      <c r="G1956">
        <f t="shared" si="30"/>
        <v>963.78</v>
      </c>
      <c r="H1956" t="str">
        <f>VLOOKUP(C1956,[1]products!$A:$B,2,FALSE)</f>
        <v>Sun Bicycles Streamway - 2017</v>
      </c>
      <c r="I1956">
        <f>VLOOKUP(C1956,[1]products!$A:$D,4,FALSE)</f>
        <v>2</v>
      </c>
      <c r="J1956" t="str">
        <f>VLOOKUP(I1956,[2]categories!$A$1:$B$8,2,FALSE)</f>
        <v>Comfort Bicycles</v>
      </c>
    </row>
    <row r="1957" customHeight="1" spans="1:10">
      <c r="A1957" s="1">
        <v>693</v>
      </c>
      <c r="B1957" s="1">
        <v>2</v>
      </c>
      <c r="C1957" s="1">
        <v>13</v>
      </c>
      <c r="D1957" s="1">
        <v>1</v>
      </c>
      <c r="E1957" s="1">
        <v>269.99</v>
      </c>
      <c r="F1957" s="1">
        <v>0.2</v>
      </c>
      <c r="G1957">
        <f t="shared" si="30"/>
        <v>269.79</v>
      </c>
      <c r="H1957" t="str">
        <f>VLOOKUP(C1957,[1]products!$A:$B,2,FALSE)</f>
        <v>Electra Cruiser 1 (24-Inch) - 2016</v>
      </c>
      <c r="I1957">
        <f>VLOOKUP(C1957,[1]products!$A:$D,4,FALSE)</f>
        <v>3</v>
      </c>
      <c r="J1957" t="str">
        <f>VLOOKUP(I1957,[2]categories!$A$1:$B$8,2,FALSE)</f>
        <v>Cruisers Bicycles</v>
      </c>
    </row>
    <row r="1958" customHeight="1" spans="1:10">
      <c r="A1958" s="1">
        <v>693</v>
      </c>
      <c r="B1958" s="1">
        <v>3</v>
      </c>
      <c r="C1958" s="1">
        <v>5</v>
      </c>
      <c r="D1958" s="1">
        <v>2</v>
      </c>
      <c r="E1958" s="1">
        <v>1320.99</v>
      </c>
      <c r="F1958" s="1">
        <v>0.05</v>
      </c>
      <c r="G1958">
        <f t="shared" si="30"/>
        <v>2641.93</v>
      </c>
      <c r="H1958" t="str">
        <f>VLOOKUP(C1958,[1]products!$A:$B,2,FALSE)</f>
        <v>Heller Shagamaw Frame - 2016</v>
      </c>
      <c r="I1958">
        <f>VLOOKUP(C1958,[1]products!$A:$D,4,FALSE)</f>
        <v>6</v>
      </c>
      <c r="J1958" t="str">
        <f>VLOOKUP(I1958,[2]categories!$A$1:$B$8,2,FALSE)</f>
        <v>Mountain Bikes</v>
      </c>
    </row>
    <row r="1959" customHeight="1" spans="1:10">
      <c r="A1959" s="1">
        <v>693</v>
      </c>
      <c r="B1959" s="1">
        <v>4</v>
      </c>
      <c r="C1959" s="1">
        <v>31</v>
      </c>
      <c r="D1959" s="1">
        <v>1</v>
      </c>
      <c r="E1959" s="1">
        <v>1632.99</v>
      </c>
      <c r="F1959" s="1">
        <v>0.07</v>
      </c>
      <c r="G1959">
        <f t="shared" si="30"/>
        <v>1632.92</v>
      </c>
      <c r="H1959" t="str">
        <f>VLOOKUP(C1959,[1]products!$A:$B,2,FALSE)</f>
        <v>Surly Wednesday - 2017</v>
      </c>
      <c r="I1959">
        <f>VLOOKUP(C1959,[1]products!$A:$D,4,FALSE)</f>
        <v>6</v>
      </c>
      <c r="J1959" t="str">
        <f>VLOOKUP(I1959,[2]categories!$A$1:$B$8,2,FALSE)</f>
        <v>Mountain Bikes</v>
      </c>
    </row>
    <row r="1960" customHeight="1" spans="1:10">
      <c r="A1960" s="1">
        <v>694</v>
      </c>
      <c r="B1960" s="1">
        <v>1</v>
      </c>
      <c r="C1960" s="1">
        <v>48</v>
      </c>
      <c r="D1960" s="1">
        <v>1</v>
      </c>
      <c r="E1960" s="1">
        <v>1499.99</v>
      </c>
      <c r="F1960" s="1">
        <v>0.2</v>
      </c>
      <c r="G1960">
        <f t="shared" si="30"/>
        <v>1499.79</v>
      </c>
      <c r="H1960" t="str">
        <f>VLOOKUP(C1960,[1]products!$A:$B,2,FALSE)</f>
        <v>Trek Emonda S 4 - 2017</v>
      </c>
      <c r="I1960">
        <f>VLOOKUP(C1960,[1]products!$A:$D,4,FALSE)</f>
        <v>7</v>
      </c>
      <c r="J1960" t="str">
        <f>VLOOKUP(I1960,[2]categories!$A$1:$B$8,2,FALSE)</f>
        <v>Road Bikes</v>
      </c>
    </row>
    <row r="1961" customHeight="1" spans="1:10">
      <c r="A1961" s="1">
        <v>694</v>
      </c>
      <c r="B1961" s="1">
        <v>2</v>
      </c>
      <c r="C1961" s="1">
        <v>39</v>
      </c>
      <c r="D1961" s="1">
        <v>1</v>
      </c>
      <c r="E1961" s="1">
        <v>1499.99</v>
      </c>
      <c r="F1961" s="1">
        <v>0.05</v>
      </c>
      <c r="G1961">
        <f t="shared" si="30"/>
        <v>1499.94</v>
      </c>
      <c r="H1961" t="str">
        <f>VLOOKUP(C1961,[1]products!$A:$B,2,FALSE)</f>
        <v>Trek Stache 5 - 2017</v>
      </c>
      <c r="I1961">
        <f>VLOOKUP(C1961,[1]products!$A:$D,4,FALSE)</f>
        <v>6</v>
      </c>
      <c r="J1961" t="str">
        <f>VLOOKUP(I1961,[2]categories!$A$1:$B$8,2,FALSE)</f>
        <v>Mountain Bikes</v>
      </c>
    </row>
    <row r="1962" customHeight="1" spans="1:10">
      <c r="A1962" s="1">
        <v>694</v>
      </c>
      <c r="B1962" s="1">
        <v>3</v>
      </c>
      <c r="C1962" s="1">
        <v>55</v>
      </c>
      <c r="D1962" s="1">
        <v>2</v>
      </c>
      <c r="E1962" s="1">
        <v>2699.99</v>
      </c>
      <c r="F1962" s="1">
        <v>0.1</v>
      </c>
      <c r="G1962">
        <f t="shared" si="30"/>
        <v>5399.88</v>
      </c>
      <c r="H1962" t="str">
        <f>VLOOKUP(C1962,[1]products!$A:$B,2,FALSE)</f>
        <v>Trek Domane S 6 - 2017</v>
      </c>
      <c r="I1962">
        <f>VLOOKUP(C1962,[1]products!$A:$D,4,FALSE)</f>
        <v>7</v>
      </c>
      <c r="J1962" t="str">
        <f>VLOOKUP(I1962,[2]categories!$A$1:$B$8,2,FALSE)</f>
        <v>Road Bikes</v>
      </c>
    </row>
    <row r="1963" customHeight="1" spans="1:10">
      <c r="A1963" s="1">
        <v>694</v>
      </c>
      <c r="B1963" s="1">
        <v>4</v>
      </c>
      <c r="C1963" s="1">
        <v>103</v>
      </c>
      <c r="D1963" s="1">
        <v>2</v>
      </c>
      <c r="E1963" s="1">
        <v>551.99</v>
      </c>
      <c r="F1963" s="1">
        <v>0.2</v>
      </c>
      <c r="G1963">
        <f t="shared" si="30"/>
        <v>1103.78</v>
      </c>
      <c r="H1963" t="str">
        <f>VLOOKUP(C1963,[1]products!$A:$B,2,FALSE)</f>
        <v>Sun Bicycles Streamway 3 - 2017</v>
      </c>
      <c r="I1963">
        <f>VLOOKUP(C1963,[1]products!$A:$D,4,FALSE)</f>
        <v>2</v>
      </c>
      <c r="J1963" t="str">
        <f>VLOOKUP(I1963,[2]categories!$A$1:$B$8,2,FALSE)</f>
        <v>Comfort Bicycles</v>
      </c>
    </row>
    <row r="1964" customHeight="1" spans="1:10">
      <c r="A1964" s="1">
        <v>694</v>
      </c>
      <c r="B1964" s="1">
        <v>5</v>
      </c>
      <c r="C1964" s="1">
        <v>45</v>
      </c>
      <c r="D1964" s="1">
        <v>2</v>
      </c>
      <c r="E1964" s="1">
        <v>869.99</v>
      </c>
      <c r="F1964" s="1">
        <v>0.1</v>
      </c>
      <c r="G1964">
        <f t="shared" si="30"/>
        <v>1739.88</v>
      </c>
      <c r="H1964" t="str">
        <f>VLOOKUP(C1964,[1]products!$A:$B,2,FALSE)</f>
        <v>Haro SR 1.2 - 2017</v>
      </c>
      <c r="I1964">
        <f>VLOOKUP(C1964,[1]products!$A:$D,4,FALSE)</f>
        <v>6</v>
      </c>
      <c r="J1964" t="str">
        <f>VLOOKUP(I1964,[2]categories!$A$1:$B$8,2,FALSE)</f>
        <v>Mountain Bikes</v>
      </c>
    </row>
    <row r="1965" customHeight="1" spans="1:10">
      <c r="A1965" s="1">
        <v>695</v>
      </c>
      <c r="B1965" s="1">
        <v>1</v>
      </c>
      <c r="C1965" s="1">
        <v>82</v>
      </c>
      <c r="D1965" s="1">
        <v>2</v>
      </c>
      <c r="E1965" s="1">
        <v>659.99</v>
      </c>
      <c r="F1965" s="1">
        <v>0.1</v>
      </c>
      <c r="G1965">
        <f t="shared" si="30"/>
        <v>1319.88</v>
      </c>
      <c r="H1965" t="str">
        <f>VLOOKUP(C1965,[1]products!$A:$B,2,FALSE)</f>
        <v>Electra Amsterdam Original 3i Ladies' - 2017</v>
      </c>
      <c r="I1965">
        <f>VLOOKUP(C1965,[1]products!$A:$D,4,FALSE)</f>
        <v>3</v>
      </c>
      <c r="J1965" t="str">
        <f>VLOOKUP(I1965,[2]categories!$A$1:$B$8,2,FALSE)</f>
        <v>Cruisers Bicycles</v>
      </c>
    </row>
    <row r="1966" customHeight="1" spans="1:10">
      <c r="A1966" s="1">
        <v>695</v>
      </c>
      <c r="B1966" s="1">
        <v>2</v>
      </c>
      <c r="C1966" s="1">
        <v>57</v>
      </c>
      <c r="D1966" s="1">
        <v>2</v>
      </c>
      <c r="E1966" s="1">
        <v>1999.99</v>
      </c>
      <c r="F1966" s="1">
        <v>0.2</v>
      </c>
      <c r="G1966">
        <f t="shared" si="30"/>
        <v>3999.78</v>
      </c>
      <c r="H1966" t="str">
        <f>VLOOKUP(C1966,[1]products!$A:$B,2,FALSE)</f>
        <v>Trek Emonda S 5 - 2017</v>
      </c>
      <c r="I1966">
        <f>VLOOKUP(C1966,[1]products!$A:$D,4,FALSE)</f>
        <v>7</v>
      </c>
      <c r="J1966" t="str">
        <f>VLOOKUP(I1966,[2]categories!$A$1:$B$8,2,FALSE)</f>
        <v>Road Bikes</v>
      </c>
    </row>
    <row r="1967" customHeight="1" spans="1:10">
      <c r="A1967" s="1">
        <v>696</v>
      </c>
      <c r="B1967" s="1">
        <v>1</v>
      </c>
      <c r="C1967" s="1">
        <v>88</v>
      </c>
      <c r="D1967" s="1">
        <v>2</v>
      </c>
      <c r="E1967" s="1">
        <v>189.99</v>
      </c>
      <c r="F1967" s="1">
        <v>0.07</v>
      </c>
      <c r="G1967">
        <f t="shared" si="30"/>
        <v>379.91</v>
      </c>
      <c r="H1967" t="str">
        <f>VLOOKUP(C1967,[1]products!$A:$B,2,FALSE)</f>
        <v>Trek Precaliber 12 Girls - 2017</v>
      </c>
      <c r="I1967">
        <f>VLOOKUP(C1967,[1]products!$A:$D,4,FALSE)</f>
        <v>1</v>
      </c>
      <c r="J1967" t="str">
        <f>VLOOKUP(I1967,[2]categories!$A$1:$B$8,2,FALSE)</f>
        <v>Children Bicycles</v>
      </c>
    </row>
    <row r="1968" customHeight="1" spans="1:10">
      <c r="A1968" s="1">
        <v>696</v>
      </c>
      <c r="B1968" s="1">
        <v>2</v>
      </c>
      <c r="C1968" s="1">
        <v>7</v>
      </c>
      <c r="D1968" s="1">
        <v>1</v>
      </c>
      <c r="E1968" s="1">
        <v>3999.99</v>
      </c>
      <c r="F1968" s="1">
        <v>0.1</v>
      </c>
      <c r="G1968">
        <f t="shared" si="30"/>
        <v>3999.89</v>
      </c>
      <c r="H1968" t="str">
        <f>VLOOKUP(C1968,[1]products!$A:$B,2,FALSE)</f>
        <v>Trek Slash 8 27.5 - 2016</v>
      </c>
      <c r="I1968">
        <f>VLOOKUP(C1968,[1]products!$A:$D,4,FALSE)</f>
        <v>6</v>
      </c>
      <c r="J1968" t="str">
        <f>VLOOKUP(I1968,[2]categories!$A$1:$B$8,2,FALSE)</f>
        <v>Mountain Bikes</v>
      </c>
    </row>
    <row r="1969" customHeight="1" spans="1:10">
      <c r="A1969" s="1">
        <v>696</v>
      </c>
      <c r="B1969" s="1">
        <v>3</v>
      </c>
      <c r="C1969" s="1">
        <v>45</v>
      </c>
      <c r="D1969" s="1">
        <v>1</v>
      </c>
      <c r="E1969" s="1">
        <v>869.99</v>
      </c>
      <c r="F1969" s="1">
        <v>0.07</v>
      </c>
      <c r="G1969">
        <f t="shared" si="30"/>
        <v>869.92</v>
      </c>
      <c r="H1969" t="str">
        <f>VLOOKUP(C1969,[1]products!$A:$B,2,FALSE)</f>
        <v>Haro SR 1.2 - 2017</v>
      </c>
      <c r="I1969">
        <f>VLOOKUP(C1969,[1]products!$A:$D,4,FALSE)</f>
        <v>6</v>
      </c>
      <c r="J1969" t="str">
        <f>VLOOKUP(I1969,[2]categories!$A$1:$B$8,2,FALSE)</f>
        <v>Mountain Bikes</v>
      </c>
    </row>
    <row r="1970" customHeight="1" spans="1:10">
      <c r="A1970" s="1">
        <v>697</v>
      </c>
      <c r="B1970" s="1">
        <v>1</v>
      </c>
      <c r="C1970" s="1">
        <v>5</v>
      </c>
      <c r="D1970" s="1">
        <v>2</v>
      </c>
      <c r="E1970" s="1">
        <v>1320.99</v>
      </c>
      <c r="F1970" s="1">
        <v>0.05</v>
      </c>
      <c r="G1970">
        <f t="shared" si="30"/>
        <v>2641.93</v>
      </c>
      <c r="H1970" t="str">
        <f>VLOOKUP(C1970,[1]products!$A:$B,2,FALSE)</f>
        <v>Heller Shagamaw Frame - 2016</v>
      </c>
      <c r="I1970">
        <f>VLOOKUP(C1970,[1]products!$A:$D,4,FALSE)</f>
        <v>6</v>
      </c>
      <c r="J1970" t="str">
        <f>VLOOKUP(I1970,[2]categories!$A$1:$B$8,2,FALSE)</f>
        <v>Mountain Bikes</v>
      </c>
    </row>
    <row r="1971" customHeight="1" spans="1:10">
      <c r="A1971" s="1">
        <v>698</v>
      </c>
      <c r="B1971" s="1">
        <v>1</v>
      </c>
      <c r="C1971" s="1">
        <v>96</v>
      </c>
      <c r="D1971" s="1">
        <v>1</v>
      </c>
      <c r="E1971" s="1">
        <v>349.99</v>
      </c>
      <c r="F1971" s="1">
        <v>0.07</v>
      </c>
      <c r="G1971">
        <f t="shared" si="30"/>
        <v>349.92</v>
      </c>
      <c r="H1971" t="str">
        <f>VLOOKUP(C1971,[1]products!$A:$B,2,FALSE)</f>
        <v>Electra Moto 3i (20-inch) - Boy's - 2017</v>
      </c>
      <c r="I1971">
        <f>VLOOKUP(C1971,[1]products!$A:$D,4,FALSE)</f>
        <v>1</v>
      </c>
      <c r="J1971" t="str">
        <f>VLOOKUP(I1971,[2]categories!$A$1:$B$8,2,FALSE)</f>
        <v>Children Bicycles</v>
      </c>
    </row>
    <row r="1972" customHeight="1" spans="1:10">
      <c r="A1972" s="1">
        <v>698</v>
      </c>
      <c r="B1972" s="1">
        <v>2</v>
      </c>
      <c r="C1972" s="1">
        <v>12</v>
      </c>
      <c r="D1972" s="1">
        <v>1</v>
      </c>
      <c r="E1972" s="1">
        <v>549.99</v>
      </c>
      <c r="F1972" s="1">
        <v>0.07</v>
      </c>
      <c r="G1972">
        <f t="shared" si="30"/>
        <v>549.92</v>
      </c>
      <c r="H1972" t="str">
        <f>VLOOKUP(C1972,[1]products!$A:$B,2,FALSE)</f>
        <v>Electra Townie Original 21D - 2016</v>
      </c>
      <c r="I1972">
        <f>VLOOKUP(C1972,[1]products!$A:$D,4,FALSE)</f>
        <v>3</v>
      </c>
      <c r="J1972" t="str">
        <f>VLOOKUP(I1972,[2]categories!$A$1:$B$8,2,FALSE)</f>
        <v>Cruisers Bicycles</v>
      </c>
    </row>
    <row r="1973" customHeight="1" spans="1:10">
      <c r="A1973" s="1">
        <v>698</v>
      </c>
      <c r="B1973" s="1">
        <v>3</v>
      </c>
      <c r="C1973" s="1">
        <v>40</v>
      </c>
      <c r="D1973" s="1">
        <v>2</v>
      </c>
      <c r="E1973" s="1">
        <v>4999.99</v>
      </c>
      <c r="F1973" s="1">
        <v>0.05</v>
      </c>
      <c r="G1973">
        <f t="shared" si="30"/>
        <v>9999.93</v>
      </c>
      <c r="H1973" t="str">
        <f>VLOOKUP(C1973,[1]products!$A:$B,2,FALSE)</f>
        <v>Trek Fuel EX 9.8 29 - 2017</v>
      </c>
      <c r="I1973">
        <f>VLOOKUP(C1973,[1]products!$A:$D,4,FALSE)</f>
        <v>6</v>
      </c>
      <c r="J1973" t="str">
        <f>VLOOKUP(I1973,[2]categories!$A$1:$B$8,2,FALSE)</f>
        <v>Mountain Bikes</v>
      </c>
    </row>
    <row r="1974" customHeight="1" spans="1:10">
      <c r="A1974" s="1">
        <v>699</v>
      </c>
      <c r="B1974" s="1">
        <v>1</v>
      </c>
      <c r="C1974" s="1">
        <v>106</v>
      </c>
      <c r="D1974" s="1">
        <v>2</v>
      </c>
      <c r="E1974" s="1">
        <v>449.99</v>
      </c>
      <c r="F1974" s="1">
        <v>0.1</v>
      </c>
      <c r="G1974">
        <f t="shared" si="30"/>
        <v>899.88</v>
      </c>
      <c r="H1974" t="str">
        <f>VLOOKUP(C1974,[1]products!$A:$B,2,FALSE)</f>
        <v>Sun Bicycles Cruz 3 - 2017</v>
      </c>
      <c r="I1974">
        <f>VLOOKUP(C1974,[1]products!$A:$D,4,FALSE)</f>
        <v>2</v>
      </c>
      <c r="J1974" t="str">
        <f>VLOOKUP(I1974,[2]categories!$A$1:$B$8,2,FALSE)</f>
        <v>Comfort Bicycles</v>
      </c>
    </row>
    <row r="1975" customHeight="1" spans="1:10">
      <c r="A1975" s="1">
        <v>699</v>
      </c>
      <c r="B1975" s="1">
        <v>2</v>
      </c>
      <c r="C1975" s="1">
        <v>48</v>
      </c>
      <c r="D1975" s="1">
        <v>1</v>
      </c>
      <c r="E1975" s="1">
        <v>1499.99</v>
      </c>
      <c r="F1975" s="1">
        <v>0.07</v>
      </c>
      <c r="G1975">
        <f t="shared" si="30"/>
        <v>1499.92</v>
      </c>
      <c r="H1975" t="str">
        <f>VLOOKUP(C1975,[1]products!$A:$B,2,FALSE)</f>
        <v>Trek Emonda S 4 - 2017</v>
      </c>
      <c r="I1975">
        <f>VLOOKUP(C1975,[1]products!$A:$D,4,FALSE)</f>
        <v>7</v>
      </c>
      <c r="J1975" t="str">
        <f>VLOOKUP(I1975,[2]categories!$A$1:$B$8,2,FALSE)</f>
        <v>Road Bikes</v>
      </c>
    </row>
    <row r="1976" customHeight="1" spans="1:10">
      <c r="A1976" s="1">
        <v>699</v>
      </c>
      <c r="B1976" s="1">
        <v>3</v>
      </c>
      <c r="C1976" s="1">
        <v>31</v>
      </c>
      <c r="D1976" s="1">
        <v>1</v>
      </c>
      <c r="E1976" s="1">
        <v>1632.99</v>
      </c>
      <c r="F1976" s="1">
        <v>0.2</v>
      </c>
      <c r="G1976">
        <f t="shared" si="30"/>
        <v>1632.79</v>
      </c>
      <c r="H1976" t="str">
        <f>VLOOKUP(C1976,[1]products!$A:$B,2,FALSE)</f>
        <v>Surly Wednesday - 2017</v>
      </c>
      <c r="I1976">
        <f>VLOOKUP(C1976,[1]products!$A:$D,4,FALSE)</f>
        <v>6</v>
      </c>
      <c r="J1976" t="str">
        <f>VLOOKUP(I1976,[2]categories!$A$1:$B$8,2,FALSE)</f>
        <v>Mountain Bikes</v>
      </c>
    </row>
    <row r="1977" customHeight="1" spans="1:10">
      <c r="A1977" s="1">
        <v>699</v>
      </c>
      <c r="B1977" s="1">
        <v>4</v>
      </c>
      <c r="C1977" s="1">
        <v>24</v>
      </c>
      <c r="D1977" s="1">
        <v>2</v>
      </c>
      <c r="E1977" s="1">
        <v>549.99</v>
      </c>
      <c r="F1977" s="1">
        <v>0.1</v>
      </c>
      <c r="G1977">
        <f t="shared" si="30"/>
        <v>1099.88</v>
      </c>
      <c r="H1977" t="str">
        <f>VLOOKUP(C1977,[1]products!$A:$B,2,FALSE)</f>
        <v>Electra Townie Original 21D - 2016</v>
      </c>
      <c r="I1977">
        <f>VLOOKUP(C1977,[1]products!$A:$D,4,FALSE)</f>
        <v>2</v>
      </c>
      <c r="J1977" t="str">
        <f>VLOOKUP(I1977,[2]categories!$A$1:$B$8,2,FALSE)</f>
        <v>Comfort Bicycles</v>
      </c>
    </row>
    <row r="1978" customHeight="1" spans="1:10">
      <c r="A1978" s="1">
        <v>699</v>
      </c>
      <c r="B1978" s="1">
        <v>5</v>
      </c>
      <c r="C1978" s="1">
        <v>82</v>
      </c>
      <c r="D1978" s="1">
        <v>2</v>
      </c>
      <c r="E1978" s="1">
        <v>659.99</v>
      </c>
      <c r="F1978" s="1">
        <v>0.2</v>
      </c>
      <c r="G1978">
        <f t="shared" si="30"/>
        <v>1319.78</v>
      </c>
      <c r="H1978" t="str">
        <f>VLOOKUP(C1978,[1]products!$A:$B,2,FALSE)</f>
        <v>Electra Amsterdam Original 3i Ladies' - 2017</v>
      </c>
      <c r="I1978">
        <f>VLOOKUP(C1978,[1]products!$A:$D,4,FALSE)</f>
        <v>3</v>
      </c>
      <c r="J1978" t="str">
        <f>VLOOKUP(I1978,[2]categories!$A$1:$B$8,2,FALSE)</f>
        <v>Cruisers Bicycles</v>
      </c>
    </row>
    <row r="1979" customHeight="1" spans="1:10">
      <c r="A1979" s="1">
        <v>700</v>
      </c>
      <c r="B1979" s="1">
        <v>1</v>
      </c>
      <c r="C1979" s="1">
        <v>7</v>
      </c>
      <c r="D1979" s="1">
        <v>2</v>
      </c>
      <c r="E1979" s="1">
        <v>3999.99</v>
      </c>
      <c r="F1979" s="1">
        <v>0.05</v>
      </c>
      <c r="G1979">
        <f t="shared" si="30"/>
        <v>7999.93</v>
      </c>
      <c r="H1979" t="str">
        <f>VLOOKUP(C1979,[1]products!$A:$B,2,FALSE)</f>
        <v>Trek Slash 8 27.5 - 2016</v>
      </c>
      <c r="I1979">
        <f>VLOOKUP(C1979,[1]products!$A:$D,4,FALSE)</f>
        <v>6</v>
      </c>
      <c r="J1979" t="str">
        <f>VLOOKUP(I1979,[2]categories!$A$1:$B$8,2,FALSE)</f>
        <v>Mountain Bikes</v>
      </c>
    </row>
    <row r="1980" customHeight="1" spans="1:10">
      <c r="A1980" s="1">
        <v>700</v>
      </c>
      <c r="B1980" s="1">
        <v>2</v>
      </c>
      <c r="C1980" s="1">
        <v>63</v>
      </c>
      <c r="D1980" s="1">
        <v>1</v>
      </c>
      <c r="E1980" s="1">
        <v>3499.99</v>
      </c>
      <c r="F1980" s="1">
        <v>0.2</v>
      </c>
      <c r="G1980">
        <f t="shared" si="30"/>
        <v>3499.79</v>
      </c>
      <c r="H1980" t="str">
        <f>VLOOKUP(C1980,[1]products!$A:$B,2,FALSE)</f>
        <v>Trek Boone Race Shop Limited - 2017</v>
      </c>
      <c r="I1980">
        <f>VLOOKUP(C1980,[1]products!$A:$D,4,FALSE)</f>
        <v>4</v>
      </c>
      <c r="J1980" t="str">
        <f>VLOOKUP(I1980,[2]categories!$A$1:$B$8,2,FALSE)</f>
        <v>Cyclocross Bicycles</v>
      </c>
    </row>
    <row r="1981" customHeight="1" spans="1:10">
      <c r="A1981" s="1">
        <v>701</v>
      </c>
      <c r="B1981" s="1">
        <v>1</v>
      </c>
      <c r="C1981" s="1">
        <v>84</v>
      </c>
      <c r="D1981" s="1">
        <v>1</v>
      </c>
      <c r="E1981" s="1">
        <v>109.99</v>
      </c>
      <c r="F1981" s="1">
        <v>0.05</v>
      </c>
      <c r="G1981">
        <f t="shared" si="30"/>
        <v>109.94</v>
      </c>
      <c r="H1981" t="str">
        <f>VLOOKUP(C1981,[1]products!$A:$B,2,FALSE)</f>
        <v>Sun Bicycles Lil Kitt'n - 2017</v>
      </c>
      <c r="I1981">
        <f>VLOOKUP(C1981,[1]products!$A:$D,4,FALSE)</f>
        <v>1</v>
      </c>
      <c r="J1981" t="str">
        <f>VLOOKUP(I1981,[2]categories!$A$1:$B$8,2,FALSE)</f>
        <v>Children Bicycles</v>
      </c>
    </row>
    <row r="1982" customHeight="1" spans="1:10">
      <c r="A1982" s="1">
        <v>702</v>
      </c>
      <c r="B1982" s="1">
        <v>1</v>
      </c>
      <c r="C1982" s="1">
        <v>25</v>
      </c>
      <c r="D1982" s="1">
        <v>2</v>
      </c>
      <c r="E1982" s="1">
        <v>499.99</v>
      </c>
      <c r="F1982" s="1">
        <v>0.05</v>
      </c>
      <c r="G1982">
        <f t="shared" si="30"/>
        <v>999.93</v>
      </c>
      <c r="H1982" t="str">
        <f>VLOOKUP(C1982,[1]products!$A:$B,2,FALSE)</f>
        <v>Electra Townie Original 7D - 2015/2016</v>
      </c>
      <c r="I1982">
        <f>VLOOKUP(C1982,[1]products!$A:$D,4,FALSE)</f>
        <v>2</v>
      </c>
      <c r="J1982" t="str">
        <f>VLOOKUP(I1982,[2]categories!$A$1:$B$8,2,FALSE)</f>
        <v>Comfort Bicycles</v>
      </c>
    </row>
    <row r="1983" customHeight="1" spans="1:10">
      <c r="A1983" s="1">
        <v>702</v>
      </c>
      <c r="B1983" s="1">
        <v>2</v>
      </c>
      <c r="C1983" s="1">
        <v>104</v>
      </c>
      <c r="D1983" s="1">
        <v>1</v>
      </c>
      <c r="E1983" s="1">
        <v>481.99</v>
      </c>
      <c r="F1983" s="1">
        <v>0.1</v>
      </c>
      <c r="G1983">
        <f t="shared" si="30"/>
        <v>481.89</v>
      </c>
      <c r="H1983" t="str">
        <f>VLOOKUP(C1983,[1]products!$A:$B,2,FALSE)</f>
        <v>Sun Bicycles Streamway - 2017</v>
      </c>
      <c r="I1983">
        <f>VLOOKUP(C1983,[1]products!$A:$D,4,FALSE)</f>
        <v>2</v>
      </c>
      <c r="J1983" t="str">
        <f>VLOOKUP(I1983,[2]categories!$A$1:$B$8,2,FALSE)</f>
        <v>Comfort Bicycles</v>
      </c>
    </row>
    <row r="1984" customHeight="1" spans="1:10">
      <c r="A1984" s="1">
        <v>702</v>
      </c>
      <c r="B1984" s="1">
        <v>3</v>
      </c>
      <c r="C1984" s="1">
        <v>3</v>
      </c>
      <c r="D1984" s="1">
        <v>2</v>
      </c>
      <c r="E1984" s="1">
        <v>999.99</v>
      </c>
      <c r="F1984" s="1">
        <v>0.07</v>
      </c>
      <c r="G1984">
        <f t="shared" si="30"/>
        <v>1999.91</v>
      </c>
      <c r="H1984" t="str">
        <f>VLOOKUP(C1984,[1]products!$A:$B,2,FALSE)</f>
        <v>Surly Wednesday Frameset - 2016</v>
      </c>
      <c r="I1984">
        <f>VLOOKUP(C1984,[1]products!$A:$D,4,FALSE)</f>
        <v>6</v>
      </c>
      <c r="J1984" t="str">
        <f>VLOOKUP(I1984,[2]categories!$A$1:$B$8,2,FALSE)</f>
        <v>Mountain Bikes</v>
      </c>
    </row>
    <row r="1985" customHeight="1" spans="1:10">
      <c r="A1985" s="1">
        <v>703</v>
      </c>
      <c r="B1985" s="1">
        <v>1</v>
      </c>
      <c r="C1985" s="1">
        <v>45</v>
      </c>
      <c r="D1985" s="1">
        <v>2</v>
      </c>
      <c r="E1985" s="1">
        <v>869.99</v>
      </c>
      <c r="F1985" s="1">
        <v>0.2</v>
      </c>
      <c r="G1985">
        <f t="shared" si="30"/>
        <v>1739.78</v>
      </c>
      <c r="H1985" t="str">
        <f>VLOOKUP(C1985,[1]products!$A:$B,2,FALSE)</f>
        <v>Haro SR 1.2 - 2017</v>
      </c>
      <c r="I1985">
        <f>VLOOKUP(C1985,[1]products!$A:$D,4,FALSE)</f>
        <v>6</v>
      </c>
      <c r="J1985" t="str">
        <f>VLOOKUP(I1985,[2]categories!$A$1:$B$8,2,FALSE)</f>
        <v>Mountain Bikes</v>
      </c>
    </row>
    <row r="1986" customHeight="1" spans="1:10">
      <c r="A1986" s="1">
        <v>703</v>
      </c>
      <c r="B1986" s="1">
        <v>2</v>
      </c>
      <c r="C1986" s="1">
        <v>66</v>
      </c>
      <c r="D1986" s="1">
        <v>2</v>
      </c>
      <c r="E1986" s="1">
        <v>250.99</v>
      </c>
      <c r="F1986" s="1">
        <v>0.05</v>
      </c>
      <c r="G1986">
        <f t="shared" si="30"/>
        <v>501.93</v>
      </c>
      <c r="H1986" t="str">
        <f>VLOOKUP(C1986,[1]products!$A:$B,2,FALSE)</f>
        <v>Sun Bicycles Revolutions 24 - 2017</v>
      </c>
      <c r="I1986">
        <f>VLOOKUP(C1986,[1]products!$A:$D,4,FALSE)</f>
        <v>3</v>
      </c>
      <c r="J1986" t="str">
        <f>VLOOKUP(I1986,[2]categories!$A$1:$B$8,2,FALSE)</f>
        <v>Cruisers Bicycles</v>
      </c>
    </row>
    <row r="1987" customHeight="1" spans="1:10">
      <c r="A1987" s="1">
        <v>703</v>
      </c>
      <c r="B1987" s="1">
        <v>3</v>
      </c>
      <c r="C1987" s="1">
        <v>72</v>
      </c>
      <c r="D1987" s="1">
        <v>1</v>
      </c>
      <c r="E1987" s="1">
        <v>619.99</v>
      </c>
      <c r="F1987" s="1">
        <v>0.2</v>
      </c>
      <c r="G1987">
        <f t="shared" ref="G1987:G2050" si="31">(E1987*D1987)-F1987</f>
        <v>619.79</v>
      </c>
      <c r="H1987" t="str">
        <f>VLOOKUP(C1987,[1]products!$A:$B,2,FALSE)</f>
        <v>Sun Bicycles Biscayne Tandem 7 - 2017</v>
      </c>
      <c r="I1987">
        <f>VLOOKUP(C1987,[1]products!$A:$D,4,FALSE)</f>
        <v>3</v>
      </c>
      <c r="J1987" t="str">
        <f>VLOOKUP(I1987,[2]categories!$A$1:$B$8,2,FALSE)</f>
        <v>Cruisers Bicycles</v>
      </c>
    </row>
    <row r="1988" customHeight="1" spans="1:10">
      <c r="A1988" s="1">
        <v>703</v>
      </c>
      <c r="B1988" s="1">
        <v>4</v>
      </c>
      <c r="C1988" s="1">
        <v>4</v>
      </c>
      <c r="D1988" s="1">
        <v>2</v>
      </c>
      <c r="E1988" s="1">
        <v>2899.99</v>
      </c>
      <c r="F1988" s="1">
        <v>0.2</v>
      </c>
      <c r="G1988">
        <f t="shared" si="31"/>
        <v>5799.78</v>
      </c>
      <c r="H1988" t="str">
        <f>VLOOKUP(C1988,[1]products!$A:$B,2,FALSE)</f>
        <v>Trek Fuel EX 8 29 - 2016</v>
      </c>
      <c r="I1988">
        <f>VLOOKUP(C1988,[1]products!$A:$D,4,FALSE)</f>
        <v>6</v>
      </c>
      <c r="J1988" t="str">
        <f>VLOOKUP(I1988,[2]categories!$A$1:$B$8,2,FALSE)</f>
        <v>Mountain Bikes</v>
      </c>
    </row>
    <row r="1989" customHeight="1" spans="1:10">
      <c r="A1989" s="1">
        <v>704</v>
      </c>
      <c r="B1989" s="1">
        <v>1</v>
      </c>
      <c r="C1989" s="1">
        <v>10</v>
      </c>
      <c r="D1989" s="1">
        <v>2</v>
      </c>
      <c r="E1989" s="1">
        <v>1549</v>
      </c>
      <c r="F1989" s="1">
        <v>0.05</v>
      </c>
      <c r="G1989">
        <f t="shared" si="31"/>
        <v>3097.95</v>
      </c>
      <c r="H1989" t="str">
        <f>VLOOKUP(C1989,[1]products!$A:$B,2,FALSE)</f>
        <v>Surly Straggler - 2016</v>
      </c>
      <c r="I1989">
        <f>VLOOKUP(C1989,[1]products!$A:$D,4,FALSE)</f>
        <v>4</v>
      </c>
      <c r="J1989" t="str">
        <f>VLOOKUP(I1989,[2]categories!$A$1:$B$8,2,FALSE)</f>
        <v>Cyclocross Bicycles</v>
      </c>
    </row>
    <row r="1990" customHeight="1" spans="1:10">
      <c r="A1990" s="1">
        <v>704</v>
      </c>
      <c r="B1990" s="1">
        <v>2</v>
      </c>
      <c r="C1990" s="1">
        <v>62</v>
      </c>
      <c r="D1990" s="1">
        <v>1</v>
      </c>
      <c r="E1990" s="1">
        <v>3499.99</v>
      </c>
      <c r="F1990" s="1">
        <v>0.2</v>
      </c>
      <c r="G1990">
        <f t="shared" si="31"/>
        <v>3499.79</v>
      </c>
      <c r="H1990" t="str">
        <f>VLOOKUP(C1990,[1]products!$A:$B,2,FALSE)</f>
        <v>Trek Boone 7 - 2017</v>
      </c>
      <c r="I1990">
        <f>VLOOKUP(C1990,[1]products!$A:$D,4,FALSE)</f>
        <v>4</v>
      </c>
      <c r="J1990" t="str">
        <f>VLOOKUP(I1990,[2]categories!$A$1:$B$8,2,FALSE)</f>
        <v>Cyclocross Bicycles</v>
      </c>
    </row>
    <row r="1991" customHeight="1" spans="1:10">
      <c r="A1991" s="1">
        <v>704</v>
      </c>
      <c r="B1991" s="1">
        <v>3</v>
      </c>
      <c r="C1991" s="1">
        <v>100</v>
      </c>
      <c r="D1991" s="1">
        <v>2</v>
      </c>
      <c r="E1991" s="1">
        <v>489.99</v>
      </c>
      <c r="F1991" s="1">
        <v>0.07</v>
      </c>
      <c r="G1991">
        <f t="shared" si="31"/>
        <v>979.91</v>
      </c>
      <c r="H1991" t="str">
        <f>VLOOKUP(C1991,[1]products!$A:$B,2,FALSE)</f>
        <v>Electra Townie 3i EQ (20-inch) - Boys' - 2017</v>
      </c>
      <c r="I1991">
        <f>VLOOKUP(C1991,[1]products!$A:$D,4,FALSE)</f>
        <v>1</v>
      </c>
      <c r="J1991" t="str">
        <f>VLOOKUP(I1991,[2]categories!$A$1:$B$8,2,FALSE)</f>
        <v>Children Bicycles</v>
      </c>
    </row>
    <row r="1992" customHeight="1" spans="1:10">
      <c r="A1992" s="1">
        <v>705</v>
      </c>
      <c r="B1992" s="1">
        <v>1</v>
      </c>
      <c r="C1992" s="1">
        <v>61</v>
      </c>
      <c r="D1992" s="1">
        <v>1</v>
      </c>
      <c r="E1992" s="1">
        <v>4999.99</v>
      </c>
      <c r="F1992" s="1">
        <v>0.1</v>
      </c>
      <c r="G1992">
        <f t="shared" si="31"/>
        <v>4999.89</v>
      </c>
      <c r="H1992" t="str">
        <f>VLOOKUP(C1992,[1]products!$A:$B,2,FALSE)</f>
        <v>Trek Powerfly 8 FS Plus - 2017</v>
      </c>
      <c r="I1992">
        <f>VLOOKUP(C1992,[1]products!$A:$D,4,FALSE)</f>
        <v>5</v>
      </c>
      <c r="J1992" t="str">
        <f>VLOOKUP(I1992,[2]categories!$A$1:$B$8,2,FALSE)</f>
        <v>Electric Bikes</v>
      </c>
    </row>
    <row r="1993" customHeight="1" spans="1:10">
      <c r="A1993" s="1">
        <v>706</v>
      </c>
      <c r="B1993" s="1">
        <v>1</v>
      </c>
      <c r="C1993" s="1">
        <v>27</v>
      </c>
      <c r="D1993" s="1">
        <v>1</v>
      </c>
      <c r="E1993" s="1">
        <v>999.99</v>
      </c>
      <c r="F1993" s="1">
        <v>0.1</v>
      </c>
      <c r="G1993">
        <f t="shared" si="31"/>
        <v>999.89</v>
      </c>
      <c r="H1993" t="str">
        <f>VLOOKUP(C1993,[1]products!$A:$B,2,FALSE)</f>
        <v>Surly Big Dummy Frameset - 2017</v>
      </c>
      <c r="I1993">
        <f>VLOOKUP(C1993,[1]products!$A:$D,4,FALSE)</f>
        <v>6</v>
      </c>
      <c r="J1993" t="str">
        <f>VLOOKUP(I1993,[2]categories!$A$1:$B$8,2,FALSE)</f>
        <v>Mountain Bikes</v>
      </c>
    </row>
    <row r="1994" customHeight="1" spans="1:10">
      <c r="A1994" s="1">
        <v>706</v>
      </c>
      <c r="B1994" s="1">
        <v>2</v>
      </c>
      <c r="C1994" s="1">
        <v>23</v>
      </c>
      <c r="D1994" s="1">
        <v>2</v>
      </c>
      <c r="E1994" s="1">
        <v>299.99</v>
      </c>
      <c r="F1994" s="1">
        <v>0.05</v>
      </c>
      <c r="G1994">
        <f t="shared" si="31"/>
        <v>599.93</v>
      </c>
      <c r="H1994" t="str">
        <f>VLOOKUP(C1994,[1]products!$A:$B,2,FALSE)</f>
        <v>Electra Girl's Hawaii 1 (20-inch) - 2015/2016</v>
      </c>
      <c r="I1994">
        <f>VLOOKUP(C1994,[1]products!$A:$D,4,FALSE)</f>
        <v>1</v>
      </c>
      <c r="J1994" t="str">
        <f>VLOOKUP(I1994,[2]categories!$A$1:$B$8,2,FALSE)</f>
        <v>Children Bicycles</v>
      </c>
    </row>
    <row r="1995" customHeight="1" spans="1:10">
      <c r="A1995" s="1">
        <v>706</v>
      </c>
      <c r="B1995" s="1">
        <v>3</v>
      </c>
      <c r="C1995" s="1">
        <v>60</v>
      </c>
      <c r="D1995" s="1">
        <v>1</v>
      </c>
      <c r="E1995" s="1">
        <v>1559.99</v>
      </c>
      <c r="F1995" s="1">
        <v>0.2</v>
      </c>
      <c r="G1995">
        <f t="shared" si="31"/>
        <v>1559.79</v>
      </c>
      <c r="H1995" t="str">
        <f>VLOOKUP(C1995,[1]products!$A:$B,2,FALSE)</f>
        <v>Sun Bicycles ElectroLite - 2017</v>
      </c>
      <c r="I1995">
        <f>VLOOKUP(C1995,[1]products!$A:$D,4,FALSE)</f>
        <v>5</v>
      </c>
      <c r="J1995" t="str">
        <f>VLOOKUP(I1995,[2]categories!$A$1:$B$8,2,FALSE)</f>
        <v>Electric Bikes</v>
      </c>
    </row>
    <row r="1996" customHeight="1" spans="1:10">
      <c r="A1996" s="1">
        <v>707</v>
      </c>
      <c r="B1996" s="1">
        <v>1</v>
      </c>
      <c r="C1996" s="1">
        <v>106</v>
      </c>
      <c r="D1996" s="1">
        <v>2</v>
      </c>
      <c r="E1996" s="1">
        <v>449.99</v>
      </c>
      <c r="F1996" s="1">
        <v>0.05</v>
      </c>
      <c r="G1996">
        <f t="shared" si="31"/>
        <v>899.93</v>
      </c>
      <c r="H1996" t="str">
        <f>VLOOKUP(C1996,[1]products!$A:$B,2,FALSE)</f>
        <v>Sun Bicycles Cruz 3 - 2017</v>
      </c>
      <c r="I1996">
        <f>VLOOKUP(C1996,[1]products!$A:$D,4,FALSE)</f>
        <v>2</v>
      </c>
      <c r="J1996" t="str">
        <f>VLOOKUP(I1996,[2]categories!$A$1:$B$8,2,FALSE)</f>
        <v>Comfort Bicycles</v>
      </c>
    </row>
    <row r="1997" customHeight="1" spans="1:10">
      <c r="A1997" s="1">
        <v>707</v>
      </c>
      <c r="B1997" s="1">
        <v>2</v>
      </c>
      <c r="C1997" s="1">
        <v>100</v>
      </c>
      <c r="D1997" s="1">
        <v>1</v>
      </c>
      <c r="E1997" s="1">
        <v>489.99</v>
      </c>
      <c r="F1997" s="1">
        <v>0.07</v>
      </c>
      <c r="G1997">
        <f t="shared" si="31"/>
        <v>489.92</v>
      </c>
      <c r="H1997" t="str">
        <f>VLOOKUP(C1997,[1]products!$A:$B,2,FALSE)</f>
        <v>Electra Townie 3i EQ (20-inch) - Boys' - 2017</v>
      </c>
      <c r="I1997">
        <f>VLOOKUP(C1997,[1]products!$A:$D,4,FALSE)</f>
        <v>1</v>
      </c>
      <c r="J1997" t="str">
        <f>VLOOKUP(I1997,[2]categories!$A$1:$B$8,2,FALSE)</f>
        <v>Children Bicycles</v>
      </c>
    </row>
    <row r="1998" customHeight="1" spans="1:10">
      <c r="A1998" s="1">
        <v>707</v>
      </c>
      <c r="B1998" s="1">
        <v>3</v>
      </c>
      <c r="C1998" s="1">
        <v>11</v>
      </c>
      <c r="D1998" s="1">
        <v>2</v>
      </c>
      <c r="E1998" s="1">
        <v>1680.99</v>
      </c>
      <c r="F1998" s="1">
        <v>0.1</v>
      </c>
      <c r="G1998">
        <f t="shared" si="31"/>
        <v>3361.88</v>
      </c>
      <c r="H1998" t="str">
        <f>VLOOKUP(C1998,[1]products!$A:$B,2,FALSE)</f>
        <v>Surly Straggler 650b - 2016</v>
      </c>
      <c r="I1998">
        <f>VLOOKUP(C1998,[1]products!$A:$D,4,FALSE)</f>
        <v>4</v>
      </c>
      <c r="J1998" t="str">
        <f>VLOOKUP(I1998,[2]categories!$A$1:$B$8,2,FALSE)</f>
        <v>Cyclocross Bicycles</v>
      </c>
    </row>
    <row r="1999" customHeight="1" spans="1:10">
      <c r="A1999" s="1">
        <v>707</v>
      </c>
      <c r="B1999" s="1">
        <v>4</v>
      </c>
      <c r="C1999" s="1">
        <v>26</v>
      </c>
      <c r="D1999" s="1">
        <v>2</v>
      </c>
      <c r="E1999" s="1">
        <v>599.99</v>
      </c>
      <c r="F1999" s="1">
        <v>0.1</v>
      </c>
      <c r="G1999">
        <f t="shared" si="31"/>
        <v>1199.88</v>
      </c>
      <c r="H1999" t="str">
        <f>VLOOKUP(C1999,[1]products!$A:$B,2,FALSE)</f>
        <v>Electra Townie Original 7D EQ - 2016</v>
      </c>
      <c r="I1999">
        <f>VLOOKUP(C1999,[1]products!$A:$D,4,FALSE)</f>
        <v>2</v>
      </c>
      <c r="J1999" t="str">
        <f>VLOOKUP(I1999,[2]categories!$A$1:$B$8,2,FALSE)</f>
        <v>Comfort Bicycles</v>
      </c>
    </row>
    <row r="2000" customHeight="1" spans="1:10">
      <c r="A2000" s="1">
        <v>708</v>
      </c>
      <c r="B2000" s="1">
        <v>1</v>
      </c>
      <c r="C2000" s="1">
        <v>6</v>
      </c>
      <c r="D2000" s="1">
        <v>1</v>
      </c>
      <c r="E2000" s="1">
        <v>469.99</v>
      </c>
      <c r="F2000" s="1">
        <v>0.07</v>
      </c>
      <c r="G2000">
        <f t="shared" si="31"/>
        <v>469.92</v>
      </c>
      <c r="H2000" t="str">
        <f>VLOOKUP(C2000,[1]products!$A:$B,2,FALSE)</f>
        <v>Surly Ice Cream Truck Frameset - 2016</v>
      </c>
      <c r="I2000">
        <f>VLOOKUP(C2000,[1]products!$A:$D,4,FALSE)</f>
        <v>6</v>
      </c>
      <c r="J2000" t="str">
        <f>VLOOKUP(I2000,[2]categories!$A$1:$B$8,2,FALSE)</f>
        <v>Mountain Bikes</v>
      </c>
    </row>
    <row r="2001" customHeight="1" spans="1:10">
      <c r="A2001" s="1">
        <v>708</v>
      </c>
      <c r="B2001" s="1">
        <v>2</v>
      </c>
      <c r="C2001" s="1">
        <v>47</v>
      </c>
      <c r="D2001" s="1">
        <v>1</v>
      </c>
      <c r="E2001" s="1">
        <v>5299.99</v>
      </c>
      <c r="F2001" s="1">
        <v>0.1</v>
      </c>
      <c r="G2001">
        <f t="shared" si="31"/>
        <v>5299.89</v>
      </c>
      <c r="H2001" t="str">
        <f>VLOOKUP(C2001,[1]products!$A:$B,2,FALSE)</f>
        <v>Trek Remedy 9.8 - 2017</v>
      </c>
      <c r="I2001">
        <f>VLOOKUP(C2001,[1]products!$A:$D,4,FALSE)</f>
        <v>6</v>
      </c>
      <c r="J2001" t="str">
        <f>VLOOKUP(I2001,[2]categories!$A$1:$B$8,2,FALSE)</f>
        <v>Mountain Bikes</v>
      </c>
    </row>
    <row r="2002" customHeight="1" spans="1:10">
      <c r="A2002" s="1">
        <v>708</v>
      </c>
      <c r="B2002" s="1">
        <v>3</v>
      </c>
      <c r="C2002" s="1">
        <v>34</v>
      </c>
      <c r="D2002" s="1">
        <v>2</v>
      </c>
      <c r="E2002" s="1">
        <v>469.99</v>
      </c>
      <c r="F2002" s="1">
        <v>0.2</v>
      </c>
      <c r="G2002">
        <f t="shared" si="31"/>
        <v>939.78</v>
      </c>
      <c r="H2002" t="str">
        <f>VLOOKUP(C2002,[1]products!$A:$B,2,FALSE)</f>
        <v>Trek Session DH 27.5 Carbon Frameset - 2017</v>
      </c>
      <c r="I2002">
        <f>VLOOKUP(C2002,[1]products!$A:$D,4,FALSE)</f>
        <v>6</v>
      </c>
      <c r="J2002" t="str">
        <f>VLOOKUP(I2002,[2]categories!$A$1:$B$8,2,FALSE)</f>
        <v>Mountain Bikes</v>
      </c>
    </row>
    <row r="2003" customHeight="1" spans="1:10">
      <c r="A2003" s="1">
        <v>709</v>
      </c>
      <c r="B2003" s="1">
        <v>1</v>
      </c>
      <c r="C2003" s="1">
        <v>55</v>
      </c>
      <c r="D2003" s="1">
        <v>2</v>
      </c>
      <c r="E2003" s="1">
        <v>2699.99</v>
      </c>
      <c r="F2003" s="1">
        <v>0.05</v>
      </c>
      <c r="G2003">
        <f t="shared" si="31"/>
        <v>5399.93</v>
      </c>
      <c r="H2003" t="str">
        <f>VLOOKUP(C2003,[1]products!$A:$B,2,FALSE)</f>
        <v>Trek Domane S 6 - 2017</v>
      </c>
      <c r="I2003">
        <f>VLOOKUP(C2003,[1]products!$A:$D,4,FALSE)</f>
        <v>7</v>
      </c>
      <c r="J2003" t="str">
        <f>VLOOKUP(I2003,[2]categories!$A$1:$B$8,2,FALSE)</f>
        <v>Road Bikes</v>
      </c>
    </row>
    <row r="2004" customHeight="1" spans="1:10">
      <c r="A2004" s="1">
        <v>709</v>
      </c>
      <c r="B2004" s="1">
        <v>2</v>
      </c>
      <c r="C2004" s="1">
        <v>101</v>
      </c>
      <c r="D2004" s="1">
        <v>2</v>
      </c>
      <c r="E2004" s="1">
        <v>339.99</v>
      </c>
      <c r="F2004" s="1">
        <v>0.07</v>
      </c>
      <c r="G2004">
        <f t="shared" si="31"/>
        <v>679.91</v>
      </c>
      <c r="H2004" t="str">
        <f>VLOOKUP(C2004,[1]products!$A:$B,2,FALSE)</f>
        <v>Electra Townie 7D (20-inch) - Boys' - 2017</v>
      </c>
      <c r="I2004">
        <f>VLOOKUP(C2004,[1]products!$A:$D,4,FALSE)</f>
        <v>1</v>
      </c>
      <c r="J2004" t="str">
        <f>VLOOKUP(I2004,[2]categories!$A$1:$B$8,2,FALSE)</f>
        <v>Children Bicycles</v>
      </c>
    </row>
    <row r="2005" customHeight="1" spans="1:10">
      <c r="A2005" s="1">
        <v>709</v>
      </c>
      <c r="B2005" s="1">
        <v>3</v>
      </c>
      <c r="C2005" s="1">
        <v>48</v>
      </c>
      <c r="D2005" s="1">
        <v>1</v>
      </c>
      <c r="E2005" s="1">
        <v>1499.99</v>
      </c>
      <c r="F2005" s="1">
        <v>0.07</v>
      </c>
      <c r="G2005">
        <f t="shared" si="31"/>
        <v>1499.92</v>
      </c>
      <c r="H2005" t="str">
        <f>VLOOKUP(C2005,[1]products!$A:$B,2,FALSE)</f>
        <v>Trek Emonda S 4 - 2017</v>
      </c>
      <c r="I2005">
        <f>VLOOKUP(C2005,[1]products!$A:$D,4,FALSE)</f>
        <v>7</v>
      </c>
      <c r="J2005" t="str">
        <f>VLOOKUP(I2005,[2]categories!$A$1:$B$8,2,FALSE)</f>
        <v>Road Bikes</v>
      </c>
    </row>
    <row r="2006" customHeight="1" spans="1:10">
      <c r="A2006" s="1">
        <v>710</v>
      </c>
      <c r="B2006" s="1">
        <v>1</v>
      </c>
      <c r="C2006" s="1">
        <v>42</v>
      </c>
      <c r="D2006" s="1">
        <v>1</v>
      </c>
      <c r="E2006" s="1">
        <v>2299.99</v>
      </c>
      <c r="F2006" s="1">
        <v>0.05</v>
      </c>
      <c r="G2006">
        <f t="shared" si="31"/>
        <v>2299.94</v>
      </c>
      <c r="H2006" t="str">
        <f>VLOOKUP(C2006,[1]products!$A:$B,2,FALSE)</f>
        <v>Trek Fuel EX 5 27.5 Plus - 2017</v>
      </c>
      <c r="I2006">
        <f>VLOOKUP(C2006,[1]products!$A:$D,4,FALSE)</f>
        <v>6</v>
      </c>
      <c r="J2006" t="str">
        <f>VLOOKUP(I2006,[2]categories!$A$1:$B$8,2,FALSE)</f>
        <v>Mountain Bikes</v>
      </c>
    </row>
    <row r="2007" customHeight="1" spans="1:10">
      <c r="A2007" s="1">
        <v>710</v>
      </c>
      <c r="B2007" s="1">
        <v>2</v>
      </c>
      <c r="C2007" s="1">
        <v>60</v>
      </c>
      <c r="D2007" s="1">
        <v>2</v>
      </c>
      <c r="E2007" s="1">
        <v>1559.99</v>
      </c>
      <c r="F2007" s="1">
        <v>0.2</v>
      </c>
      <c r="G2007">
        <f t="shared" si="31"/>
        <v>3119.78</v>
      </c>
      <c r="H2007" t="str">
        <f>VLOOKUP(C2007,[1]products!$A:$B,2,FALSE)</f>
        <v>Sun Bicycles ElectroLite - 2017</v>
      </c>
      <c r="I2007">
        <f>VLOOKUP(C2007,[1]products!$A:$D,4,FALSE)</f>
        <v>5</v>
      </c>
      <c r="J2007" t="str">
        <f>VLOOKUP(I2007,[2]categories!$A$1:$B$8,2,FALSE)</f>
        <v>Electric Bikes</v>
      </c>
    </row>
    <row r="2008" customHeight="1" spans="1:10">
      <c r="A2008" s="1">
        <v>710</v>
      </c>
      <c r="B2008" s="1">
        <v>3</v>
      </c>
      <c r="C2008" s="1">
        <v>39</v>
      </c>
      <c r="D2008" s="1">
        <v>2</v>
      </c>
      <c r="E2008" s="1">
        <v>1499.99</v>
      </c>
      <c r="F2008" s="1">
        <v>0.2</v>
      </c>
      <c r="G2008">
        <f t="shared" si="31"/>
        <v>2999.78</v>
      </c>
      <c r="H2008" t="str">
        <f>VLOOKUP(C2008,[1]products!$A:$B,2,FALSE)</f>
        <v>Trek Stache 5 - 2017</v>
      </c>
      <c r="I2008">
        <f>VLOOKUP(C2008,[1]products!$A:$D,4,FALSE)</f>
        <v>6</v>
      </c>
      <c r="J2008" t="str">
        <f>VLOOKUP(I2008,[2]categories!$A$1:$B$8,2,FALSE)</f>
        <v>Mountain Bikes</v>
      </c>
    </row>
    <row r="2009" customHeight="1" spans="1:10">
      <c r="A2009" s="1">
        <v>710</v>
      </c>
      <c r="B2009" s="1">
        <v>4</v>
      </c>
      <c r="C2009" s="1">
        <v>57</v>
      </c>
      <c r="D2009" s="1">
        <v>1</v>
      </c>
      <c r="E2009" s="1">
        <v>1999.99</v>
      </c>
      <c r="F2009" s="1">
        <v>0.2</v>
      </c>
      <c r="G2009">
        <f t="shared" si="31"/>
        <v>1999.79</v>
      </c>
      <c r="H2009" t="str">
        <f>VLOOKUP(C2009,[1]products!$A:$B,2,FALSE)</f>
        <v>Trek Emonda S 5 - 2017</v>
      </c>
      <c r="I2009">
        <f>VLOOKUP(C2009,[1]products!$A:$D,4,FALSE)</f>
        <v>7</v>
      </c>
      <c r="J2009" t="str">
        <f>VLOOKUP(I2009,[2]categories!$A$1:$B$8,2,FALSE)</f>
        <v>Road Bikes</v>
      </c>
    </row>
    <row r="2010" customHeight="1" spans="1:10">
      <c r="A2010" s="1">
        <v>710</v>
      </c>
      <c r="B2010" s="1">
        <v>5</v>
      </c>
      <c r="C2010" s="1">
        <v>28</v>
      </c>
      <c r="D2010" s="1">
        <v>1</v>
      </c>
      <c r="E2010" s="1">
        <v>2499.99</v>
      </c>
      <c r="F2010" s="1">
        <v>0.05</v>
      </c>
      <c r="G2010">
        <f t="shared" si="31"/>
        <v>2499.94</v>
      </c>
      <c r="H2010" t="str">
        <f>VLOOKUP(C2010,[1]products!$A:$B,2,FALSE)</f>
        <v>Surly Karate Monkey 27.5+ Frameset - 2017</v>
      </c>
      <c r="I2010">
        <f>VLOOKUP(C2010,[1]products!$A:$D,4,FALSE)</f>
        <v>6</v>
      </c>
      <c r="J2010" t="str">
        <f>VLOOKUP(I2010,[2]categories!$A$1:$B$8,2,FALSE)</f>
        <v>Mountain Bikes</v>
      </c>
    </row>
    <row r="2011" customHeight="1" spans="1:10">
      <c r="A2011" s="1">
        <v>711</v>
      </c>
      <c r="B2011" s="1">
        <v>1</v>
      </c>
      <c r="C2011" s="1">
        <v>5</v>
      </c>
      <c r="D2011" s="1">
        <v>2</v>
      </c>
      <c r="E2011" s="1">
        <v>1320.99</v>
      </c>
      <c r="F2011" s="1">
        <v>0.05</v>
      </c>
      <c r="G2011">
        <f t="shared" si="31"/>
        <v>2641.93</v>
      </c>
      <c r="H2011" t="str">
        <f>VLOOKUP(C2011,[1]products!$A:$B,2,FALSE)</f>
        <v>Heller Shagamaw Frame - 2016</v>
      </c>
      <c r="I2011">
        <f>VLOOKUP(C2011,[1]products!$A:$D,4,FALSE)</f>
        <v>6</v>
      </c>
      <c r="J2011" t="str">
        <f>VLOOKUP(I2011,[2]categories!$A$1:$B$8,2,FALSE)</f>
        <v>Mountain Bikes</v>
      </c>
    </row>
    <row r="2012" customHeight="1" spans="1:10">
      <c r="A2012" s="1">
        <v>711</v>
      </c>
      <c r="B2012" s="1">
        <v>2</v>
      </c>
      <c r="C2012" s="1">
        <v>95</v>
      </c>
      <c r="D2012" s="1">
        <v>2</v>
      </c>
      <c r="E2012" s="1">
        <v>299.99</v>
      </c>
      <c r="F2012" s="1">
        <v>0.2</v>
      </c>
      <c r="G2012">
        <f t="shared" si="31"/>
        <v>599.78</v>
      </c>
      <c r="H2012" t="str">
        <f>VLOOKUP(C2012,[1]products!$A:$B,2,FALSE)</f>
        <v>Electra Girl's Hawaii 1 16" - 2017</v>
      </c>
      <c r="I2012">
        <f>VLOOKUP(C2012,[1]products!$A:$D,4,FALSE)</f>
        <v>1</v>
      </c>
      <c r="J2012" t="str">
        <f>VLOOKUP(I2012,[2]categories!$A$1:$B$8,2,FALSE)</f>
        <v>Children Bicycles</v>
      </c>
    </row>
    <row r="2013" customHeight="1" spans="1:10">
      <c r="A2013" s="1">
        <v>711</v>
      </c>
      <c r="B2013" s="1">
        <v>3</v>
      </c>
      <c r="C2013" s="1">
        <v>72</v>
      </c>
      <c r="D2013" s="1">
        <v>2</v>
      </c>
      <c r="E2013" s="1">
        <v>619.99</v>
      </c>
      <c r="F2013" s="1">
        <v>0.05</v>
      </c>
      <c r="G2013">
        <f t="shared" si="31"/>
        <v>1239.93</v>
      </c>
      <c r="H2013" t="str">
        <f>VLOOKUP(C2013,[1]products!$A:$B,2,FALSE)</f>
        <v>Sun Bicycles Biscayne Tandem 7 - 2017</v>
      </c>
      <c r="I2013">
        <f>VLOOKUP(C2013,[1]products!$A:$D,4,FALSE)</f>
        <v>3</v>
      </c>
      <c r="J2013" t="str">
        <f>VLOOKUP(I2013,[2]categories!$A$1:$B$8,2,FALSE)</f>
        <v>Cruisers Bicycles</v>
      </c>
    </row>
    <row r="2014" customHeight="1" spans="1:10">
      <c r="A2014" s="1">
        <v>712</v>
      </c>
      <c r="B2014" s="1">
        <v>1</v>
      </c>
      <c r="C2014" s="1">
        <v>44</v>
      </c>
      <c r="D2014" s="1">
        <v>2</v>
      </c>
      <c r="E2014" s="1">
        <v>539.99</v>
      </c>
      <c r="F2014" s="1">
        <v>0.2</v>
      </c>
      <c r="G2014">
        <f t="shared" si="31"/>
        <v>1079.78</v>
      </c>
      <c r="H2014" t="str">
        <f>VLOOKUP(C2014,[1]products!$A:$B,2,FALSE)</f>
        <v>Haro SR 1.1 - 2017</v>
      </c>
      <c r="I2014">
        <f>VLOOKUP(C2014,[1]products!$A:$D,4,FALSE)</f>
        <v>6</v>
      </c>
      <c r="J2014" t="str">
        <f>VLOOKUP(I2014,[2]categories!$A$1:$B$8,2,FALSE)</f>
        <v>Mountain Bikes</v>
      </c>
    </row>
    <row r="2015" customHeight="1" spans="1:10">
      <c r="A2015" s="1">
        <v>712</v>
      </c>
      <c r="B2015" s="1">
        <v>2</v>
      </c>
      <c r="C2015" s="1">
        <v>74</v>
      </c>
      <c r="D2015" s="1">
        <v>2</v>
      </c>
      <c r="E2015" s="1">
        <v>439.99</v>
      </c>
      <c r="F2015" s="1">
        <v>0.1</v>
      </c>
      <c r="G2015">
        <f t="shared" si="31"/>
        <v>879.88</v>
      </c>
      <c r="H2015" t="str">
        <f>VLOOKUP(C2015,[1]products!$A:$B,2,FALSE)</f>
        <v>Electra Cruiser Lux 1 - 2017</v>
      </c>
      <c r="I2015">
        <f>VLOOKUP(C2015,[1]products!$A:$D,4,FALSE)</f>
        <v>3</v>
      </c>
      <c r="J2015" t="str">
        <f>VLOOKUP(I2015,[2]categories!$A$1:$B$8,2,FALSE)</f>
        <v>Cruisers Bicycles</v>
      </c>
    </row>
    <row r="2016" customHeight="1" spans="1:10">
      <c r="A2016" s="1">
        <v>712</v>
      </c>
      <c r="B2016" s="1">
        <v>3</v>
      </c>
      <c r="C2016" s="1">
        <v>35</v>
      </c>
      <c r="D2016" s="1">
        <v>1</v>
      </c>
      <c r="E2016" s="1">
        <v>832.99</v>
      </c>
      <c r="F2016" s="1">
        <v>0.2</v>
      </c>
      <c r="G2016">
        <f t="shared" si="31"/>
        <v>832.79</v>
      </c>
      <c r="H2016" t="str">
        <f>VLOOKUP(C2016,[1]products!$A:$B,2,FALSE)</f>
        <v>Sun Bicycles Spider 3i - 2017</v>
      </c>
      <c r="I2016">
        <f>VLOOKUP(C2016,[1]products!$A:$D,4,FALSE)</f>
        <v>6</v>
      </c>
      <c r="J2016" t="str">
        <f>VLOOKUP(I2016,[2]categories!$A$1:$B$8,2,FALSE)</f>
        <v>Mountain Bikes</v>
      </c>
    </row>
    <row r="2017" customHeight="1" spans="1:10">
      <c r="A2017" s="1">
        <v>712</v>
      </c>
      <c r="B2017" s="1">
        <v>4</v>
      </c>
      <c r="C2017" s="1">
        <v>76</v>
      </c>
      <c r="D2017" s="1">
        <v>1</v>
      </c>
      <c r="E2017" s="1">
        <v>299.99</v>
      </c>
      <c r="F2017" s="1">
        <v>0.2</v>
      </c>
      <c r="G2017">
        <f t="shared" si="31"/>
        <v>299.79</v>
      </c>
      <c r="H2017" t="str">
        <f>VLOOKUP(C2017,[1]products!$A:$B,2,FALSE)</f>
        <v>Electra Girl's Hawaii 1 16" - 2017</v>
      </c>
      <c r="I2017">
        <f>VLOOKUP(C2017,[1]products!$A:$D,4,FALSE)</f>
        <v>3</v>
      </c>
      <c r="J2017" t="str">
        <f>VLOOKUP(I2017,[2]categories!$A$1:$B$8,2,FALSE)</f>
        <v>Cruisers Bicycles</v>
      </c>
    </row>
    <row r="2018" customHeight="1" spans="1:10">
      <c r="A2018" s="1">
        <v>712</v>
      </c>
      <c r="B2018" s="1">
        <v>5</v>
      </c>
      <c r="C2018" s="1">
        <v>4</v>
      </c>
      <c r="D2018" s="1">
        <v>2</v>
      </c>
      <c r="E2018" s="1">
        <v>2899.99</v>
      </c>
      <c r="F2018" s="1">
        <v>0.05</v>
      </c>
      <c r="G2018">
        <f t="shared" si="31"/>
        <v>5799.93</v>
      </c>
      <c r="H2018" t="str">
        <f>VLOOKUP(C2018,[1]products!$A:$B,2,FALSE)</f>
        <v>Trek Fuel EX 8 29 - 2016</v>
      </c>
      <c r="I2018">
        <f>VLOOKUP(C2018,[1]products!$A:$D,4,FALSE)</f>
        <v>6</v>
      </c>
      <c r="J2018" t="str">
        <f>VLOOKUP(I2018,[2]categories!$A$1:$B$8,2,FALSE)</f>
        <v>Mountain Bikes</v>
      </c>
    </row>
    <row r="2019" customHeight="1" spans="1:10">
      <c r="A2019" s="1">
        <v>713</v>
      </c>
      <c r="B2019" s="1">
        <v>1</v>
      </c>
      <c r="C2019" s="1">
        <v>93</v>
      </c>
      <c r="D2019" s="1">
        <v>2</v>
      </c>
      <c r="E2019" s="1">
        <v>209.99</v>
      </c>
      <c r="F2019" s="1">
        <v>0.2</v>
      </c>
      <c r="G2019">
        <f t="shared" si="31"/>
        <v>419.78</v>
      </c>
      <c r="H2019" t="str">
        <f>VLOOKUP(C2019,[1]products!$A:$B,2,FALSE)</f>
        <v>Haro Shredder 20 Girls - 2017</v>
      </c>
      <c r="I2019">
        <f>VLOOKUP(C2019,[1]products!$A:$D,4,FALSE)</f>
        <v>1</v>
      </c>
      <c r="J2019" t="str">
        <f>VLOOKUP(I2019,[2]categories!$A$1:$B$8,2,FALSE)</f>
        <v>Children Bicycles</v>
      </c>
    </row>
    <row r="2020" customHeight="1" spans="1:10">
      <c r="A2020" s="1">
        <v>713</v>
      </c>
      <c r="B2020" s="1">
        <v>2</v>
      </c>
      <c r="C2020" s="1">
        <v>97</v>
      </c>
      <c r="D2020" s="1">
        <v>2</v>
      </c>
      <c r="E2020" s="1">
        <v>349.99</v>
      </c>
      <c r="F2020" s="1">
        <v>0.1</v>
      </c>
      <c r="G2020">
        <f t="shared" si="31"/>
        <v>699.88</v>
      </c>
      <c r="H2020" t="str">
        <f>VLOOKUP(C2020,[1]products!$A:$B,2,FALSE)</f>
        <v>Electra Savannah 3i (20-inch) - Girl's - 2017</v>
      </c>
      <c r="I2020">
        <f>VLOOKUP(C2020,[1]products!$A:$D,4,FALSE)</f>
        <v>1</v>
      </c>
      <c r="J2020" t="str">
        <f>VLOOKUP(I2020,[2]categories!$A$1:$B$8,2,FALSE)</f>
        <v>Children Bicycles</v>
      </c>
    </row>
    <row r="2021" customHeight="1" spans="1:10">
      <c r="A2021" s="1">
        <v>713</v>
      </c>
      <c r="B2021" s="1">
        <v>3</v>
      </c>
      <c r="C2021" s="1">
        <v>53</v>
      </c>
      <c r="D2021" s="1">
        <v>1</v>
      </c>
      <c r="E2021" s="1">
        <v>749.99</v>
      </c>
      <c r="F2021" s="1">
        <v>0.07</v>
      </c>
      <c r="G2021">
        <f t="shared" si="31"/>
        <v>749.92</v>
      </c>
      <c r="H2021" t="str">
        <f>VLOOKUP(C2021,[1]products!$A:$B,2,FALSE)</f>
        <v>Surly Ogre Frameset - 2017</v>
      </c>
      <c r="I2021">
        <f>VLOOKUP(C2021,[1]products!$A:$D,4,FALSE)</f>
        <v>7</v>
      </c>
      <c r="J2021" t="str">
        <f>VLOOKUP(I2021,[2]categories!$A$1:$B$8,2,FALSE)</f>
        <v>Road Bikes</v>
      </c>
    </row>
    <row r="2022" customHeight="1" spans="1:10">
      <c r="A2022" s="1">
        <v>713</v>
      </c>
      <c r="B2022" s="1">
        <v>4</v>
      </c>
      <c r="C2022" s="1">
        <v>108</v>
      </c>
      <c r="D2022" s="1">
        <v>2</v>
      </c>
      <c r="E2022" s="1">
        <v>449.99</v>
      </c>
      <c r="F2022" s="1">
        <v>0.07</v>
      </c>
      <c r="G2022">
        <f t="shared" si="31"/>
        <v>899.91</v>
      </c>
      <c r="H2022" t="str">
        <f>VLOOKUP(C2022,[1]products!$A:$B,2,FALSE)</f>
        <v>Sun Bicycles Cruz 3 - Women's - 2017</v>
      </c>
      <c r="I2022">
        <f>VLOOKUP(C2022,[1]products!$A:$D,4,FALSE)</f>
        <v>2</v>
      </c>
      <c r="J2022" t="str">
        <f>VLOOKUP(I2022,[2]categories!$A$1:$B$8,2,FALSE)</f>
        <v>Comfort Bicycles</v>
      </c>
    </row>
    <row r="2023" customHeight="1" spans="1:10">
      <c r="A2023" s="1">
        <v>714</v>
      </c>
      <c r="B2023" s="1">
        <v>1</v>
      </c>
      <c r="C2023" s="1">
        <v>92</v>
      </c>
      <c r="D2023" s="1">
        <v>2</v>
      </c>
      <c r="E2023" s="1">
        <v>209.99</v>
      </c>
      <c r="F2023" s="1">
        <v>0.2</v>
      </c>
      <c r="G2023">
        <f t="shared" si="31"/>
        <v>419.78</v>
      </c>
      <c r="H2023" t="str">
        <f>VLOOKUP(C2023,[1]products!$A:$B,2,FALSE)</f>
        <v>Haro Shredder 20 - 2017</v>
      </c>
      <c r="I2023">
        <f>VLOOKUP(C2023,[1]products!$A:$D,4,FALSE)</f>
        <v>1</v>
      </c>
      <c r="J2023" t="str">
        <f>VLOOKUP(I2023,[2]categories!$A$1:$B$8,2,FALSE)</f>
        <v>Children Bicycles</v>
      </c>
    </row>
    <row r="2024" customHeight="1" spans="1:10">
      <c r="A2024" s="1">
        <v>715</v>
      </c>
      <c r="B2024" s="1">
        <v>1</v>
      </c>
      <c r="C2024" s="1">
        <v>61</v>
      </c>
      <c r="D2024" s="1">
        <v>2</v>
      </c>
      <c r="E2024" s="1">
        <v>4999.99</v>
      </c>
      <c r="F2024" s="1">
        <v>0.1</v>
      </c>
      <c r="G2024">
        <f t="shared" si="31"/>
        <v>9999.88</v>
      </c>
      <c r="H2024" t="str">
        <f>VLOOKUP(C2024,[1]products!$A:$B,2,FALSE)</f>
        <v>Trek Powerfly 8 FS Plus - 2017</v>
      </c>
      <c r="I2024">
        <f>VLOOKUP(C2024,[1]products!$A:$D,4,FALSE)</f>
        <v>5</v>
      </c>
      <c r="J2024" t="str">
        <f>VLOOKUP(I2024,[2]categories!$A$1:$B$8,2,FALSE)</f>
        <v>Electric Bikes</v>
      </c>
    </row>
    <row r="2025" customHeight="1" spans="1:10">
      <c r="A2025" s="1">
        <v>715</v>
      </c>
      <c r="B2025" s="1">
        <v>2</v>
      </c>
      <c r="C2025" s="1">
        <v>50</v>
      </c>
      <c r="D2025" s="1">
        <v>1</v>
      </c>
      <c r="E2025" s="1">
        <v>5999.99</v>
      </c>
      <c r="F2025" s="1">
        <v>0.2</v>
      </c>
      <c r="G2025">
        <f t="shared" si="31"/>
        <v>5999.79</v>
      </c>
      <c r="H2025" t="str">
        <f>VLOOKUP(C2025,[1]products!$A:$B,2,FALSE)</f>
        <v>Trek Silque SLR 7 Women's - 2017</v>
      </c>
      <c r="I2025">
        <f>VLOOKUP(C2025,[1]products!$A:$D,4,FALSE)</f>
        <v>7</v>
      </c>
      <c r="J2025" t="str">
        <f>VLOOKUP(I2025,[2]categories!$A$1:$B$8,2,FALSE)</f>
        <v>Road Bikes</v>
      </c>
    </row>
    <row r="2026" customHeight="1" spans="1:10">
      <c r="A2026" s="1">
        <v>716</v>
      </c>
      <c r="B2026" s="1">
        <v>1</v>
      </c>
      <c r="C2026" s="1">
        <v>111</v>
      </c>
      <c r="D2026" s="1">
        <v>2</v>
      </c>
      <c r="E2026" s="1">
        <v>470.99</v>
      </c>
      <c r="F2026" s="1">
        <v>0.1</v>
      </c>
      <c r="G2026">
        <f t="shared" si="31"/>
        <v>941.88</v>
      </c>
      <c r="H2026" t="str">
        <f>VLOOKUP(C2026,[1]products!$A:$B,2,FALSE)</f>
        <v>Sun Bicycles Drifter 7 - Women's - 2017</v>
      </c>
      <c r="I2026">
        <f>VLOOKUP(C2026,[1]products!$A:$D,4,FALSE)</f>
        <v>2</v>
      </c>
      <c r="J2026" t="str">
        <f>VLOOKUP(I2026,[2]categories!$A$1:$B$8,2,FALSE)</f>
        <v>Comfort Bicycles</v>
      </c>
    </row>
    <row r="2027" customHeight="1" spans="1:10">
      <c r="A2027" s="1">
        <v>716</v>
      </c>
      <c r="B2027" s="1">
        <v>2</v>
      </c>
      <c r="C2027" s="1">
        <v>93</v>
      </c>
      <c r="D2027" s="1">
        <v>2</v>
      </c>
      <c r="E2027" s="1">
        <v>209.99</v>
      </c>
      <c r="F2027" s="1">
        <v>0.07</v>
      </c>
      <c r="G2027">
        <f t="shared" si="31"/>
        <v>419.91</v>
      </c>
      <c r="H2027" t="str">
        <f>VLOOKUP(C2027,[1]products!$A:$B,2,FALSE)</f>
        <v>Haro Shredder 20 Girls - 2017</v>
      </c>
      <c r="I2027">
        <f>VLOOKUP(C2027,[1]products!$A:$D,4,FALSE)</f>
        <v>1</v>
      </c>
      <c r="J2027" t="str">
        <f>VLOOKUP(I2027,[2]categories!$A$1:$B$8,2,FALSE)</f>
        <v>Children Bicycles</v>
      </c>
    </row>
    <row r="2028" customHeight="1" spans="1:10">
      <c r="A2028" s="1">
        <v>716</v>
      </c>
      <c r="B2028" s="1">
        <v>3</v>
      </c>
      <c r="C2028" s="1">
        <v>79</v>
      </c>
      <c r="D2028" s="1">
        <v>1</v>
      </c>
      <c r="E2028" s="1">
        <v>402.99</v>
      </c>
      <c r="F2028" s="1">
        <v>0.1</v>
      </c>
      <c r="G2028">
        <f t="shared" si="31"/>
        <v>402.89</v>
      </c>
      <c r="H2028" t="str">
        <f>VLOOKUP(C2028,[1]products!$A:$B,2,FALSE)</f>
        <v>Sun Bicycles Boardwalk (24-inch Wheels) - 2017</v>
      </c>
      <c r="I2028">
        <f>VLOOKUP(C2028,[1]products!$A:$D,4,FALSE)</f>
        <v>3</v>
      </c>
      <c r="J2028" t="str">
        <f>VLOOKUP(I2028,[2]categories!$A$1:$B$8,2,FALSE)</f>
        <v>Cruisers Bicycles</v>
      </c>
    </row>
    <row r="2029" customHeight="1" spans="1:10">
      <c r="A2029" s="1">
        <v>716</v>
      </c>
      <c r="B2029" s="1">
        <v>4</v>
      </c>
      <c r="C2029" s="1">
        <v>4</v>
      </c>
      <c r="D2029" s="1">
        <v>2</v>
      </c>
      <c r="E2029" s="1">
        <v>2899.99</v>
      </c>
      <c r="F2029" s="1">
        <v>0.05</v>
      </c>
      <c r="G2029">
        <f t="shared" si="31"/>
        <v>5799.93</v>
      </c>
      <c r="H2029" t="str">
        <f>VLOOKUP(C2029,[1]products!$A:$B,2,FALSE)</f>
        <v>Trek Fuel EX 8 29 - 2016</v>
      </c>
      <c r="I2029">
        <f>VLOOKUP(C2029,[1]products!$A:$D,4,FALSE)</f>
        <v>6</v>
      </c>
      <c r="J2029" t="str">
        <f>VLOOKUP(I2029,[2]categories!$A$1:$B$8,2,FALSE)</f>
        <v>Mountain Bikes</v>
      </c>
    </row>
    <row r="2030" customHeight="1" spans="1:10">
      <c r="A2030" s="1">
        <v>717</v>
      </c>
      <c r="B2030" s="1">
        <v>1</v>
      </c>
      <c r="C2030" s="1">
        <v>56</v>
      </c>
      <c r="D2030" s="1">
        <v>2</v>
      </c>
      <c r="E2030" s="1">
        <v>5499.99</v>
      </c>
      <c r="F2030" s="1">
        <v>0.05</v>
      </c>
      <c r="G2030">
        <f t="shared" si="31"/>
        <v>10999.93</v>
      </c>
      <c r="H2030" t="str">
        <f>VLOOKUP(C2030,[1]products!$A:$B,2,FALSE)</f>
        <v>Trek Domane SLR 6 Disc - 2017</v>
      </c>
      <c r="I2030">
        <f>VLOOKUP(C2030,[1]products!$A:$D,4,FALSE)</f>
        <v>7</v>
      </c>
      <c r="J2030" t="str">
        <f>VLOOKUP(I2030,[2]categories!$A$1:$B$8,2,FALSE)</f>
        <v>Road Bikes</v>
      </c>
    </row>
    <row r="2031" customHeight="1" spans="1:10">
      <c r="A2031" s="1">
        <v>717</v>
      </c>
      <c r="B2031" s="1">
        <v>2</v>
      </c>
      <c r="C2031" s="1">
        <v>93</v>
      </c>
      <c r="D2031" s="1">
        <v>1</v>
      </c>
      <c r="E2031" s="1">
        <v>209.99</v>
      </c>
      <c r="F2031" s="1">
        <v>0.2</v>
      </c>
      <c r="G2031">
        <f t="shared" si="31"/>
        <v>209.79</v>
      </c>
      <c r="H2031" t="str">
        <f>VLOOKUP(C2031,[1]products!$A:$B,2,FALSE)</f>
        <v>Haro Shredder 20 Girls - 2017</v>
      </c>
      <c r="I2031">
        <f>VLOOKUP(C2031,[1]products!$A:$D,4,FALSE)</f>
        <v>1</v>
      </c>
      <c r="J2031" t="str">
        <f>VLOOKUP(I2031,[2]categories!$A$1:$B$8,2,FALSE)</f>
        <v>Children Bicycles</v>
      </c>
    </row>
    <row r="2032" customHeight="1" spans="1:10">
      <c r="A2032" s="1">
        <v>718</v>
      </c>
      <c r="B2032" s="1">
        <v>1</v>
      </c>
      <c r="C2032" s="1">
        <v>92</v>
      </c>
      <c r="D2032" s="1">
        <v>2</v>
      </c>
      <c r="E2032" s="1">
        <v>209.99</v>
      </c>
      <c r="F2032" s="1">
        <v>0.07</v>
      </c>
      <c r="G2032">
        <f t="shared" si="31"/>
        <v>419.91</v>
      </c>
      <c r="H2032" t="str">
        <f>VLOOKUP(C2032,[1]products!$A:$B,2,FALSE)</f>
        <v>Haro Shredder 20 - 2017</v>
      </c>
      <c r="I2032">
        <f>VLOOKUP(C2032,[1]products!$A:$D,4,FALSE)</f>
        <v>1</v>
      </c>
      <c r="J2032" t="str">
        <f>VLOOKUP(I2032,[2]categories!$A$1:$B$8,2,FALSE)</f>
        <v>Children Bicycles</v>
      </c>
    </row>
    <row r="2033" customHeight="1" spans="1:10">
      <c r="A2033" s="1">
        <v>718</v>
      </c>
      <c r="B2033" s="1">
        <v>2</v>
      </c>
      <c r="C2033" s="1">
        <v>40</v>
      </c>
      <c r="D2033" s="1">
        <v>2</v>
      </c>
      <c r="E2033" s="1">
        <v>4999.99</v>
      </c>
      <c r="F2033" s="1">
        <v>0.07</v>
      </c>
      <c r="G2033">
        <f t="shared" si="31"/>
        <v>9999.91</v>
      </c>
      <c r="H2033" t="str">
        <f>VLOOKUP(C2033,[1]products!$A:$B,2,FALSE)</f>
        <v>Trek Fuel EX 9.8 29 - 2017</v>
      </c>
      <c r="I2033">
        <f>VLOOKUP(C2033,[1]products!$A:$D,4,FALSE)</f>
        <v>6</v>
      </c>
      <c r="J2033" t="str">
        <f>VLOOKUP(I2033,[2]categories!$A$1:$B$8,2,FALSE)</f>
        <v>Mountain Bikes</v>
      </c>
    </row>
    <row r="2034" customHeight="1" spans="1:10">
      <c r="A2034" s="1">
        <v>718</v>
      </c>
      <c r="B2034" s="1">
        <v>3</v>
      </c>
      <c r="C2034" s="1">
        <v>64</v>
      </c>
      <c r="D2034" s="1">
        <v>2</v>
      </c>
      <c r="E2034" s="1">
        <v>489.99</v>
      </c>
      <c r="F2034" s="1">
        <v>0.1</v>
      </c>
      <c r="G2034">
        <f t="shared" si="31"/>
        <v>979.88</v>
      </c>
      <c r="H2034" t="str">
        <f>VLOOKUP(C2034,[1]products!$A:$B,2,FALSE)</f>
        <v>Electra Townie Original 7D - 2017</v>
      </c>
      <c r="I2034">
        <f>VLOOKUP(C2034,[1]products!$A:$D,4,FALSE)</f>
        <v>3</v>
      </c>
      <c r="J2034" t="str">
        <f>VLOOKUP(I2034,[2]categories!$A$1:$B$8,2,FALSE)</f>
        <v>Cruisers Bicycles</v>
      </c>
    </row>
    <row r="2035" customHeight="1" spans="1:10">
      <c r="A2035" s="1">
        <v>719</v>
      </c>
      <c r="B2035" s="1">
        <v>1</v>
      </c>
      <c r="C2035" s="1">
        <v>100</v>
      </c>
      <c r="D2035" s="1">
        <v>1</v>
      </c>
      <c r="E2035" s="1">
        <v>489.99</v>
      </c>
      <c r="F2035" s="1">
        <v>0.2</v>
      </c>
      <c r="G2035">
        <f t="shared" si="31"/>
        <v>489.79</v>
      </c>
      <c r="H2035" t="str">
        <f>VLOOKUP(C2035,[1]products!$A:$B,2,FALSE)</f>
        <v>Electra Townie 3i EQ (20-inch) - Boys' - 2017</v>
      </c>
      <c r="I2035">
        <f>VLOOKUP(C2035,[1]products!$A:$D,4,FALSE)</f>
        <v>1</v>
      </c>
      <c r="J2035" t="str">
        <f>VLOOKUP(I2035,[2]categories!$A$1:$B$8,2,FALSE)</f>
        <v>Children Bicycles</v>
      </c>
    </row>
    <row r="2036" customHeight="1" spans="1:10">
      <c r="A2036" s="1">
        <v>720</v>
      </c>
      <c r="B2036" s="1">
        <v>1</v>
      </c>
      <c r="C2036" s="1">
        <v>111</v>
      </c>
      <c r="D2036" s="1">
        <v>1</v>
      </c>
      <c r="E2036" s="1">
        <v>470.99</v>
      </c>
      <c r="F2036" s="1">
        <v>0.07</v>
      </c>
      <c r="G2036">
        <f t="shared" si="31"/>
        <v>470.92</v>
      </c>
      <c r="H2036" t="str">
        <f>VLOOKUP(C2036,[1]products!$A:$B,2,FALSE)</f>
        <v>Sun Bicycles Drifter 7 - Women's - 2017</v>
      </c>
      <c r="I2036">
        <f>VLOOKUP(C2036,[1]products!$A:$D,4,FALSE)</f>
        <v>2</v>
      </c>
      <c r="J2036" t="str">
        <f>VLOOKUP(I2036,[2]categories!$A$1:$B$8,2,FALSE)</f>
        <v>Comfort Bicycles</v>
      </c>
    </row>
    <row r="2037" customHeight="1" spans="1:10">
      <c r="A2037" s="1">
        <v>720</v>
      </c>
      <c r="B2037" s="1">
        <v>2</v>
      </c>
      <c r="C2037" s="1">
        <v>6</v>
      </c>
      <c r="D2037" s="1">
        <v>1</v>
      </c>
      <c r="E2037" s="1">
        <v>469.99</v>
      </c>
      <c r="F2037" s="1">
        <v>0.1</v>
      </c>
      <c r="G2037">
        <f t="shared" si="31"/>
        <v>469.89</v>
      </c>
      <c r="H2037" t="str">
        <f>VLOOKUP(C2037,[1]products!$A:$B,2,FALSE)</f>
        <v>Surly Ice Cream Truck Frameset - 2016</v>
      </c>
      <c r="I2037">
        <f>VLOOKUP(C2037,[1]products!$A:$D,4,FALSE)</f>
        <v>6</v>
      </c>
      <c r="J2037" t="str">
        <f>VLOOKUP(I2037,[2]categories!$A$1:$B$8,2,FALSE)</f>
        <v>Mountain Bikes</v>
      </c>
    </row>
    <row r="2038" customHeight="1" spans="1:10">
      <c r="A2038" s="1">
        <v>721</v>
      </c>
      <c r="B2038" s="1">
        <v>1</v>
      </c>
      <c r="C2038" s="1">
        <v>45</v>
      </c>
      <c r="D2038" s="1">
        <v>2</v>
      </c>
      <c r="E2038" s="1">
        <v>869.99</v>
      </c>
      <c r="F2038" s="1">
        <v>0.07</v>
      </c>
      <c r="G2038">
        <f t="shared" si="31"/>
        <v>1739.91</v>
      </c>
      <c r="H2038" t="str">
        <f>VLOOKUP(C2038,[1]products!$A:$B,2,FALSE)</f>
        <v>Haro SR 1.2 - 2017</v>
      </c>
      <c r="I2038">
        <f>VLOOKUP(C2038,[1]products!$A:$D,4,FALSE)</f>
        <v>6</v>
      </c>
      <c r="J2038" t="str">
        <f>VLOOKUP(I2038,[2]categories!$A$1:$B$8,2,FALSE)</f>
        <v>Mountain Bikes</v>
      </c>
    </row>
    <row r="2039" customHeight="1" spans="1:10">
      <c r="A2039" s="1">
        <v>721</v>
      </c>
      <c r="B2039" s="1">
        <v>2</v>
      </c>
      <c r="C2039" s="1">
        <v>102</v>
      </c>
      <c r="D2039" s="1">
        <v>1</v>
      </c>
      <c r="E2039" s="1">
        <v>489.99</v>
      </c>
      <c r="F2039" s="1">
        <v>0.1</v>
      </c>
      <c r="G2039">
        <f t="shared" si="31"/>
        <v>489.89</v>
      </c>
      <c r="H2039" t="str">
        <f>VLOOKUP(C2039,[1]products!$A:$B,2,FALSE)</f>
        <v>Electra Townie Original 7D - 2017</v>
      </c>
      <c r="I2039">
        <f>VLOOKUP(C2039,[1]products!$A:$D,4,FALSE)</f>
        <v>2</v>
      </c>
      <c r="J2039" t="str">
        <f>VLOOKUP(I2039,[2]categories!$A$1:$B$8,2,FALSE)</f>
        <v>Comfort Bicycles</v>
      </c>
    </row>
    <row r="2040" customHeight="1" spans="1:10">
      <c r="A2040" s="1">
        <v>721</v>
      </c>
      <c r="B2040" s="1">
        <v>3</v>
      </c>
      <c r="C2040" s="1">
        <v>73</v>
      </c>
      <c r="D2040" s="1">
        <v>2</v>
      </c>
      <c r="E2040" s="1">
        <v>749.99</v>
      </c>
      <c r="F2040" s="1">
        <v>0.05</v>
      </c>
      <c r="G2040">
        <f t="shared" si="31"/>
        <v>1499.93</v>
      </c>
      <c r="H2040" t="str">
        <f>VLOOKUP(C2040,[1]products!$A:$B,2,FALSE)</f>
        <v>Sun Bicycles Brickell Tandem 7 - 2017</v>
      </c>
      <c r="I2040">
        <f>VLOOKUP(C2040,[1]products!$A:$D,4,FALSE)</f>
        <v>3</v>
      </c>
      <c r="J2040" t="str">
        <f>VLOOKUP(I2040,[2]categories!$A$1:$B$8,2,FALSE)</f>
        <v>Cruisers Bicycles</v>
      </c>
    </row>
    <row r="2041" customHeight="1" spans="1:10">
      <c r="A2041" s="1">
        <v>721</v>
      </c>
      <c r="B2041" s="1">
        <v>4</v>
      </c>
      <c r="C2041" s="1">
        <v>33</v>
      </c>
      <c r="D2041" s="1">
        <v>1</v>
      </c>
      <c r="E2041" s="1">
        <v>469.99</v>
      </c>
      <c r="F2041" s="1">
        <v>0.2</v>
      </c>
      <c r="G2041">
        <f t="shared" si="31"/>
        <v>469.79</v>
      </c>
      <c r="H2041" t="str">
        <f>VLOOKUP(C2041,[1]products!$A:$B,2,FALSE)</f>
        <v>Surly Wednesday Frameset - 2017</v>
      </c>
      <c r="I2041">
        <f>VLOOKUP(C2041,[1]products!$A:$D,4,FALSE)</f>
        <v>6</v>
      </c>
      <c r="J2041" t="str">
        <f>VLOOKUP(I2041,[2]categories!$A$1:$B$8,2,FALSE)</f>
        <v>Mountain Bikes</v>
      </c>
    </row>
    <row r="2042" customHeight="1" spans="1:10">
      <c r="A2042" s="1">
        <v>722</v>
      </c>
      <c r="B2042" s="1">
        <v>1</v>
      </c>
      <c r="C2042" s="1">
        <v>22</v>
      </c>
      <c r="D2042" s="1">
        <v>2</v>
      </c>
      <c r="E2042" s="1">
        <v>269.99</v>
      </c>
      <c r="F2042" s="1">
        <v>0.07</v>
      </c>
      <c r="G2042">
        <f t="shared" si="31"/>
        <v>539.91</v>
      </c>
      <c r="H2042" t="str">
        <f>VLOOKUP(C2042,[1]products!$A:$B,2,FALSE)</f>
        <v>Electra Girl's Hawaii 1 (16-inch) - 2015/2016</v>
      </c>
      <c r="I2042">
        <f>VLOOKUP(C2042,[1]products!$A:$D,4,FALSE)</f>
        <v>1</v>
      </c>
      <c r="J2042" t="str">
        <f>VLOOKUP(I2042,[2]categories!$A$1:$B$8,2,FALSE)</f>
        <v>Children Bicycles</v>
      </c>
    </row>
    <row r="2043" customHeight="1" spans="1:10">
      <c r="A2043" s="1">
        <v>722</v>
      </c>
      <c r="B2043" s="1">
        <v>2</v>
      </c>
      <c r="C2043" s="1">
        <v>3</v>
      </c>
      <c r="D2043" s="1">
        <v>1</v>
      </c>
      <c r="E2043" s="1">
        <v>999.99</v>
      </c>
      <c r="F2043" s="1">
        <v>0.05</v>
      </c>
      <c r="G2043">
        <f t="shared" si="31"/>
        <v>999.94</v>
      </c>
      <c r="H2043" t="str">
        <f>VLOOKUP(C2043,[1]products!$A:$B,2,FALSE)</f>
        <v>Surly Wednesday Frameset - 2016</v>
      </c>
      <c r="I2043">
        <f>VLOOKUP(C2043,[1]products!$A:$D,4,FALSE)</f>
        <v>6</v>
      </c>
      <c r="J2043" t="str">
        <f>VLOOKUP(I2043,[2]categories!$A$1:$B$8,2,FALSE)</f>
        <v>Mountain Bikes</v>
      </c>
    </row>
    <row r="2044" customHeight="1" spans="1:10">
      <c r="A2044" s="1">
        <v>722</v>
      </c>
      <c r="B2044" s="1">
        <v>3</v>
      </c>
      <c r="C2044" s="1">
        <v>104</v>
      </c>
      <c r="D2044" s="1">
        <v>2</v>
      </c>
      <c r="E2044" s="1">
        <v>481.99</v>
      </c>
      <c r="F2044" s="1">
        <v>0.1</v>
      </c>
      <c r="G2044">
        <f t="shared" si="31"/>
        <v>963.88</v>
      </c>
      <c r="H2044" t="str">
        <f>VLOOKUP(C2044,[1]products!$A:$B,2,FALSE)</f>
        <v>Sun Bicycles Streamway - 2017</v>
      </c>
      <c r="I2044">
        <f>VLOOKUP(C2044,[1]products!$A:$D,4,FALSE)</f>
        <v>2</v>
      </c>
      <c r="J2044" t="str">
        <f>VLOOKUP(I2044,[2]categories!$A$1:$B$8,2,FALSE)</f>
        <v>Comfort Bicycles</v>
      </c>
    </row>
    <row r="2045" customHeight="1" spans="1:10">
      <c r="A2045" s="1">
        <v>723</v>
      </c>
      <c r="B2045" s="1">
        <v>1</v>
      </c>
      <c r="C2045" s="1">
        <v>24</v>
      </c>
      <c r="D2045" s="1">
        <v>2</v>
      </c>
      <c r="E2045" s="1">
        <v>549.99</v>
      </c>
      <c r="F2045" s="1">
        <v>0.07</v>
      </c>
      <c r="G2045">
        <f t="shared" si="31"/>
        <v>1099.91</v>
      </c>
      <c r="H2045" t="str">
        <f>VLOOKUP(C2045,[1]products!$A:$B,2,FALSE)</f>
        <v>Electra Townie Original 21D - 2016</v>
      </c>
      <c r="I2045">
        <f>VLOOKUP(C2045,[1]products!$A:$D,4,FALSE)</f>
        <v>2</v>
      </c>
      <c r="J2045" t="str">
        <f>VLOOKUP(I2045,[2]categories!$A$1:$B$8,2,FALSE)</f>
        <v>Comfort Bicycles</v>
      </c>
    </row>
    <row r="2046" customHeight="1" spans="1:10">
      <c r="A2046" s="1">
        <v>723</v>
      </c>
      <c r="B2046" s="1">
        <v>2</v>
      </c>
      <c r="C2046" s="1">
        <v>16</v>
      </c>
      <c r="D2046" s="1">
        <v>1</v>
      </c>
      <c r="E2046" s="1">
        <v>599.99</v>
      </c>
      <c r="F2046" s="1">
        <v>0.05</v>
      </c>
      <c r="G2046">
        <f t="shared" si="31"/>
        <v>599.94</v>
      </c>
      <c r="H2046" t="str">
        <f>VLOOKUP(C2046,[1]products!$A:$B,2,FALSE)</f>
        <v>Electra Townie Original 7D EQ - 2016</v>
      </c>
      <c r="I2046">
        <f>VLOOKUP(C2046,[1]products!$A:$D,4,FALSE)</f>
        <v>3</v>
      </c>
      <c r="J2046" t="str">
        <f>VLOOKUP(I2046,[2]categories!$A$1:$B$8,2,FALSE)</f>
        <v>Cruisers Bicycles</v>
      </c>
    </row>
    <row r="2047" customHeight="1" spans="1:10">
      <c r="A2047" s="1">
        <v>723</v>
      </c>
      <c r="B2047" s="1">
        <v>3</v>
      </c>
      <c r="C2047" s="1">
        <v>108</v>
      </c>
      <c r="D2047" s="1">
        <v>1</v>
      </c>
      <c r="E2047" s="1">
        <v>449.99</v>
      </c>
      <c r="F2047" s="1">
        <v>0.07</v>
      </c>
      <c r="G2047">
        <f t="shared" si="31"/>
        <v>449.92</v>
      </c>
      <c r="H2047" t="str">
        <f>VLOOKUP(C2047,[1]products!$A:$B,2,FALSE)</f>
        <v>Sun Bicycles Cruz 3 - Women's - 2017</v>
      </c>
      <c r="I2047">
        <f>VLOOKUP(C2047,[1]products!$A:$D,4,FALSE)</f>
        <v>2</v>
      </c>
      <c r="J2047" t="str">
        <f>VLOOKUP(I2047,[2]categories!$A$1:$B$8,2,FALSE)</f>
        <v>Comfort Bicycles</v>
      </c>
    </row>
    <row r="2048" customHeight="1" spans="1:10">
      <c r="A2048" s="1">
        <v>724</v>
      </c>
      <c r="B2048" s="1">
        <v>1</v>
      </c>
      <c r="C2048" s="1">
        <v>23</v>
      </c>
      <c r="D2048" s="1">
        <v>1</v>
      </c>
      <c r="E2048" s="1">
        <v>299.99</v>
      </c>
      <c r="F2048" s="1">
        <v>0.05</v>
      </c>
      <c r="G2048">
        <f t="shared" si="31"/>
        <v>299.94</v>
      </c>
      <c r="H2048" t="str">
        <f>VLOOKUP(C2048,[1]products!$A:$B,2,FALSE)</f>
        <v>Electra Girl's Hawaii 1 (20-inch) - 2015/2016</v>
      </c>
      <c r="I2048">
        <f>VLOOKUP(C2048,[1]products!$A:$D,4,FALSE)</f>
        <v>1</v>
      </c>
      <c r="J2048" t="str">
        <f>VLOOKUP(I2048,[2]categories!$A$1:$B$8,2,FALSE)</f>
        <v>Children Bicycles</v>
      </c>
    </row>
    <row r="2049" customHeight="1" spans="1:10">
      <c r="A2049" s="1">
        <v>724</v>
      </c>
      <c r="B2049" s="1">
        <v>2</v>
      </c>
      <c r="C2049" s="1">
        <v>75</v>
      </c>
      <c r="D2049" s="1">
        <v>1</v>
      </c>
      <c r="E2049" s="1">
        <v>599.99</v>
      </c>
      <c r="F2049" s="1">
        <v>0.2</v>
      </c>
      <c r="G2049">
        <f t="shared" si="31"/>
        <v>599.79</v>
      </c>
      <c r="H2049" t="str">
        <f>VLOOKUP(C2049,[1]products!$A:$B,2,FALSE)</f>
        <v>Electra Cruiser Lux Fat Tire 1 Ladies - 2017</v>
      </c>
      <c r="I2049">
        <f>VLOOKUP(C2049,[1]products!$A:$D,4,FALSE)</f>
        <v>3</v>
      </c>
      <c r="J2049" t="str">
        <f>VLOOKUP(I2049,[2]categories!$A$1:$B$8,2,FALSE)</f>
        <v>Cruisers Bicycles</v>
      </c>
    </row>
    <row r="2050" customHeight="1" spans="1:10">
      <c r="A2050" s="1">
        <v>724</v>
      </c>
      <c r="B2050" s="1">
        <v>3</v>
      </c>
      <c r="C2050" s="1">
        <v>102</v>
      </c>
      <c r="D2050" s="1">
        <v>1</v>
      </c>
      <c r="E2050" s="1">
        <v>489.99</v>
      </c>
      <c r="F2050" s="1">
        <v>0.05</v>
      </c>
      <c r="G2050">
        <f t="shared" si="31"/>
        <v>489.94</v>
      </c>
      <c r="H2050" t="str">
        <f>VLOOKUP(C2050,[1]products!$A:$B,2,FALSE)</f>
        <v>Electra Townie Original 7D - 2017</v>
      </c>
      <c r="I2050">
        <f>VLOOKUP(C2050,[1]products!$A:$D,4,FALSE)</f>
        <v>2</v>
      </c>
      <c r="J2050" t="str">
        <f>VLOOKUP(I2050,[2]categories!$A$1:$B$8,2,FALSE)</f>
        <v>Comfort Bicycles</v>
      </c>
    </row>
    <row r="2051" customHeight="1" spans="1:10">
      <c r="A2051" s="1">
        <v>724</v>
      </c>
      <c r="B2051" s="1">
        <v>4</v>
      </c>
      <c r="C2051" s="1">
        <v>55</v>
      </c>
      <c r="D2051" s="1">
        <v>1</v>
      </c>
      <c r="E2051" s="1">
        <v>2699.99</v>
      </c>
      <c r="F2051" s="1">
        <v>0.2</v>
      </c>
      <c r="G2051">
        <f t="shared" ref="G2051:G2114" si="32">(E2051*D2051)-F2051</f>
        <v>2699.79</v>
      </c>
      <c r="H2051" t="str">
        <f>VLOOKUP(C2051,[1]products!$A:$B,2,FALSE)</f>
        <v>Trek Domane S 6 - 2017</v>
      </c>
      <c r="I2051">
        <f>VLOOKUP(C2051,[1]products!$A:$D,4,FALSE)</f>
        <v>7</v>
      </c>
      <c r="J2051" t="str">
        <f>VLOOKUP(I2051,[2]categories!$A$1:$B$8,2,FALSE)</f>
        <v>Road Bikes</v>
      </c>
    </row>
    <row r="2052" customHeight="1" spans="1:10">
      <c r="A2052" s="1">
        <v>725</v>
      </c>
      <c r="B2052" s="1">
        <v>1</v>
      </c>
      <c r="C2052" s="1">
        <v>90</v>
      </c>
      <c r="D2052" s="1">
        <v>1</v>
      </c>
      <c r="E2052" s="1">
        <v>209.99</v>
      </c>
      <c r="F2052" s="1">
        <v>0.1</v>
      </c>
      <c r="G2052">
        <f t="shared" si="32"/>
        <v>209.89</v>
      </c>
      <c r="H2052" t="str">
        <f>VLOOKUP(C2052,[1]products!$A:$B,2,FALSE)</f>
        <v>Trek Precaliber 16 Girls - 2017</v>
      </c>
      <c r="I2052">
        <f>VLOOKUP(C2052,[1]products!$A:$D,4,FALSE)</f>
        <v>1</v>
      </c>
      <c r="J2052" t="str">
        <f>VLOOKUP(I2052,[2]categories!$A$1:$B$8,2,FALSE)</f>
        <v>Children Bicycles</v>
      </c>
    </row>
    <row r="2053" customHeight="1" spans="1:10">
      <c r="A2053" s="1">
        <v>725</v>
      </c>
      <c r="B2053" s="1">
        <v>2</v>
      </c>
      <c r="C2053" s="1">
        <v>91</v>
      </c>
      <c r="D2053" s="1">
        <v>1</v>
      </c>
      <c r="E2053" s="1">
        <v>349.99</v>
      </c>
      <c r="F2053" s="1">
        <v>0.05</v>
      </c>
      <c r="G2053">
        <f t="shared" si="32"/>
        <v>349.94</v>
      </c>
      <c r="H2053" t="str">
        <f>VLOOKUP(C2053,[1]products!$A:$B,2,FALSE)</f>
        <v>Trek Precaliber 24 (21-Speed) - Girls - 2017</v>
      </c>
      <c r="I2053">
        <f>VLOOKUP(C2053,[1]products!$A:$D,4,FALSE)</f>
        <v>1</v>
      </c>
      <c r="J2053" t="str">
        <f>VLOOKUP(I2053,[2]categories!$A$1:$B$8,2,FALSE)</f>
        <v>Children Bicycles</v>
      </c>
    </row>
    <row r="2054" customHeight="1" spans="1:10">
      <c r="A2054" s="1">
        <v>725</v>
      </c>
      <c r="B2054" s="1">
        <v>3</v>
      </c>
      <c r="C2054" s="1">
        <v>77</v>
      </c>
      <c r="D2054" s="1">
        <v>2</v>
      </c>
      <c r="E2054" s="1">
        <v>799.99</v>
      </c>
      <c r="F2054" s="1">
        <v>0.07</v>
      </c>
      <c r="G2054">
        <f t="shared" si="32"/>
        <v>1599.91</v>
      </c>
      <c r="H2054" t="str">
        <f>VLOOKUP(C2054,[1]products!$A:$B,2,FALSE)</f>
        <v>Electra Glam Punk 3i Ladies' - 2017</v>
      </c>
      <c r="I2054">
        <f>VLOOKUP(C2054,[1]products!$A:$D,4,FALSE)</f>
        <v>3</v>
      </c>
      <c r="J2054" t="str">
        <f>VLOOKUP(I2054,[2]categories!$A$1:$B$8,2,FALSE)</f>
        <v>Cruisers Bicycles</v>
      </c>
    </row>
    <row r="2055" customHeight="1" spans="1:10">
      <c r="A2055" s="1">
        <v>725</v>
      </c>
      <c r="B2055" s="1">
        <v>4</v>
      </c>
      <c r="C2055" s="1">
        <v>62</v>
      </c>
      <c r="D2055" s="1">
        <v>2</v>
      </c>
      <c r="E2055" s="1">
        <v>3499.99</v>
      </c>
      <c r="F2055" s="1">
        <v>0.1</v>
      </c>
      <c r="G2055">
        <f t="shared" si="32"/>
        <v>6999.88</v>
      </c>
      <c r="H2055" t="str">
        <f>VLOOKUP(C2055,[1]products!$A:$B,2,FALSE)</f>
        <v>Trek Boone 7 - 2017</v>
      </c>
      <c r="I2055">
        <f>VLOOKUP(C2055,[1]products!$A:$D,4,FALSE)</f>
        <v>4</v>
      </c>
      <c r="J2055" t="str">
        <f>VLOOKUP(I2055,[2]categories!$A$1:$B$8,2,FALSE)</f>
        <v>Cyclocross Bicycles</v>
      </c>
    </row>
    <row r="2056" customHeight="1" spans="1:10">
      <c r="A2056" s="1">
        <v>726</v>
      </c>
      <c r="B2056" s="1">
        <v>1</v>
      </c>
      <c r="C2056" s="1">
        <v>64</v>
      </c>
      <c r="D2056" s="1">
        <v>1</v>
      </c>
      <c r="E2056" s="1">
        <v>489.99</v>
      </c>
      <c r="F2056" s="1">
        <v>0.2</v>
      </c>
      <c r="G2056">
        <f t="shared" si="32"/>
        <v>489.79</v>
      </c>
      <c r="H2056" t="str">
        <f>VLOOKUP(C2056,[1]products!$A:$B,2,FALSE)</f>
        <v>Electra Townie Original 7D - 2017</v>
      </c>
      <c r="I2056">
        <f>VLOOKUP(C2056,[1]products!$A:$D,4,FALSE)</f>
        <v>3</v>
      </c>
      <c r="J2056" t="str">
        <f>VLOOKUP(I2056,[2]categories!$A$1:$B$8,2,FALSE)</f>
        <v>Cruisers Bicycles</v>
      </c>
    </row>
    <row r="2057" customHeight="1" spans="1:10">
      <c r="A2057" s="1">
        <v>727</v>
      </c>
      <c r="B2057" s="1">
        <v>1</v>
      </c>
      <c r="C2057" s="1">
        <v>78</v>
      </c>
      <c r="D2057" s="1">
        <v>1</v>
      </c>
      <c r="E2057" s="1">
        <v>647.99</v>
      </c>
      <c r="F2057" s="1">
        <v>0.07</v>
      </c>
      <c r="G2057">
        <f t="shared" si="32"/>
        <v>647.92</v>
      </c>
      <c r="H2057" t="str">
        <f>VLOOKUP(C2057,[1]products!$A:$B,2,FALSE)</f>
        <v>Sun Bicycles Biscayne Tandem CB - 2017</v>
      </c>
      <c r="I2057">
        <f>VLOOKUP(C2057,[1]products!$A:$D,4,FALSE)</f>
        <v>3</v>
      </c>
      <c r="J2057" t="str">
        <f>VLOOKUP(I2057,[2]categories!$A$1:$B$8,2,FALSE)</f>
        <v>Cruisers Bicycles</v>
      </c>
    </row>
    <row r="2058" customHeight="1" spans="1:10">
      <c r="A2058" s="1">
        <v>727</v>
      </c>
      <c r="B2058" s="1">
        <v>2</v>
      </c>
      <c r="C2058" s="1">
        <v>82</v>
      </c>
      <c r="D2058" s="1">
        <v>2</v>
      </c>
      <c r="E2058" s="1">
        <v>659.99</v>
      </c>
      <c r="F2058" s="1">
        <v>0.05</v>
      </c>
      <c r="G2058">
        <f t="shared" si="32"/>
        <v>1319.93</v>
      </c>
      <c r="H2058" t="str">
        <f>VLOOKUP(C2058,[1]products!$A:$B,2,FALSE)</f>
        <v>Electra Amsterdam Original 3i Ladies' - 2017</v>
      </c>
      <c r="I2058">
        <f>VLOOKUP(C2058,[1]products!$A:$D,4,FALSE)</f>
        <v>3</v>
      </c>
      <c r="J2058" t="str">
        <f>VLOOKUP(I2058,[2]categories!$A$1:$B$8,2,FALSE)</f>
        <v>Cruisers Bicycles</v>
      </c>
    </row>
    <row r="2059" customHeight="1" spans="1:10">
      <c r="A2059" s="1">
        <v>728</v>
      </c>
      <c r="B2059" s="1">
        <v>1</v>
      </c>
      <c r="C2059" s="1">
        <v>70</v>
      </c>
      <c r="D2059" s="1">
        <v>1</v>
      </c>
      <c r="E2059" s="1">
        <v>659.99</v>
      </c>
      <c r="F2059" s="1">
        <v>0.05</v>
      </c>
      <c r="G2059">
        <f t="shared" si="32"/>
        <v>659.94</v>
      </c>
      <c r="H2059" t="str">
        <f>VLOOKUP(C2059,[1]products!$A:$B,2,FALSE)</f>
        <v>Electra Amsterdam Original 3i - 2015/2017</v>
      </c>
      <c r="I2059">
        <f>VLOOKUP(C2059,[1]products!$A:$D,4,FALSE)</f>
        <v>3</v>
      </c>
      <c r="J2059" t="str">
        <f>VLOOKUP(I2059,[2]categories!$A$1:$B$8,2,FALSE)</f>
        <v>Cruisers Bicycles</v>
      </c>
    </row>
    <row r="2060" customHeight="1" spans="1:10">
      <c r="A2060" s="1">
        <v>728</v>
      </c>
      <c r="B2060" s="1">
        <v>2</v>
      </c>
      <c r="C2060" s="1">
        <v>56</v>
      </c>
      <c r="D2060" s="1">
        <v>1</v>
      </c>
      <c r="E2060" s="1">
        <v>5499.99</v>
      </c>
      <c r="F2060" s="1">
        <v>0.1</v>
      </c>
      <c r="G2060">
        <f t="shared" si="32"/>
        <v>5499.89</v>
      </c>
      <c r="H2060" t="str">
        <f>VLOOKUP(C2060,[1]products!$A:$B,2,FALSE)</f>
        <v>Trek Domane SLR 6 Disc - 2017</v>
      </c>
      <c r="I2060">
        <f>VLOOKUP(C2060,[1]products!$A:$D,4,FALSE)</f>
        <v>7</v>
      </c>
      <c r="J2060" t="str">
        <f>VLOOKUP(I2060,[2]categories!$A$1:$B$8,2,FALSE)</f>
        <v>Road Bikes</v>
      </c>
    </row>
    <row r="2061" customHeight="1" spans="1:10">
      <c r="A2061" s="1">
        <v>728</v>
      </c>
      <c r="B2061" s="1">
        <v>3</v>
      </c>
      <c r="C2061" s="1">
        <v>91</v>
      </c>
      <c r="D2061" s="1">
        <v>1</v>
      </c>
      <c r="E2061" s="1">
        <v>349.99</v>
      </c>
      <c r="F2061" s="1">
        <v>0.1</v>
      </c>
      <c r="G2061">
        <f t="shared" si="32"/>
        <v>349.89</v>
      </c>
      <c r="H2061" t="str">
        <f>VLOOKUP(C2061,[1]products!$A:$B,2,FALSE)</f>
        <v>Trek Precaliber 24 (21-Speed) - Girls - 2017</v>
      </c>
      <c r="I2061">
        <f>VLOOKUP(C2061,[1]products!$A:$D,4,FALSE)</f>
        <v>1</v>
      </c>
      <c r="J2061" t="str">
        <f>VLOOKUP(I2061,[2]categories!$A$1:$B$8,2,FALSE)</f>
        <v>Children Bicycles</v>
      </c>
    </row>
    <row r="2062" customHeight="1" spans="1:10">
      <c r="A2062" s="1">
        <v>728</v>
      </c>
      <c r="B2062" s="1">
        <v>4</v>
      </c>
      <c r="C2062" s="1">
        <v>58</v>
      </c>
      <c r="D2062" s="1">
        <v>1</v>
      </c>
      <c r="E2062" s="1">
        <v>4999.99</v>
      </c>
      <c r="F2062" s="1">
        <v>0.07</v>
      </c>
      <c r="G2062">
        <f t="shared" si="32"/>
        <v>4999.92</v>
      </c>
      <c r="H2062" t="str">
        <f>VLOOKUP(C2062,[1]products!$A:$B,2,FALSE)</f>
        <v>Trek Madone 9.2 - 2017</v>
      </c>
      <c r="I2062">
        <f>VLOOKUP(C2062,[1]products!$A:$D,4,FALSE)</f>
        <v>7</v>
      </c>
      <c r="J2062" t="str">
        <f>VLOOKUP(I2062,[2]categories!$A$1:$B$8,2,FALSE)</f>
        <v>Road Bikes</v>
      </c>
    </row>
    <row r="2063" customHeight="1" spans="1:10">
      <c r="A2063" s="1">
        <v>729</v>
      </c>
      <c r="B2063" s="1">
        <v>1</v>
      </c>
      <c r="C2063" s="1">
        <v>101</v>
      </c>
      <c r="D2063" s="1">
        <v>2</v>
      </c>
      <c r="E2063" s="1">
        <v>339.99</v>
      </c>
      <c r="F2063" s="1">
        <v>0.1</v>
      </c>
      <c r="G2063">
        <f t="shared" si="32"/>
        <v>679.88</v>
      </c>
      <c r="H2063" t="str">
        <f>VLOOKUP(C2063,[1]products!$A:$B,2,FALSE)</f>
        <v>Electra Townie 7D (20-inch) - Boys' - 2017</v>
      </c>
      <c r="I2063">
        <f>VLOOKUP(C2063,[1]products!$A:$D,4,FALSE)</f>
        <v>1</v>
      </c>
      <c r="J2063" t="str">
        <f>VLOOKUP(I2063,[2]categories!$A$1:$B$8,2,FALSE)</f>
        <v>Children Bicycles</v>
      </c>
    </row>
    <row r="2064" customHeight="1" spans="1:10">
      <c r="A2064" s="1">
        <v>730</v>
      </c>
      <c r="B2064" s="1">
        <v>1</v>
      </c>
      <c r="C2064" s="1">
        <v>59</v>
      </c>
      <c r="D2064" s="1">
        <v>2</v>
      </c>
      <c r="E2064" s="1">
        <v>2599.99</v>
      </c>
      <c r="F2064" s="1">
        <v>0.05</v>
      </c>
      <c r="G2064">
        <f t="shared" si="32"/>
        <v>5199.93</v>
      </c>
      <c r="H2064" t="str">
        <f>VLOOKUP(C2064,[1]products!$A:$B,2,FALSE)</f>
        <v>Trek Domane S 5 Disc - 2017</v>
      </c>
      <c r="I2064">
        <f>VLOOKUP(C2064,[1]products!$A:$D,4,FALSE)</f>
        <v>7</v>
      </c>
      <c r="J2064" t="str">
        <f>VLOOKUP(I2064,[2]categories!$A$1:$B$8,2,FALSE)</f>
        <v>Road Bikes</v>
      </c>
    </row>
    <row r="2065" customHeight="1" spans="1:10">
      <c r="A2065" s="1">
        <v>730</v>
      </c>
      <c r="B2065" s="1">
        <v>2</v>
      </c>
      <c r="C2065" s="1">
        <v>79</v>
      </c>
      <c r="D2065" s="1">
        <v>1</v>
      </c>
      <c r="E2065" s="1">
        <v>402.99</v>
      </c>
      <c r="F2065" s="1">
        <v>0.1</v>
      </c>
      <c r="G2065">
        <f t="shared" si="32"/>
        <v>402.89</v>
      </c>
      <c r="H2065" t="str">
        <f>VLOOKUP(C2065,[1]products!$A:$B,2,FALSE)</f>
        <v>Sun Bicycles Boardwalk (24-inch Wheels) - 2017</v>
      </c>
      <c r="I2065">
        <f>VLOOKUP(C2065,[1]products!$A:$D,4,FALSE)</f>
        <v>3</v>
      </c>
      <c r="J2065" t="str">
        <f>VLOOKUP(I2065,[2]categories!$A$1:$B$8,2,FALSE)</f>
        <v>Cruisers Bicycles</v>
      </c>
    </row>
    <row r="2066" customHeight="1" spans="1:10">
      <c r="A2066" s="1">
        <v>730</v>
      </c>
      <c r="B2066" s="1">
        <v>3</v>
      </c>
      <c r="C2066" s="1">
        <v>96</v>
      </c>
      <c r="D2066" s="1">
        <v>2</v>
      </c>
      <c r="E2066" s="1">
        <v>349.99</v>
      </c>
      <c r="F2066" s="1">
        <v>0.07</v>
      </c>
      <c r="G2066">
        <f t="shared" si="32"/>
        <v>699.91</v>
      </c>
      <c r="H2066" t="str">
        <f>VLOOKUP(C2066,[1]products!$A:$B,2,FALSE)</f>
        <v>Electra Moto 3i (20-inch) - Boy's - 2017</v>
      </c>
      <c r="I2066">
        <f>VLOOKUP(C2066,[1]products!$A:$D,4,FALSE)</f>
        <v>1</v>
      </c>
      <c r="J2066" t="str">
        <f>VLOOKUP(I2066,[2]categories!$A$1:$B$8,2,FALSE)</f>
        <v>Children Bicycles</v>
      </c>
    </row>
    <row r="2067" customHeight="1" spans="1:10">
      <c r="A2067" s="1">
        <v>730</v>
      </c>
      <c r="B2067" s="1">
        <v>4</v>
      </c>
      <c r="C2067" s="1">
        <v>13</v>
      </c>
      <c r="D2067" s="1">
        <v>1</v>
      </c>
      <c r="E2067" s="1">
        <v>269.99</v>
      </c>
      <c r="F2067" s="1">
        <v>0.1</v>
      </c>
      <c r="G2067">
        <f t="shared" si="32"/>
        <v>269.89</v>
      </c>
      <c r="H2067" t="str">
        <f>VLOOKUP(C2067,[1]products!$A:$B,2,FALSE)</f>
        <v>Electra Cruiser 1 (24-Inch) - 2016</v>
      </c>
      <c r="I2067">
        <f>VLOOKUP(C2067,[1]products!$A:$D,4,FALSE)</f>
        <v>3</v>
      </c>
      <c r="J2067" t="str">
        <f>VLOOKUP(I2067,[2]categories!$A$1:$B$8,2,FALSE)</f>
        <v>Cruisers Bicycles</v>
      </c>
    </row>
    <row r="2068" customHeight="1" spans="1:10">
      <c r="A2068" s="1">
        <v>731</v>
      </c>
      <c r="B2068" s="1">
        <v>1</v>
      </c>
      <c r="C2068" s="1">
        <v>91</v>
      </c>
      <c r="D2068" s="1">
        <v>1</v>
      </c>
      <c r="E2068" s="1">
        <v>349.99</v>
      </c>
      <c r="F2068" s="1">
        <v>0.05</v>
      </c>
      <c r="G2068">
        <f t="shared" si="32"/>
        <v>349.94</v>
      </c>
      <c r="H2068" t="str">
        <f>VLOOKUP(C2068,[1]products!$A:$B,2,FALSE)</f>
        <v>Trek Precaliber 24 (21-Speed) - Girls - 2017</v>
      </c>
      <c r="I2068">
        <f>VLOOKUP(C2068,[1]products!$A:$D,4,FALSE)</f>
        <v>1</v>
      </c>
      <c r="J2068" t="str">
        <f>VLOOKUP(I2068,[2]categories!$A$1:$B$8,2,FALSE)</f>
        <v>Children Bicycles</v>
      </c>
    </row>
    <row r="2069" customHeight="1" spans="1:10">
      <c r="A2069" s="1">
        <v>731</v>
      </c>
      <c r="B2069" s="1">
        <v>2</v>
      </c>
      <c r="C2069" s="1">
        <v>49</v>
      </c>
      <c r="D2069" s="1">
        <v>1</v>
      </c>
      <c r="E2069" s="1">
        <v>3499.99</v>
      </c>
      <c r="F2069" s="1">
        <v>0.2</v>
      </c>
      <c r="G2069">
        <f t="shared" si="32"/>
        <v>3499.79</v>
      </c>
      <c r="H2069" t="str">
        <f>VLOOKUP(C2069,[1]products!$A:$B,2,FALSE)</f>
        <v>Trek Domane SL 6 - 2017</v>
      </c>
      <c r="I2069">
        <f>VLOOKUP(C2069,[1]products!$A:$D,4,FALSE)</f>
        <v>7</v>
      </c>
      <c r="J2069" t="str">
        <f>VLOOKUP(I2069,[2]categories!$A$1:$B$8,2,FALSE)</f>
        <v>Road Bikes</v>
      </c>
    </row>
    <row r="2070" customHeight="1" spans="1:10">
      <c r="A2070" s="1">
        <v>731</v>
      </c>
      <c r="B2070" s="1">
        <v>3</v>
      </c>
      <c r="C2070" s="1">
        <v>67</v>
      </c>
      <c r="D2070" s="1">
        <v>2</v>
      </c>
      <c r="E2070" s="1">
        <v>250.99</v>
      </c>
      <c r="F2070" s="1">
        <v>0.2</v>
      </c>
      <c r="G2070">
        <f t="shared" si="32"/>
        <v>501.78</v>
      </c>
      <c r="H2070" t="str">
        <f>VLOOKUP(C2070,[1]products!$A:$B,2,FALSE)</f>
        <v>Sun Bicycles Revolutions 24 - Girl's - 2017</v>
      </c>
      <c r="I2070">
        <f>VLOOKUP(C2070,[1]products!$A:$D,4,FALSE)</f>
        <v>3</v>
      </c>
      <c r="J2070" t="str">
        <f>VLOOKUP(I2070,[2]categories!$A$1:$B$8,2,FALSE)</f>
        <v>Cruisers Bicycles</v>
      </c>
    </row>
    <row r="2071" customHeight="1" spans="1:10">
      <c r="A2071" s="1">
        <v>731</v>
      </c>
      <c r="B2071" s="1">
        <v>4</v>
      </c>
      <c r="C2071" s="1">
        <v>29</v>
      </c>
      <c r="D2071" s="1">
        <v>1</v>
      </c>
      <c r="E2071" s="1">
        <v>999.99</v>
      </c>
      <c r="F2071" s="1">
        <v>0.2</v>
      </c>
      <c r="G2071">
        <f t="shared" si="32"/>
        <v>999.79</v>
      </c>
      <c r="H2071" t="str">
        <f>VLOOKUP(C2071,[1]products!$A:$B,2,FALSE)</f>
        <v>Trek X-Caliber 8 - 2017</v>
      </c>
      <c r="I2071">
        <f>VLOOKUP(C2071,[1]products!$A:$D,4,FALSE)</f>
        <v>6</v>
      </c>
      <c r="J2071" t="str">
        <f>VLOOKUP(I2071,[2]categories!$A$1:$B$8,2,FALSE)</f>
        <v>Mountain Bikes</v>
      </c>
    </row>
    <row r="2072" customHeight="1" spans="1:10">
      <c r="A2072" s="1">
        <v>732</v>
      </c>
      <c r="B2072" s="1">
        <v>1</v>
      </c>
      <c r="C2072" s="1">
        <v>47</v>
      </c>
      <c r="D2072" s="1">
        <v>1</v>
      </c>
      <c r="E2072" s="1">
        <v>5299.99</v>
      </c>
      <c r="F2072" s="1">
        <v>0.07</v>
      </c>
      <c r="G2072">
        <f t="shared" si="32"/>
        <v>5299.92</v>
      </c>
      <c r="H2072" t="str">
        <f>VLOOKUP(C2072,[1]products!$A:$B,2,FALSE)</f>
        <v>Trek Remedy 9.8 - 2017</v>
      </c>
      <c r="I2072">
        <f>VLOOKUP(C2072,[1]products!$A:$D,4,FALSE)</f>
        <v>6</v>
      </c>
      <c r="J2072" t="str">
        <f>VLOOKUP(I2072,[2]categories!$A$1:$B$8,2,FALSE)</f>
        <v>Mountain Bikes</v>
      </c>
    </row>
    <row r="2073" customHeight="1" spans="1:10">
      <c r="A2073" s="1">
        <v>732</v>
      </c>
      <c r="B2073" s="1">
        <v>2</v>
      </c>
      <c r="C2073" s="1">
        <v>4</v>
      </c>
      <c r="D2073" s="1">
        <v>2</v>
      </c>
      <c r="E2073" s="1">
        <v>2899.99</v>
      </c>
      <c r="F2073" s="1">
        <v>0.07</v>
      </c>
      <c r="G2073">
        <f t="shared" si="32"/>
        <v>5799.91</v>
      </c>
      <c r="H2073" t="str">
        <f>VLOOKUP(C2073,[1]products!$A:$B,2,FALSE)</f>
        <v>Trek Fuel EX 8 29 - 2016</v>
      </c>
      <c r="I2073">
        <f>VLOOKUP(C2073,[1]products!$A:$D,4,FALSE)</f>
        <v>6</v>
      </c>
      <c r="J2073" t="str">
        <f>VLOOKUP(I2073,[2]categories!$A$1:$B$8,2,FALSE)</f>
        <v>Mountain Bikes</v>
      </c>
    </row>
    <row r="2074" customHeight="1" spans="1:10">
      <c r="A2074" s="1">
        <v>733</v>
      </c>
      <c r="B2074" s="1">
        <v>1</v>
      </c>
      <c r="C2074" s="1">
        <v>84</v>
      </c>
      <c r="D2074" s="1">
        <v>1</v>
      </c>
      <c r="E2074" s="1">
        <v>109.99</v>
      </c>
      <c r="F2074" s="1">
        <v>0.05</v>
      </c>
      <c r="G2074">
        <f t="shared" si="32"/>
        <v>109.94</v>
      </c>
      <c r="H2074" t="str">
        <f>VLOOKUP(C2074,[1]products!$A:$B,2,FALSE)</f>
        <v>Sun Bicycles Lil Kitt'n - 2017</v>
      </c>
      <c r="I2074">
        <f>VLOOKUP(C2074,[1]products!$A:$D,4,FALSE)</f>
        <v>1</v>
      </c>
      <c r="J2074" t="str">
        <f>VLOOKUP(I2074,[2]categories!$A$1:$B$8,2,FALSE)</f>
        <v>Children Bicycles</v>
      </c>
    </row>
    <row r="2075" customHeight="1" spans="1:10">
      <c r="A2075" s="1">
        <v>733</v>
      </c>
      <c r="B2075" s="1">
        <v>2</v>
      </c>
      <c r="C2075" s="1">
        <v>55</v>
      </c>
      <c r="D2075" s="1">
        <v>1</v>
      </c>
      <c r="E2075" s="1">
        <v>2699.99</v>
      </c>
      <c r="F2075" s="1">
        <v>0.2</v>
      </c>
      <c r="G2075">
        <f t="shared" si="32"/>
        <v>2699.79</v>
      </c>
      <c r="H2075" t="str">
        <f>VLOOKUP(C2075,[1]products!$A:$B,2,FALSE)</f>
        <v>Trek Domane S 6 - 2017</v>
      </c>
      <c r="I2075">
        <f>VLOOKUP(C2075,[1]products!$A:$D,4,FALSE)</f>
        <v>7</v>
      </c>
      <c r="J2075" t="str">
        <f>VLOOKUP(I2075,[2]categories!$A$1:$B$8,2,FALSE)</f>
        <v>Road Bikes</v>
      </c>
    </row>
    <row r="2076" customHeight="1" spans="1:10">
      <c r="A2076" s="1">
        <v>733</v>
      </c>
      <c r="B2076" s="1">
        <v>3</v>
      </c>
      <c r="C2076" s="1">
        <v>102</v>
      </c>
      <c r="D2076" s="1">
        <v>2</v>
      </c>
      <c r="E2076" s="1">
        <v>489.99</v>
      </c>
      <c r="F2076" s="1">
        <v>0.1</v>
      </c>
      <c r="G2076">
        <f t="shared" si="32"/>
        <v>979.88</v>
      </c>
      <c r="H2076" t="str">
        <f>VLOOKUP(C2076,[1]products!$A:$B,2,FALSE)</f>
        <v>Electra Townie Original 7D - 2017</v>
      </c>
      <c r="I2076">
        <f>VLOOKUP(C2076,[1]products!$A:$D,4,FALSE)</f>
        <v>2</v>
      </c>
      <c r="J2076" t="str">
        <f>VLOOKUP(I2076,[2]categories!$A$1:$B$8,2,FALSE)</f>
        <v>Comfort Bicycles</v>
      </c>
    </row>
    <row r="2077" customHeight="1" spans="1:10">
      <c r="A2077" s="1">
        <v>734</v>
      </c>
      <c r="B2077" s="1">
        <v>1</v>
      </c>
      <c r="C2077" s="1">
        <v>26</v>
      </c>
      <c r="D2077" s="1">
        <v>1</v>
      </c>
      <c r="E2077" s="1">
        <v>599.99</v>
      </c>
      <c r="F2077" s="1">
        <v>0.2</v>
      </c>
      <c r="G2077">
        <f t="shared" si="32"/>
        <v>599.79</v>
      </c>
      <c r="H2077" t="str">
        <f>VLOOKUP(C2077,[1]products!$A:$B,2,FALSE)</f>
        <v>Electra Townie Original 7D EQ - 2016</v>
      </c>
      <c r="I2077">
        <f>VLOOKUP(C2077,[1]products!$A:$D,4,FALSE)</f>
        <v>2</v>
      </c>
      <c r="J2077" t="str">
        <f>VLOOKUP(I2077,[2]categories!$A$1:$B$8,2,FALSE)</f>
        <v>Comfort Bicycles</v>
      </c>
    </row>
    <row r="2078" customHeight="1" spans="1:10">
      <c r="A2078" s="1">
        <v>734</v>
      </c>
      <c r="B2078" s="1">
        <v>2</v>
      </c>
      <c r="C2078" s="1">
        <v>3</v>
      </c>
      <c r="D2078" s="1">
        <v>1</v>
      </c>
      <c r="E2078" s="1">
        <v>999.99</v>
      </c>
      <c r="F2078" s="1">
        <v>0.05</v>
      </c>
      <c r="G2078">
        <f t="shared" si="32"/>
        <v>999.94</v>
      </c>
      <c r="H2078" t="str">
        <f>VLOOKUP(C2078,[1]products!$A:$B,2,FALSE)</f>
        <v>Surly Wednesday Frameset - 2016</v>
      </c>
      <c r="I2078">
        <f>VLOOKUP(C2078,[1]products!$A:$D,4,FALSE)</f>
        <v>6</v>
      </c>
      <c r="J2078" t="str">
        <f>VLOOKUP(I2078,[2]categories!$A$1:$B$8,2,FALSE)</f>
        <v>Mountain Bikes</v>
      </c>
    </row>
    <row r="2079" customHeight="1" spans="1:10">
      <c r="A2079" s="1">
        <v>734</v>
      </c>
      <c r="B2079" s="1">
        <v>3</v>
      </c>
      <c r="C2079" s="1">
        <v>84</v>
      </c>
      <c r="D2079" s="1">
        <v>2</v>
      </c>
      <c r="E2079" s="1">
        <v>109.99</v>
      </c>
      <c r="F2079" s="1">
        <v>0.2</v>
      </c>
      <c r="G2079">
        <f t="shared" si="32"/>
        <v>219.78</v>
      </c>
      <c r="H2079" t="str">
        <f>VLOOKUP(C2079,[1]products!$A:$B,2,FALSE)</f>
        <v>Sun Bicycles Lil Kitt'n - 2017</v>
      </c>
      <c r="I2079">
        <f>VLOOKUP(C2079,[1]products!$A:$D,4,FALSE)</f>
        <v>1</v>
      </c>
      <c r="J2079" t="str">
        <f>VLOOKUP(I2079,[2]categories!$A$1:$B$8,2,FALSE)</f>
        <v>Children Bicycles</v>
      </c>
    </row>
    <row r="2080" customHeight="1" spans="1:10">
      <c r="A2080" s="1">
        <v>734</v>
      </c>
      <c r="B2080" s="1">
        <v>4</v>
      </c>
      <c r="C2080" s="1">
        <v>65</v>
      </c>
      <c r="D2080" s="1">
        <v>2</v>
      </c>
      <c r="E2080" s="1">
        <v>346.99</v>
      </c>
      <c r="F2080" s="1">
        <v>0.1</v>
      </c>
      <c r="G2080">
        <f t="shared" si="32"/>
        <v>693.88</v>
      </c>
      <c r="H2080" t="str">
        <f>VLOOKUP(C2080,[1]products!$A:$B,2,FALSE)</f>
        <v>Sun Bicycles Lil Bolt Type-R - 2017</v>
      </c>
      <c r="I2080">
        <f>VLOOKUP(C2080,[1]products!$A:$D,4,FALSE)</f>
        <v>3</v>
      </c>
      <c r="J2080" t="str">
        <f>VLOOKUP(I2080,[2]categories!$A$1:$B$8,2,FALSE)</f>
        <v>Cruisers Bicycles</v>
      </c>
    </row>
    <row r="2081" customHeight="1" spans="1:10">
      <c r="A2081" s="1">
        <v>735</v>
      </c>
      <c r="B2081" s="1">
        <v>1</v>
      </c>
      <c r="C2081" s="1">
        <v>71</v>
      </c>
      <c r="D2081" s="1">
        <v>2</v>
      </c>
      <c r="E2081" s="1">
        <v>416.99</v>
      </c>
      <c r="F2081" s="1">
        <v>0.1</v>
      </c>
      <c r="G2081">
        <f t="shared" si="32"/>
        <v>833.88</v>
      </c>
      <c r="H2081" t="str">
        <f>VLOOKUP(C2081,[1]products!$A:$B,2,FALSE)</f>
        <v>Sun Bicycles Atlas X-Type - 2017</v>
      </c>
      <c r="I2081">
        <f>VLOOKUP(C2081,[1]products!$A:$D,4,FALSE)</f>
        <v>3</v>
      </c>
      <c r="J2081" t="str">
        <f>VLOOKUP(I2081,[2]categories!$A$1:$B$8,2,FALSE)</f>
        <v>Cruisers Bicycles</v>
      </c>
    </row>
    <row r="2082" customHeight="1" spans="1:10">
      <c r="A2082" s="1">
        <v>735</v>
      </c>
      <c r="B2082" s="1">
        <v>2</v>
      </c>
      <c r="C2082" s="1">
        <v>10</v>
      </c>
      <c r="D2082" s="1">
        <v>2</v>
      </c>
      <c r="E2082" s="1">
        <v>1549</v>
      </c>
      <c r="F2082" s="1">
        <v>0.07</v>
      </c>
      <c r="G2082">
        <f t="shared" si="32"/>
        <v>3097.93</v>
      </c>
      <c r="H2082" t="str">
        <f>VLOOKUP(C2082,[1]products!$A:$B,2,FALSE)</f>
        <v>Surly Straggler - 2016</v>
      </c>
      <c r="I2082">
        <f>VLOOKUP(C2082,[1]products!$A:$D,4,FALSE)</f>
        <v>4</v>
      </c>
      <c r="J2082" t="str">
        <f>VLOOKUP(I2082,[2]categories!$A$1:$B$8,2,FALSE)</f>
        <v>Cyclocross Bicycles</v>
      </c>
    </row>
    <row r="2083" customHeight="1" spans="1:10">
      <c r="A2083" s="1">
        <v>736</v>
      </c>
      <c r="B2083" s="1">
        <v>1</v>
      </c>
      <c r="C2083" s="1">
        <v>56</v>
      </c>
      <c r="D2083" s="1">
        <v>2</v>
      </c>
      <c r="E2083" s="1">
        <v>5499.99</v>
      </c>
      <c r="F2083" s="1">
        <v>0.05</v>
      </c>
      <c r="G2083">
        <f t="shared" si="32"/>
        <v>10999.93</v>
      </c>
      <c r="H2083" t="str">
        <f>VLOOKUP(C2083,[1]products!$A:$B,2,FALSE)</f>
        <v>Trek Domane SLR 6 Disc - 2017</v>
      </c>
      <c r="I2083">
        <f>VLOOKUP(C2083,[1]products!$A:$D,4,FALSE)</f>
        <v>7</v>
      </c>
      <c r="J2083" t="str">
        <f>VLOOKUP(I2083,[2]categories!$A$1:$B$8,2,FALSE)</f>
        <v>Road Bikes</v>
      </c>
    </row>
    <row r="2084" customHeight="1" spans="1:10">
      <c r="A2084" s="1">
        <v>736</v>
      </c>
      <c r="B2084" s="1">
        <v>2</v>
      </c>
      <c r="C2084" s="1">
        <v>17</v>
      </c>
      <c r="D2084" s="1">
        <v>1</v>
      </c>
      <c r="E2084" s="1">
        <v>429</v>
      </c>
      <c r="F2084" s="1">
        <v>0.1</v>
      </c>
      <c r="G2084">
        <f t="shared" si="32"/>
        <v>428.9</v>
      </c>
      <c r="H2084" t="str">
        <f>VLOOKUP(C2084,[1]products!$A:$B,2,FALSE)</f>
        <v>Pure Cycles Vine 8-Speed - 2016</v>
      </c>
      <c r="I2084">
        <f>VLOOKUP(C2084,[1]products!$A:$D,4,FALSE)</f>
        <v>3</v>
      </c>
      <c r="J2084" t="str">
        <f>VLOOKUP(I2084,[2]categories!$A$1:$B$8,2,FALSE)</f>
        <v>Cruisers Bicycles</v>
      </c>
    </row>
    <row r="2085" customHeight="1" spans="1:10">
      <c r="A2085" s="1">
        <v>736</v>
      </c>
      <c r="B2085" s="1">
        <v>3</v>
      </c>
      <c r="C2085" s="1">
        <v>62</v>
      </c>
      <c r="D2085" s="1">
        <v>2</v>
      </c>
      <c r="E2085" s="1">
        <v>3499.99</v>
      </c>
      <c r="F2085" s="1">
        <v>0.2</v>
      </c>
      <c r="G2085">
        <f t="shared" si="32"/>
        <v>6999.78</v>
      </c>
      <c r="H2085" t="str">
        <f>VLOOKUP(C2085,[1]products!$A:$B,2,FALSE)</f>
        <v>Trek Boone 7 - 2017</v>
      </c>
      <c r="I2085">
        <f>VLOOKUP(C2085,[1]products!$A:$D,4,FALSE)</f>
        <v>4</v>
      </c>
      <c r="J2085" t="str">
        <f>VLOOKUP(I2085,[2]categories!$A$1:$B$8,2,FALSE)</f>
        <v>Cyclocross Bicycles</v>
      </c>
    </row>
    <row r="2086" customHeight="1" spans="1:10">
      <c r="A2086" s="1">
        <v>737</v>
      </c>
      <c r="B2086" s="1">
        <v>1</v>
      </c>
      <c r="C2086" s="1">
        <v>52</v>
      </c>
      <c r="D2086" s="1">
        <v>1</v>
      </c>
      <c r="E2086" s="1">
        <v>875.99</v>
      </c>
      <c r="F2086" s="1">
        <v>0.05</v>
      </c>
      <c r="G2086">
        <f t="shared" si="32"/>
        <v>875.94</v>
      </c>
      <c r="H2086" t="str">
        <f>VLOOKUP(C2086,[1]products!$A:$B,2,FALSE)</f>
        <v>Surly Steamroller - 2017</v>
      </c>
      <c r="I2086">
        <f>VLOOKUP(C2086,[1]products!$A:$D,4,FALSE)</f>
        <v>7</v>
      </c>
      <c r="J2086" t="str">
        <f>VLOOKUP(I2086,[2]categories!$A$1:$B$8,2,FALSE)</f>
        <v>Road Bikes</v>
      </c>
    </row>
    <row r="2087" customHeight="1" spans="1:10">
      <c r="A2087" s="1">
        <v>737</v>
      </c>
      <c r="B2087" s="1">
        <v>2</v>
      </c>
      <c r="C2087" s="1">
        <v>19</v>
      </c>
      <c r="D2087" s="1">
        <v>2</v>
      </c>
      <c r="E2087" s="1">
        <v>449</v>
      </c>
      <c r="F2087" s="1">
        <v>0.07</v>
      </c>
      <c r="G2087">
        <f t="shared" si="32"/>
        <v>897.93</v>
      </c>
      <c r="H2087" t="str">
        <f>VLOOKUP(C2087,[1]products!$A:$B,2,FALSE)</f>
        <v>Pure Cycles William 3-Speed - 2016</v>
      </c>
      <c r="I2087">
        <f>VLOOKUP(C2087,[1]products!$A:$D,4,FALSE)</f>
        <v>3</v>
      </c>
      <c r="J2087" t="str">
        <f>VLOOKUP(I2087,[2]categories!$A$1:$B$8,2,FALSE)</f>
        <v>Cruisers Bicycles</v>
      </c>
    </row>
    <row r="2088" customHeight="1" spans="1:10">
      <c r="A2088" s="1">
        <v>737</v>
      </c>
      <c r="B2088" s="1">
        <v>3</v>
      </c>
      <c r="C2088" s="1">
        <v>77</v>
      </c>
      <c r="D2088" s="1">
        <v>2</v>
      </c>
      <c r="E2088" s="1">
        <v>799.99</v>
      </c>
      <c r="F2088" s="1">
        <v>0.07</v>
      </c>
      <c r="G2088">
        <f t="shared" si="32"/>
        <v>1599.91</v>
      </c>
      <c r="H2088" t="str">
        <f>VLOOKUP(C2088,[1]products!$A:$B,2,FALSE)</f>
        <v>Electra Glam Punk 3i Ladies' - 2017</v>
      </c>
      <c r="I2088">
        <f>VLOOKUP(C2088,[1]products!$A:$D,4,FALSE)</f>
        <v>3</v>
      </c>
      <c r="J2088" t="str">
        <f>VLOOKUP(I2088,[2]categories!$A$1:$B$8,2,FALSE)</f>
        <v>Cruisers Bicycles</v>
      </c>
    </row>
    <row r="2089" customHeight="1" spans="1:10">
      <c r="A2089" s="1">
        <v>737</v>
      </c>
      <c r="B2089" s="1">
        <v>4</v>
      </c>
      <c r="C2089" s="1">
        <v>34</v>
      </c>
      <c r="D2089" s="1">
        <v>1</v>
      </c>
      <c r="E2089" s="1">
        <v>469.99</v>
      </c>
      <c r="F2089" s="1">
        <v>0.2</v>
      </c>
      <c r="G2089">
        <f t="shared" si="32"/>
        <v>469.79</v>
      </c>
      <c r="H2089" t="str">
        <f>VLOOKUP(C2089,[1]products!$A:$B,2,FALSE)</f>
        <v>Trek Session DH 27.5 Carbon Frameset - 2017</v>
      </c>
      <c r="I2089">
        <f>VLOOKUP(C2089,[1]products!$A:$D,4,FALSE)</f>
        <v>6</v>
      </c>
      <c r="J2089" t="str">
        <f>VLOOKUP(I2089,[2]categories!$A$1:$B$8,2,FALSE)</f>
        <v>Mountain Bikes</v>
      </c>
    </row>
    <row r="2090" customHeight="1" spans="1:10">
      <c r="A2090" s="1">
        <v>738</v>
      </c>
      <c r="B2090" s="1">
        <v>1</v>
      </c>
      <c r="C2090" s="1">
        <v>82</v>
      </c>
      <c r="D2090" s="1">
        <v>2</v>
      </c>
      <c r="E2090" s="1">
        <v>659.99</v>
      </c>
      <c r="F2090" s="1">
        <v>0.07</v>
      </c>
      <c r="G2090">
        <f t="shared" si="32"/>
        <v>1319.91</v>
      </c>
      <c r="H2090" t="str">
        <f>VLOOKUP(C2090,[1]products!$A:$B,2,FALSE)</f>
        <v>Electra Amsterdam Original 3i Ladies' - 2017</v>
      </c>
      <c r="I2090">
        <f>VLOOKUP(C2090,[1]products!$A:$D,4,FALSE)</f>
        <v>3</v>
      </c>
      <c r="J2090" t="str">
        <f>VLOOKUP(I2090,[2]categories!$A$1:$B$8,2,FALSE)</f>
        <v>Cruisers Bicycles</v>
      </c>
    </row>
    <row r="2091" customHeight="1" spans="1:10">
      <c r="A2091" s="1">
        <v>738</v>
      </c>
      <c r="B2091" s="1">
        <v>2</v>
      </c>
      <c r="C2091" s="1">
        <v>38</v>
      </c>
      <c r="D2091" s="1">
        <v>2</v>
      </c>
      <c r="E2091" s="1">
        <v>549.99</v>
      </c>
      <c r="F2091" s="1">
        <v>0.2</v>
      </c>
      <c r="G2091">
        <f t="shared" si="32"/>
        <v>1099.78</v>
      </c>
      <c r="H2091" t="str">
        <f>VLOOKUP(C2091,[1]products!$A:$B,2,FALSE)</f>
        <v>Haro Flightline Two 26 Plus - 2017</v>
      </c>
      <c r="I2091">
        <f>VLOOKUP(C2091,[1]products!$A:$D,4,FALSE)</f>
        <v>6</v>
      </c>
      <c r="J2091" t="str">
        <f>VLOOKUP(I2091,[2]categories!$A$1:$B$8,2,FALSE)</f>
        <v>Mountain Bikes</v>
      </c>
    </row>
    <row r="2092" customHeight="1" spans="1:10">
      <c r="A2092" s="1">
        <v>738</v>
      </c>
      <c r="B2092" s="1">
        <v>3</v>
      </c>
      <c r="C2092" s="1">
        <v>25</v>
      </c>
      <c r="D2092" s="1">
        <v>1</v>
      </c>
      <c r="E2092" s="1">
        <v>499.99</v>
      </c>
      <c r="F2092" s="1">
        <v>0.1</v>
      </c>
      <c r="G2092">
        <f t="shared" si="32"/>
        <v>499.89</v>
      </c>
      <c r="H2092" t="str">
        <f>VLOOKUP(C2092,[1]products!$A:$B,2,FALSE)</f>
        <v>Electra Townie Original 7D - 2015/2016</v>
      </c>
      <c r="I2092">
        <f>VLOOKUP(C2092,[1]products!$A:$D,4,FALSE)</f>
        <v>2</v>
      </c>
      <c r="J2092" t="str">
        <f>VLOOKUP(I2092,[2]categories!$A$1:$B$8,2,FALSE)</f>
        <v>Comfort Bicycles</v>
      </c>
    </row>
    <row r="2093" customHeight="1" spans="1:10">
      <c r="A2093" s="1">
        <v>738</v>
      </c>
      <c r="B2093" s="1">
        <v>4</v>
      </c>
      <c r="C2093" s="1">
        <v>63</v>
      </c>
      <c r="D2093" s="1">
        <v>1</v>
      </c>
      <c r="E2093" s="1">
        <v>3499.99</v>
      </c>
      <c r="F2093" s="1">
        <v>0.07</v>
      </c>
      <c r="G2093">
        <f t="shared" si="32"/>
        <v>3499.92</v>
      </c>
      <c r="H2093" t="str">
        <f>VLOOKUP(C2093,[1]products!$A:$B,2,FALSE)</f>
        <v>Trek Boone Race Shop Limited - 2017</v>
      </c>
      <c r="I2093">
        <f>VLOOKUP(C2093,[1]products!$A:$D,4,FALSE)</f>
        <v>4</v>
      </c>
      <c r="J2093" t="str">
        <f>VLOOKUP(I2093,[2]categories!$A$1:$B$8,2,FALSE)</f>
        <v>Cyclocross Bicycles</v>
      </c>
    </row>
    <row r="2094" customHeight="1" spans="1:10">
      <c r="A2094" s="1">
        <v>739</v>
      </c>
      <c r="B2094" s="1">
        <v>1</v>
      </c>
      <c r="C2094" s="1">
        <v>3</v>
      </c>
      <c r="D2094" s="1">
        <v>1</v>
      </c>
      <c r="E2094" s="1">
        <v>999.99</v>
      </c>
      <c r="F2094" s="1">
        <v>0.2</v>
      </c>
      <c r="G2094">
        <f t="shared" si="32"/>
        <v>999.79</v>
      </c>
      <c r="H2094" t="str">
        <f>VLOOKUP(C2094,[1]products!$A:$B,2,FALSE)</f>
        <v>Surly Wednesday Frameset - 2016</v>
      </c>
      <c r="I2094">
        <f>VLOOKUP(C2094,[1]products!$A:$D,4,FALSE)</f>
        <v>6</v>
      </c>
      <c r="J2094" t="str">
        <f>VLOOKUP(I2094,[2]categories!$A$1:$B$8,2,FALSE)</f>
        <v>Mountain Bikes</v>
      </c>
    </row>
    <row r="2095" customHeight="1" spans="1:10">
      <c r="A2095" s="1">
        <v>740</v>
      </c>
      <c r="B2095" s="1">
        <v>1</v>
      </c>
      <c r="C2095" s="1">
        <v>81</v>
      </c>
      <c r="D2095" s="1">
        <v>1</v>
      </c>
      <c r="E2095" s="1">
        <v>1099.99</v>
      </c>
      <c r="F2095" s="1">
        <v>0.05</v>
      </c>
      <c r="G2095">
        <f t="shared" si="32"/>
        <v>1099.94</v>
      </c>
      <c r="H2095" t="str">
        <f>VLOOKUP(C2095,[1]products!$A:$B,2,FALSE)</f>
        <v>Electra Amsterdam Fashion 7i Ladies' - 2017</v>
      </c>
      <c r="I2095">
        <f>VLOOKUP(C2095,[1]products!$A:$D,4,FALSE)</f>
        <v>3</v>
      </c>
      <c r="J2095" t="str">
        <f>VLOOKUP(I2095,[2]categories!$A$1:$B$8,2,FALSE)</f>
        <v>Cruisers Bicycles</v>
      </c>
    </row>
    <row r="2096" customHeight="1" spans="1:10">
      <c r="A2096" s="1">
        <v>740</v>
      </c>
      <c r="B2096" s="1">
        <v>2</v>
      </c>
      <c r="C2096" s="1">
        <v>94</v>
      </c>
      <c r="D2096" s="1">
        <v>2</v>
      </c>
      <c r="E2096" s="1">
        <v>249.99</v>
      </c>
      <c r="F2096" s="1">
        <v>0.2</v>
      </c>
      <c r="G2096">
        <f t="shared" si="32"/>
        <v>499.78</v>
      </c>
      <c r="H2096" t="str">
        <f>VLOOKUP(C2096,[1]products!$A:$B,2,FALSE)</f>
        <v>Haro Shredder Pro 20 - 2017</v>
      </c>
      <c r="I2096">
        <f>VLOOKUP(C2096,[1]products!$A:$D,4,FALSE)</f>
        <v>1</v>
      </c>
      <c r="J2096" t="str">
        <f>VLOOKUP(I2096,[2]categories!$A$1:$B$8,2,FALSE)</f>
        <v>Children Bicycles</v>
      </c>
    </row>
    <row r="2097" customHeight="1" spans="1:10">
      <c r="A2097" s="1">
        <v>740</v>
      </c>
      <c r="B2097" s="1">
        <v>3</v>
      </c>
      <c r="C2097" s="1">
        <v>11</v>
      </c>
      <c r="D2097" s="1">
        <v>1</v>
      </c>
      <c r="E2097" s="1">
        <v>1680.99</v>
      </c>
      <c r="F2097" s="1">
        <v>0.2</v>
      </c>
      <c r="G2097">
        <f t="shared" si="32"/>
        <v>1680.79</v>
      </c>
      <c r="H2097" t="str">
        <f>VLOOKUP(C2097,[1]products!$A:$B,2,FALSE)</f>
        <v>Surly Straggler 650b - 2016</v>
      </c>
      <c r="I2097">
        <f>VLOOKUP(C2097,[1]products!$A:$D,4,FALSE)</f>
        <v>4</v>
      </c>
      <c r="J2097" t="str">
        <f>VLOOKUP(I2097,[2]categories!$A$1:$B$8,2,FALSE)</f>
        <v>Cyclocross Bicycles</v>
      </c>
    </row>
    <row r="2098" customHeight="1" spans="1:10">
      <c r="A2098" s="1">
        <v>740</v>
      </c>
      <c r="B2098" s="1">
        <v>4</v>
      </c>
      <c r="C2098" s="1">
        <v>19</v>
      </c>
      <c r="D2098" s="1">
        <v>1</v>
      </c>
      <c r="E2098" s="1">
        <v>449</v>
      </c>
      <c r="F2098" s="1">
        <v>0.2</v>
      </c>
      <c r="G2098">
        <f t="shared" si="32"/>
        <v>448.8</v>
      </c>
      <c r="H2098" t="str">
        <f>VLOOKUP(C2098,[1]products!$A:$B,2,FALSE)</f>
        <v>Pure Cycles William 3-Speed - 2016</v>
      </c>
      <c r="I2098">
        <f>VLOOKUP(C2098,[1]products!$A:$D,4,FALSE)</f>
        <v>3</v>
      </c>
      <c r="J2098" t="str">
        <f>VLOOKUP(I2098,[2]categories!$A$1:$B$8,2,FALSE)</f>
        <v>Cruisers Bicycles</v>
      </c>
    </row>
    <row r="2099" customHeight="1" spans="1:10">
      <c r="A2099" s="1">
        <v>740</v>
      </c>
      <c r="B2099" s="1">
        <v>5</v>
      </c>
      <c r="C2099" s="1">
        <v>12</v>
      </c>
      <c r="D2099" s="1">
        <v>2</v>
      </c>
      <c r="E2099" s="1">
        <v>549.99</v>
      </c>
      <c r="F2099" s="1">
        <v>0.07</v>
      </c>
      <c r="G2099">
        <f t="shared" si="32"/>
        <v>1099.91</v>
      </c>
      <c r="H2099" t="str">
        <f>VLOOKUP(C2099,[1]products!$A:$B,2,FALSE)</f>
        <v>Electra Townie Original 21D - 2016</v>
      </c>
      <c r="I2099">
        <f>VLOOKUP(C2099,[1]products!$A:$D,4,FALSE)</f>
        <v>3</v>
      </c>
      <c r="J2099" t="str">
        <f>VLOOKUP(I2099,[2]categories!$A$1:$B$8,2,FALSE)</f>
        <v>Cruisers Bicycles</v>
      </c>
    </row>
    <row r="2100" customHeight="1" spans="1:10">
      <c r="A2100" s="1">
        <v>741</v>
      </c>
      <c r="B2100" s="1">
        <v>1</v>
      </c>
      <c r="C2100" s="1">
        <v>58</v>
      </c>
      <c r="D2100" s="1">
        <v>1</v>
      </c>
      <c r="E2100" s="1">
        <v>4999.99</v>
      </c>
      <c r="F2100" s="1">
        <v>0.05</v>
      </c>
      <c r="G2100">
        <f t="shared" si="32"/>
        <v>4999.94</v>
      </c>
      <c r="H2100" t="str">
        <f>VLOOKUP(C2100,[1]products!$A:$B,2,FALSE)</f>
        <v>Trek Madone 9.2 - 2017</v>
      </c>
      <c r="I2100">
        <f>VLOOKUP(C2100,[1]products!$A:$D,4,FALSE)</f>
        <v>7</v>
      </c>
      <c r="J2100" t="str">
        <f>VLOOKUP(I2100,[2]categories!$A$1:$B$8,2,FALSE)</f>
        <v>Road Bikes</v>
      </c>
    </row>
    <row r="2101" customHeight="1" spans="1:10">
      <c r="A2101" s="1">
        <v>741</v>
      </c>
      <c r="B2101" s="1">
        <v>2</v>
      </c>
      <c r="C2101" s="1">
        <v>76</v>
      </c>
      <c r="D2101" s="1">
        <v>1</v>
      </c>
      <c r="E2101" s="1">
        <v>299.99</v>
      </c>
      <c r="F2101" s="1">
        <v>0.07</v>
      </c>
      <c r="G2101">
        <f t="shared" si="32"/>
        <v>299.92</v>
      </c>
      <c r="H2101" t="str">
        <f>VLOOKUP(C2101,[1]products!$A:$B,2,FALSE)</f>
        <v>Electra Girl's Hawaii 1 16" - 2017</v>
      </c>
      <c r="I2101">
        <f>VLOOKUP(C2101,[1]products!$A:$D,4,FALSE)</f>
        <v>3</v>
      </c>
      <c r="J2101" t="str">
        <f>VLOOKUP(I2101,[2]categories!$A$1:$B$8,2,FALSE)</f>
        <v>Cruisers Bicycles</v>
      </c>
    </row>
    <row r="2102" customHeight="1" spans="1:10">
      <c r="A2102" s="1">
        <v>741</v>
      </c>
      <c r="B2102" s="1">
        <v>3</v>
      </c>
      <c r="C2102" s="1">
        <v>21</v>
      </c>
      <c r="D2102" s="1">
        <v>2</v>
      </c>
      <c r="E2102" s="1">
        <v>269.99</v>
      </c>
      <c r="F2102" s="1">
        <v>0.07</v>
      </c>
      <c r="G2102">
        <f t="shared" si="32"/>
        <v>539.91</v>
      </c>
      <c r="H2102" t="str">
        <f>VLOOKUP(C2102,[1]products!$A:$B,2,FALSE)</f>
        <v>Electra Cruiser 1 (24-Inch) - 2016</v>
      </c>
      <c r="I2102">
        <f>VLOOKUP(C2102,[1]products!$A:$D,4,FALSE)</f>
        <v>1</v>
      </c>
      <c r="J2102" t="str">
        <f>VLOOKUP(I2102,[2]categories!$A$1:$B$8,2,FALSE)</f>
        <v>Children Bicycles</v>
      </c>
    </row>
    <row r="2103" customHeight="1" spans="1:10">
      <c r="A2103" s="1">
        <v>741</v>
      </c>
      <c r="B2103" s="1">
        <v>4</v>
      </c>
      <c r="C2103" s="1">
        <v>56</v>
      </c>
      <c r="D2103" s="1">
        <v>2</v>
      </c>
      <c r="E2103" s="1">
        <v>5499.99</v>
      </c>
      <c r="F2103" s="1">
        <v>0.05</v>
      </c>
      <c r="G2103">
        <f t="shared" si="32"/>
        <v>10999.93</v>
      </c>
      <c r="H2103" t="str">
        <f>VLOOKUP(C2103,[1]products!$A:$B,2,FALSE)</f>
        <v>Trek Domane SLR 6 Disc - 2017</v>
      </c>
      <c r="I2103">
        <f>VLOOKUP(C2103,[1]products!$A:$D,4,FALSE)</f>
        <v>7</v>
      </c>
      <c r="J2103" t="str">
        <f>VLOOKUP(I2103,[2]categories!$A$1:$B$8,2,FALSE)</f>
        <v>Road Bikes</v>
      </c>
    </row>
    <row r="2104" customHeight="1" spans="1:10">
      <c r="A2104" s="1">
        <v>742</v>
      </c>
      <c r="B2104" s="1">
        <v>1</v>
      </c>
      <c r="C2104" s="1">
        <v>107</v>
      </c>
      <c r="D2104" s="1">
        <v>2</v>
      </c>
      <c r="E2104" s="1">
        <v>416.99</v>
      </c>
      <c r="F2104" s="1">
        <v>0.05</v>
      </c>
      <c r="G2104">
        <f t="shared" si="32"/>
        <v>833.93</v>
      </c>
      <c r="H2104" t="str">
        <f>VLOOKUP(C2104,[1]products!$A:$B,2,FALSE)</f>
        <v>Sun Bicycles Cruz 7 - 2017</v>
      </c>
      <c r="I2104">
        <f>VLOOKUP(C2104,[1]products!$A:$D,4,FALSE)</f>
        <v>2</v>
      </c>
      <c r="J2104" t="str">
        <f>VLOOKUP(I2104,[2]categories!$A$1:$B$8,2,FALSE)</f>
        <v>Comfort Bicycles</v>
      </c>
    </row>
    <row r="2105" customHeight="1" spans="1:10">
      <c r="A2105" s="1">
        <v>742</v>
      </c>
      <c r="B2105" s="1">
        <v>2</v>
      </c>
      <c r="C2105" s="1">
        <v>45</v>
      </c>
      <c r="D2105" s="1">
        <v>1</v>
      </c>
      <c r="E2105" s="1">
        <v>869.99</v>
      </c>
      <c r="F2105" s="1">
        <v>0.07</v>
      </c>
      <c r="G2105">
        <f t="shared" si="32"/>
        <v>869.92</v>
      </c>
      <c r="H2105" t="str">
        <f>VLOOKUP(C2105,[1]products!$A:$B,2,FALSE)</f>
        <v>Haro SR 1.2 - 2017</v>
      </c>
      <c r="I2105">
        <f>VLOOKUP(C2105,[1]products!$A:$D,4,FALSE)</f>
        <v>6</v>
      </c>
      <c r="J2105" t="str">
        <f>VLOOKUP(I2105,[2]categories!$A$1:$B$8,2,FALSE)</f>
        <v>Mountain Bikes</v>
      </c>
    </row>
    <row r="2106" customHeight="1" spans="1:10">
      <c r="A2106" s="1">
        <v>743</v>
      </c>
      <c r="B2106" s="1">
        <v>1</v>
      </c>
      <c r="C2106" s="1">
        <v>80</v>
      </c>
      <c r="D2106" s="1">
        <v>1</v>
      </c>
      <c r="E2106" s="1">
        <v>761.99</v>
      </c>
      <c r="F2106" s="1">
        <v>0.05</v>
      </c>
      <c r="G2106">
        <f t="shared" si="32"/>
        <v>761.94</v>
      </c>
      <c r="H2106" t="str">
        <f>VLOOKUP(C2106,[1]products!$A:$B,2,FALSE)</f>
        <v>Sun Bicycles Brickell Tandem CB - 2017</v>
      </c>
      <c r="I2106">
        <f>VLOOKUP(C2106,[1]products!$A:$D,4,FALSE)</f>
        <v>3</v>
      </c>
      <c r="J2106" t="str">
        <f>VLOOKUP(I2106,[2]categories!$A$1:$B$8,2,FALSE)</f>
        <v>Cruisers Bicycles</v>
      </c>
    </row>
    <row r="2107" customHeight="1" spans="1:10">
      <c r="A2107" s="1">
        <v>744</v>
      </c>
      <c r="B2107" s="1">
        <v>1</v>
      </c>
      <c r="C2107" s="1">
        <v>33</v>
      </c>
      <c r="D2107" s="1">
        <v>2</v>
      </c>
      <c r="E2107" s="1">
        <v>469.99</v>
      </c>
      <c r="F2107" s="1">
        <v>0.2</v>
      </c>
      <c r="G2107">
        <f t="shared" si="32"/>
        <v>939.78</v>
      </c>
      <c r="H2107" t="str">
        <f>VLOOKUP(C2107,[1]products!$A:$B,2,FALSE)</f>
        <v>Surly Wednesday Frameset - 2017</v>
      </c>
      <c r="I2107">
        <f>VLOOKUP(C2107,[1]products!$A:$D,4,FALSE)</f>
        <v>6</v>
      </c>
      <c r="J2107" t="str">
        <f>VLOOKUP(I2107,[2]categories!$A$1:$B$8,2,FALSE)</f>
        <v>Mountain Bikes</v>
      </c>
    </row>
    <row r="2108" customHeight="1" spans="1:10">
      <c r="A2108" s="1">
        <v>745</v>
      </c>
      <c r="B2108" s="1">
        <v>1</v>
      </c>
      <c r="C2108" s="1">
        <v>95</v>
      </c>
      <c r="D2108" s="1">
        <v>2</v>
      </c>
      <c r="E2108" s="1">
        <v>299.99</v>
      </c>
      <c r="F2108" s="1">
        <v>0.05</v>
      </c>
      <c r="G2108">
        <f t="shared" si="32"/>
        <v>599.93</v>
      </c>
      <c r="H2108" t="str">
        <f>VLOOKUP(C2108,[1]products!$A:$B,2,FALSE)</f>
        <v>Electra Girl's Hawaii 1 16" - 2017</v>
      </c>
      <c r="I2108">
        <f>VLOOKUP(C2108,[1]products!$A:$D,4,FALSE)</f>
        <v>1</v>
      </c>
      <c r="J2108" t="str">
        <f>VLOOKUP(I2108,[2]categories!$A$1:$B$8,2,FALSE)</f>
        <v>Children Bicycles</v>
      </c>
    </row>
    <row r="2109" customHeight="1" spans="1:10">
      <c r="A2109" s="1">
        <v>745</v>
      </c>
      <c r="B2109" s="1">
        <v>2</v>
      </c>
      <c r="C2109" s="1">
        <v>22</v>
      </c>
      <c r="D2109" s="1">
        <v>2</v>
      </c>
      <c r="E2109" s="1">
        <v>269.99</v>
      </c>
      <c r="F2109" s="1">
        <v>0.2</v>
      </c>
      <c r="G2109">
        <f t="shared" si="32"/>
        <v>539.78</v>
      </c>
      <c r="H2109" t="str">
        <f>VLOOKUP(C2109,[1]products!$A:$B,2,FALSE)</f>
        <v>Electra Girl's Hawaii 1 (16-inch) - 2015/2016</v>
      </c>
      <c r="I2109">
        <f>VLOOKUP(C2109,[1]products!$A:$D,4,FALSE)</f>
        <v>1</v>
      </c>
      <c r="J2109" t="str">
        <f>VLOOKUP(I2109,[2]categories!$A$1:$B$8,2,FALSE)</f>
        <v>Children Bicycles</v>
      </c>
    </row>
    <row r="2110" customHeight="1" spans="1:10">
      <c r="A2110" s="1">
        <v>745</v>
      </c>
      <c r="B2110" s="1">
        <v>3</v>
      </c>
      <c r="C2110" s="1">
        <v>78</v>
      </c>
      <c r="D2110" s="1">
        <v>1</v>
      </c>
      <c r="E2110" s="1">
        <v>647.99</v>
      </c>
      <c r="F2110" s="1">
        <v>0.1</v>
      </c>
      <c r="G2110">
        <f t="shared" si="32"/>
        <v>647.89</v>
      </c>
      <c r="H2110" t="str">
        <f>VLOOKUP(C2110,[1]products!$A:$B,2,FALSE)</f>
        <v>Sun Bicycles Biscayne Tandem CB - 2017</v>
      </c>
      <c r="I2110">
        <f>VLOOKUP(C2110,[1]products!$A:$D,4,FALSE)</f>
        <v>3</v>
      </c>
      <c r="J2110" t="str">
        <f>VLOOKUP(I2110,[2]categories!$A$1:$B$8,2,FALSE)</f>
        <v>Cruisers Bicycles</v>
      </c>
    </row>
    <row r="2111" customHeight="1" spans="1:10">
      <c r="A2111" s="1">
        <v>746</v>
      </c>
      <c r="B2111" s="1">
        <v>1</v>
      </c>
      <c r="C2111" s="1">
        <v>99</v>
      </c>
      <c r="D2111" s="1">
        <v>1</v>
      </c>
      <c r="E2111" s="1">
        <v>299.99</v>
      </c>
      <c r="F2111" s="1">
        <v>0.1</v>
      </c>
      <c r="G2111">
        <f t="shared" si="32"/>
        <v>299.89</v>
      </c>
      <c r="H2111" t="str">
        <f>VLOOKUP(C2111,[1]products!$A:$B,2,FALSE)</f>
        <v>Electra Sugar Skulls 1 (20-inch) - Girl's - 2017</v>
      </c>
      <c r="I2111">
        <f>VLOOKUP(C2111,[1]products!$A:$D,4,FALSE)</f>
        <v>1</v>
      </c>
      <c r="J2111" t="str">
        <f>VLOOKUP(I2111,[2]categories!$A$1:$B$8,2,FALSE)</f>
        <v>Children Bicycles</v>
      </c>
    </row>
    <row r="2112" customHeight="1" spans="1:10">
      <c r="A2112" s="1">
        <v>747</v>
      </c>
      <c r="B2112" s="1">
        <v>1</v>
      </c>
      <c r="C2112" s="1">
        <v>110</v>
      </c>
      <c r="D2112" s="1">
        <v>1</v>
      </c>
      <c r="E2112" s="1">
        <v>470.99</v>
      </c>
      <c r="F2112" s="1">
        <v>0.07</v>
      </c>
      <c r="G2112">
        <f t="shared" si="32"/>
        <v>470.92</v>
      </c>
      <c r="H2112" t="str">
        <f>VLOOKUP(C2112,[1]products!$A:$B,2,FALSE)</f>
        <v>Sun Bicycles Drifter 7 - 2017</v>
      </c>
      <c r="I2112">
        <f>VLOOKUP(C2112,[1]products!$A:$D,4,FALSE)</f>
        <v>2</v>
      </c>
      <c r="J2112" t="str">
        <f>VLOOKUP(I2112,[2]categories!$A$1:$B$8,2,FALSE)</f>
        <v>Comfort Bicycles</v>
      </c>
    </row>
    <row r="2113" customHeight="1" spans="1:10">
      <c r="A2113" s="1">
        <v>747</v>
      </c>
      <c r="B2113" s="1">
        <v>2</v>
      </c>
      <c r="C2113" s="1">
        <v>86</v>
      </c>
      <c r="D2113" s="1">
        <v>1</v>
      </c>
      <c r="E2113" s="1">
        <v>149.99</v>
      </c>
      <c r="F2113" s="1">
        <v>0.2</v>
      </c>
      <c r="G2113">
        <f t="shared" si="32"/>
        <v>149.79</v>
      </c>
      <c r="H2113" t="str">
        <f>VLOOKUP(C2113,[1]products!$A:$B,2,FALSE)</f>
        <v>Trek Girl's Kickster - 2017</v>
      </c>
      <c r="I2113">
        <f>VLOOKUP(C2113,[1]products!$A:$D,4,FALSE)</f>
        <v>1</v>
      </c>
      <c r="J2113" t="str">
        <f>VLOOKUP(I2113,[2]categories!$A$1:$B$8,2,FALSE)</f>
        <v>Children Bicycles</v>
      </c>
    </row>
    <row r="2114" customHeight="1" spans="1:10">
      <c r="A2114" s="1">
        <v>747</v>
      </c>
      <c r="B2114" s="1">
        <v>3</v>
      </c>
      <c r="C2114" s="1">
        <v>33</v>
      </c>
      <c r="D2114" s="1">
        <v>2</v>
      </c>
      <c r="E2114" s="1">
        <v>469.99</v>
      </c>
      <c r="F2114" s="1">
        <v>0.1</v>
      </c>
      <c r="G2114">
        <f t="shared" si="32"/>
        <v>939.88</v>
      </c>
      <c r="H2114" t="str">
        <f>VLOOKUP(C2114,[1]products!$A:$B,2,FALSE)</f>
        <v>Surly Wednesday Frameset - 2017</v>
      </c>
      <c r="I2114">
        <f>VLOOKUP(C2114,[1]products!$A:$D,4,FALSE)</f>
        <v>6</v>
      </c>
      <c r="J2114" t="str">
        <f>VLOOKUP(I2114,[2]categories!$A$1:$B$8,2,FALSE)</f>
        <v>Mountain Bikes</v>
      </c>
    </row>
    <row r="2115" customHeight="1" spans="1:10">
      <c r="A2115" s="1">
        <v>747</v>
      </c>
      <c r="B2115" s="1">
        <v>4</v>
      </c>
      <c r="C2115" s="1">
        <v>81</v>
      </c>
      <c r="D2115" s="1">
        <v>1</v>
      </c>
      <c r="E2115" s="1">
        <v>1099.99</v>
      </c>
      <c r="F2115" s="1">
        <v>0.07</v>
      </c>
      <c r="G2115">
        <f t="shared" ref="G2115:G2178" si="33">(E2115*D2115)-F2115</f>
        <v>1099.92</v>
      </c>
      <c r="H2115" t="str">
        <f>VLOOKUP(C2115,[1]products!$A:$B,2,FALSE)</f>
        <v>Electra Amsterdam Fashion 7i Ladies' - 2017</v>
      </c>
      <c r="I2115">
        <f>VLOOKUP(C2115,[1]products!$A:$D,4,FALSE)</f>
        <v>3</v>
      </c>
      <c r="J2115" t="str">
        <f>VLOOKUP(I2115,[2]categories!$A$1:$B$8,2,FALSE)</f>
        <v>Cruisers Bicycles</v>
      </c>
    </row>
    <row r="2116" customHeight="1" spans="1:10">
      <c r="A2116" s="1">
        <v>748</v>
      </c>
      <c r="B2116" s="1">
        <v>1</v>
      </c>
      <c r="C2116" s="1">
        <v>16</v>
      </c>
      <c r="D2116" s="1">
        <v>2</v>
      </c>
      <c r="E2116" s="1">
        <v>599.99</v>
      </c>
      <c r="F2116" s="1">
        <v>0.1</v>
      </c>
      <c r="G2116">
        <f t="shared" si="33"/>
        <v>1199.88</v>
      </c>
      <c r="H2116" t="str">
        <f>VLOOKUP(C2116,[1]products!$A:$B,2,FALSE)</f>
        <v>Electra Townie Original 7D EQ - 2016</v>
      </c>
      <c r="I2116">
        <f>VLOOKUP(C2116,[1]products!$A:$D,4,FALSE)</f>
        <v>3</v>
      </c>
      <c r="J2116" t="str">
        <f>VLOOKUP(I2116,[2]categories!$A$1:$B$8,2,FALSE)</f>
        <v>Cruisers Bicycles</v>
      </c>
    </row>
    <row r="2117" customHeight="1" spans="1:10">
      <c r="A2117" s="1">
        <v>748</v>
      </c>
      <c r="B2117" s="1">
        <v>2</v>
      </c>
      <c r="C2117" s="1">
        <v>83</v>
      </c>
      <c r="D2117" s="1">
        <v>2</v>
      </c>
      <c r="E2117" s="1">
        <v>149.99</v>
      </c>
      <c r="F2117" s="1">
        <v>0.05</v>
      </c>
      <c r="G2117">
        <f t="shared" si="33"/>
        <v>299.93</v>
      </c>
      <c r="H2117" t="str">
        <f>VLOOKUP(C2117,[1]products!$A:$B,2,FALSE)</f>
        <v>Trek Boy's Kickster - 2015/2017</v>
      </c>
      <c r="I2117">
        <f>VLOOKUP(C2117,[1]products!$A:$D,4,FALSE)</f>
        <v>1</v>
      </c>
      <c r="J2117" t="str">
        <f>VLOOKUP(I2117,[2]categories!$A$1:$B$8,2,FALSE)</f>
        <v>Children Bicycles</v>
      </c>
    </row>
    <row r="2118" customHeight="1" spans="1:10">
      <c r="A2118" s="1">
        <v>748</v>
      </c>
      <c r="B2118" s="1">
        <v>3</v>
      </c>
      <c r="C2118" s="1">
        <v>41</v>
      </c>
      <c r="D2118" s="1">
        <v>1</v>
      </c>
      <c r="E2118" s="1">
        <v>1469.99</v>
      </c>
      <c r="F2118" s="1">
        <v>0.07</v>
      </c>
      <c r="G2118">
        <f t="shared" si="33"/>
        <v>1469.92</v>
      </c>
      <c r="H2118" t="str">
        <f>VLOOKUP(C2118,[1]products!$A:$B,2,FALSE)</f>
        <v>Haro Shift R3 - 2017</v>
      </c>
      <c r="I2118">
        <f>VLOOKUP(C2118,[1]products!$A:$D,4,FALSE)</f>
        <v>6</v>
      </c>
      <c r="J2118" t="str">
        <f>VLOOKUP(I2118,[2]categories!$A$1:$B$8,2,FALSE)</f>
        <v>Mountain Bikes</v>
      </c>
    </row>
    <row r="2119" customHeight="1" spans="1:10">
      <c r="A2119" s="1">
        <v>748</v>
      </c>
      <c r="B2119" s="1">
        <v>4</v>
      </c>
      <c r="C2119" s="1">
        <v>35</v>
      </c>
      <c r="D2119" s="1">
        <v>2</v>
      </c>
      <c r="E2119" s="1">
        <v>832.99</v>
      </c>
      <c r="F2119" s="1">
        <v>0.2</v>
      </c>
      <c r="G2119">
        <f t="shared" si="33"/>
        <v>1665.78</v>
      </c>
      <c r="H2119" t="str">
        <f>VLOOKUP(C2119,[1]products!$A:$B,2,FALSE)</f>
        <v>Sun Bicycles Spider 3i - 2017</v>
      </c>
      <c r="I2119">
        <f>VLOOKUP(C2119,[1]products!$A:$D,4,FALSE)</f>
        <v>6</v>
      </c>
      <c r="J2119" t="str">
        <f>VLOOKUP(I2119,[2]categories!$A$1:$B$8,2,FALSE)</f>
        <v>Mountain Bikes</v>
      </c>
    </row>
    <row r="2120" customHeight="1" spans="1:10">
      <c r="A2120" s="1">
        <v>749</v>
      </c>
      <c r="B2120" s="1">
        <v>1</v>
      </c>
      <c r="C2120" s="1">
        <v>9</v>
      </c>
      <c r="D2120" s="1">
        <v>1</v>
      </c>
      <c r="E2120" s="1">
        <v>2999.99</v>
      </c>
      <c r="F2120" s="1">
        <v>0.2</v>
      </c>
      <c r="G2120">
        <f t="shared" si="33"/>
        <v>2999.79</v>
      </c>
      <c r="H2120" t="str">
        <f>VLOOKUP(C2120,[1]products!$A:$B,2,FALSE)</f>
        <v>Trek Conduit+ - 2016</v>
      </c>
      <c r="I2120">
        <f>VLOOKUP(C2120,[1]products!$A:$D,4,FALSE)</f>
        <v>5</v>
      </c>
      <c r="J2120" t="str">
        <f>VLOOKUP(I2120,[2]categories!$A$1:$B$8,2,FALSE)</f>
        <v>Electric Bikes</v>
      </c>
    </row>
    <row r="2121" customHeight="1" spans="1:10">
      <c r="A2121" s="1">
        <v>749</v>
      </c>
      <c r="B2121" s="1">
        <v>2</v>
      </c>
      <c r="C2121" s="1">
        <v>28</v>
      </c>
      <c r="D2121" s="1">
        <v>1</v>
      </c>
      <c r="E2121" s="1">
        <v>2499.99</v>
      </c>
      <c r="F2121" s="1">
        <v>0.05</v>
      </c>
      <c r="G2121">
        <f t="shared" si="33"/>
        <v>2499.94</v>
      </c>
      <c r="H2121" t="str">
        <f>VLOOKUP(C2121,[1]products!$A:$B,2,FALSE)</f>
        <v>Surly Karate Monkey 27.5+ Frameset - 2017</v>
      </c>
      <c r="I2121">
        <f>VLOOKUP(C2121,[1]products!$A:$D,4,FALSE)</f>
        <v>6</v>
      </c>
      <c r="J2121" t="str">
        <f>VLOOKUP(I2121,[2]categories!$A$1:$B$8,2,FALSE)</f>
        <v>Mountain Bikes</v>
      </c>
    </row>
    <row r="2122" customHeight="1" spans="1:10">
      <c r="A2122" s="1">
        <v>749</v>
      </c>
      <c r="B2122" s="1">
        <v>3</v>
      </c>
      <c r="C2122" s="1">
        <v>79</v>
      </c>
      <c r="D2122" s="1">
        <v>1</v>
      </c>
      <c r="E2122" s="1">
        <v>402.99</v>
      </c>
      <c r="F2122" s="1">
        <v>0.2</v>
      </c>
      <c r="G2122">
        <f t="shared" si="33"/>
        <v>402.79</v>
      </c>
      <c r="H2122" t="str">
        <f>VLOOKUP(C2122,[1]products!$A:$B,2,FALSE)</f>
        <v>Sun Bicycles Boardwalk (24-inch Wheels) - 2017</v>
      </c>
      <c r="I2122">
        <f>VLOOKUP(C2122,[1]products!$A:$D,4,FALSE)</f>
        <v>3</v>
      </c>
      <c r="J2122" t="str">
        <f>VLOOKUP(I2122,[2]categories!$A$1:$B$8,2,FALSE)</f>
        <v>Cruisers Bicycles</v>
      </c>
    </row>
    <row r="2123" customHeight="1" spans="1:10">
      <c r="A2123" s="1">
        <v>749</v>
      </c>
      <c r="B2123" s="1">
        <v>4</v>
      </c>
      <c r="C2123" s="1">
        <v>24</v>
      </c>
      <c r="D2123" s="1">
        <v>1</v>
      </c>
      <c r="E2123" s="1">
        <v>549.99</v>
      </c>
      <c r="F2123" s="1">
        <v>0.05</v>
      </c>
      <c r="G2123">
        <f t="shared" si="33"/>
        <v>549.94</v>
      </c>
      <c r="H2123" t="str">
        <f>VLOOKUP(C2123,[1]products!$A:$B,2,FALSE)</f>
        <v>Electra Townie Original 21D - 2016</v>
      </c>
      <c r="I2123">
        <f>VLOOKUP(C2123,[1]products!$A:$D,4,FALSE)</f>
        <v>2</v>
      </c>
      <c r="J2123" t="str">
        <f>VLOOKUP(I2123,[2]categories!$A$1:$B$8,2,FALSE)</f>
        <v>Comfort Bicycles</v>
      </c>
    </row>
    <row r="2124" customHeight="1" spans="1:10">
      <c r="A2124" s="1">
        <v>749</v>
      </c>
      <c r="B2124" s="1">
        <v>5</v>
      </c>
      <c r="C2124" s="1">
        <v>40</v>
      </c>
      <c r="D2124" s="1">
        <v>1</v>
      </c>
      <c r="E2124" s="1">
        <v>4999.99</v>
      </c>
      <c r="F2124" s="1">
        <v>0.07</v>
      </c>
      <c r="G2124">
        <f t="shared" si="33"/>
        <v>4999.92</v>
      </c>
      <c r="H2124" t="str">
        <f>VLOOKUP(C2124,[1]products!$A:$B,2,FALSE)</f>
        <v>Trek Fuel EX 9.8 29 - 2017</v>
      </c>
      <c r="I2124">
        <f>VLOOKUP(C2124,[1]products!$A:$D,4,FALSE)</f>
        <v>6</v>
      </c>
      <c r="J2124" t="str">
        <f>VLOOKUP(I2124,[2]categories!$A$1:$B$8,2,FALSE)</f>
        <v>Mountain Bikes</v>
      </c>
    </row>
    <row r="2125" customHeight="1" spans="1:10">
      <c r="A2125" s="1">
        <v>750</v>
      </c>
      <c r="B2125" s="1">
        <v>1</v>
      </c>
      <c r="C2125" s="1">
        <v>72</v>
      </c>
      <c r="D2125" s="1">
        <v>1</v>
      </c>
      <c r="E2125" s="1">
        <v>619.99</v>
      </c>
      <c r="F2125" s="1">
        <v>0.05</v>
      </c>
      <c r="G2125">
        <f t="shared" si="33"/>
        <v>619.94</v>
      </c>
      <c r="H2125" t="str">
        <f>VLOOKUP(C2125,[1]products!$A:$B,2,FALSE)</f>
        <v>Sun Bicycles Biscayne Tandem 7 - 2017</v>
      </c>
      <c r="I2125">
        <f>VLOOKUP(C2125,[1]products!$A:$D,4,FALSE)</f>
        <v>3</v>
      </c>
      <c r="J2125" t="str">
        <f>VLOOKUP(I2125,[2]categories!$A$1:$B$8,2,FALSE)</f>
        <v>Cruisers Bicycles</v>
      </c>
    </row>
    <row r="2126" customHeight="1" spans="1:10">
      <c r="A2126" s="1">
        <v>750</v>
      </c>
      <c r="B2126" s="1">
        <v>2</v>
      </c>
      <c r="C2126" s="1">
        <v>78</v>
      </c>
      <c r="D2126" s="1">
        <v>2</v>
      </c>
      <c r="E2126" s="1">
        <v>647.99</v>
      </c>
      <c r="F2126" s="1">
        <v>0.1</v>
      </c>
      <c r="G2126">
        <f t="shared" si="33"/>
        <v>1295.88</v>
      </c>
      <c r="H2126" t="str">
        <f>VLOOKUP(C2126,[1]products!$A:$B,2,FALSE)</f>
        <v>Sun Bicycles Biscayne Tandem CB - 2017</v>
      </c>
      <c r="I2126">
        <f>VLOOKUP(C2126,[1]products!$A:$D,4,FALSE)</f>
        <v>3</v>
      </c>
      <c r="J2126" t="str">
        <f>VLOOKUP(I2126,[2]categories!$A$1:$B$8,2,FALSE)</f>
        <v>Cruisers Bicycles</v>
      </c>
    </row>
    <row r="2127" customHeight="1" spans="1:10">
      <c r="A2127" s="1">
        <v>751</v>
      </c>
      <c r="B2127" s="1">
        <v>1</v>
      </c>
      <c r="C2127" s="1">
        <v>45</v>
      </c>
      <c r="D2127" s="1">
        <v>2</v>
      </c>
      <c r="E2127" s="1">
        <v>869.99</v>
      </c>
      <c r="F2127" s="1">
        <v>0.05</v>
      </c>
      <c r="G2127">
        <f t="shared" si="33"/>
        <v>1739.93</v>
      </c>
      <c r="H2127" t="str">
        <f>VLOOKUP(C2127,[1]products!$A:$B,2,FALSE)</f>
        <v>Haro SR 1.2 - 2017</v>
      </c>
      <c r="I2127">
        <f>VLOOKUP(C2127,[1]products!$A:$D,4,FALSE)</f>
        <v>6</v>
      </c>
      <c r="J2127" t="str">
        <f>VLOOKUP(I2127,[2]categories!$A$1:$B$8,2,FALSE)</f>
        <v>Mountain Bikes</v>
      </c>
    </row>
    <row r="2128" customHeight="1" spans="1:10">
      <c r="A2128" s="1">
        <v>752</v>
      </c>
      <c r="B2128" s="1">
        <v>1</v>
      </c>
      <c r="C2128" s="1">
        <v>12</v>
      </c>
      <c r="D2128" s="1">
        <v>2</v>
      </c>
      <c r="E2128" s="1">
        <v>549.99</v>
      </c>
      <c r="F2128" s="1">
        <v>0.05</v>
      </c>
      <c r="G2128">
        <f t="shared" si="33"/>
        <v>1099.93</v>
      </c>
      <c r="H2128" t="str">
        <f>VLOOKUP(C2128,[1]products!$A:$B,2,FALSE)</f>
        <v>Electra Townie Original 21D - 2016</v>
      </c>
      <c r="I2128">
        <f>VLOOKUP(C2128,[1]products!$A:$D,4,FALSE)</f>
        <v>3</v>
      </c>
      <c r="J2128" t="str">
        <f>VLOOKUP(I2128,[2]categories!$A$1:$B$8,2,FALSE)</f>
        <v>Cruisers Bicycles</v>
      </c>
    </row>
    <row r="2129" customHeight="1" spans="1:10">
      <c r="A2129" s="1">
        <v>752</v>
      </c>
      <c r="B2129" s="1">
        <v>2</v>
      </c>
      <c r="C2129" s="1">
        <v>31</v>
      </c>
      <c r="D2129" s="1">
        <v>2</v>
      </c>
      <c r="E2129" s="1">
        <v>1632.99</v>
      </c>
      <c r="F2129" s="1">
        <v>0.05</v>
      </c>
      <c r="G2129">
        <f t="shared" si="33"/>
        <v>3265.93</v>
      </c>
      <c r="H2129" t="str">
        <f>VLOOKUP(C2129,[1]products!$A:$B,2,FALSE)</f>
        <v>Surly Wednesday - 2017</v>
      </c>
      <c r="I2129">
        <f>VLOOKUP(C2129,[1]products!$A:$D,4,FALSE)</f>
        <v>6</v>
      </c>
      <c r="J2129" t="str">
        <f>VLOOKUP(I2129,[2]categories!$A$1:$B$8,2,FALSE)</f>
        <v>Mountain Bikes</v>
      </c>
    </row>
    <row r="2130" customHeight="1" spans="1:10">
      <c r="A2130" s="1">
        <v>753</v>
      </c>
      <c r="B2130" s="1">
        <v>1</v>
      </c>
      <c r="C2130" s="1">
        <v>105</v>
      </c>
      <c r="D2130" s="1">
        <v>2</v>
      </c>
      <c r="E2130" s="1">
        <v>533.99</v>
      </c>
      <c r="F2130" s="1">
        <v>0.07</v>
      </c>
      <c r="G2130">
        <f t="shared" si="33"/>
        <v>1067.91</v>
      </c>
      <c r="H2130" t="str">
        <f>VLOOKUP(C2130,[1]products!$A:$B,2,FALSE)</f>
        <v>Sun Bicycles Streamway 7 - 2017</v>
      </c>
      <c r="I2130">
        <f>VLOOKUP(C2130,[1]products!$A:$D,4,FALSE)</f>
        <v>2</v>
      </c>
      <c r="J2130" t="str">
        <f>VLOOKUP(I2130,[2]categories!$A$1:$B$8,2,FALSE)</f>
        <v>Comfort Bicycles</v>
      </c>
    </row>
    <row r="2131" customHeight="1" spans="1:10">
      <c r="A2131" s="1">
        <v>753</v>
      </c>
      <c r="B2131" s="1">
        <v>2</v>
      </c>
      <c r="C2131" s="1">
        <v>7</v>
      </c>
      <c r="D2131" s="1">
        <v>2</v>
      </c>
      <c r="E2131" s="1">
        <v>3999.99</v>
      </c>
      <c r="F2131" s="1">
        <v>0.2</v>
      </c>
      <c r="G2131">
        <f t="shared" si="33"/>
        <v>7999.78</v>
      </c>
      <c r="H2131" t="str">
        <f>VLOOKUP(C2131,[1]products!$A:$B,2,FALSE)</f>
        <v>Trek Slash 8 27.5 - 2016</v>
      </c>
      <c r="I2131">
        <f>VLOOKUP(C2131,[1]products!$A:$D,4,FALSE)</f>
        <v>6</v>
      </c>
      <c r="J2131" t="str">
        <f>VLOOKUP(I2131,[2]categories!$A$1:$B$8,2,FALSE)</f>
        <v>Mountain Bikes</v>
      </c>
    </row>
    <row r="2132" customHeight="1" spans="1:10">
      <c r="A2132" s="1">
        <v>753</v>
      </c>
      <c r="B2132" s="1">
        <v>3</v>
      </c>
      <c r="C2132" s="1">
        <v>36</v>
      </c>
      <c r="D2132" s="1">
        <v>2</v>
      </c>
      <c r="E2132" s="1">
        <v>832.99</v>
      </c>
      <c r="F2132" s="1">
        <v>0.1</v>
      </c>
      <c r="G2132">
        <f t="shared" si="33"/>
        <v>1665.88</v>
      </c>
      <c r="H2132" t="str">
        <f>VLOOKUP(C2132,[1]products!$A:$B,2,FALSE)</f>
        <v>Surly Troll Frameset - 2017</v>
      </c>
      <c r="I2132">
        <f>VLOOKUP(C2132,[1]products!$A:$D,4,FALSE)</f>
        <v>6</v>
      </c>
      <c r="J2132" t="str">
        <f>VLOOKUP(I2132,[2]categories!$A$1:$B$8,2,FALSE)</f>
        <v>Mountain Bikes</v>
      </c>
    </row>
    <row r="2133" customHeight="1" spans="1:10">
      <c r="A2133" s="1">
        <v>753</v>
      </c>
      <c r="B2133" s="1">
        <v>4</v>
      </c>
      <c r="C2133" s="1">
        <v>95</v>
      </c>
      <c r="D2133" s="1">
        <v>1</v>
      </c>
      <c r="E2133" s="1">
        <v>299.99</v>
      </c>
      <c r="F2133" s="1">
        <v>0.07</v>
      </c>
      <c r="G2133">
        <f t="shared" si="33"/>
        <v>299.92</v>
      </c>
      <c r="H2133" t="str">
        <f>VLOOKUP(C2133,[1]products!$A:$B,2,FALSE)</f>
        <v>Electra Girl's Hawaii 1 16" - 2017</v>
      </c>
      <c r="I2133">
        <f>VLOOKUP(C2133,[1]products!$A:$D,4,FALSE)</f>
        <v>1</v>
      </c>
      <c r="J2133" t="str">
        <f>VLOOKUP(I2133,[2]categories!$A$1:$B$8,2,FALSE)</f>
        <v>Children Bicycles</v>
      </c>
    </row>
    <row r="2134" customHeight="1" spans="1:10">
      <c r="A2134" s="1">
        <v>753</v>
      </c>
      <c r="B2134" s="1">
        <v>5</v>
      </c>
      <c r="C2134" s="1">
        <v>66</v>
      </c>
      <c r="D2134" s="1">
        <v>1</v>
      </c>
      <c r="E2134" s="1">
        <v>250.99</v>
      </c>
      <c r="F2134" s="1">
        <v>0.2</v>
      </c>
      <c r="G2134">
        <f t="shared" si="33"/>
        <v>250.79</v>
      </c>
      <c r="H2134" t="str">
        <f>VLOOKUP(C2134,[1]products!$A:$B,2,FALSE)</f>
        <v>Sun Bicycles Revolutions 24 - 2017</v>
      </c>
      <c r="I2134">
        <f>VLOOKUP(C2134,[1]products!$A:$D,4,FALSE)</f>
        <v>3</v>
      </c>
      <c r="J2134" t="str">
        <f>VLOOKUP(I2134,[2]categories!$A$1:$B$8,2,FALSE)</f>
        <v>Cruisers Bicycles</v>
      </c>
    </row>
    <row r="2135" customHeight="1" spans="1:10">
      <c r="A2135" s="1">
        <v>754</v>
      </c>
      <c r="B2135" s="1">
        <v>1</v>
      </c>
      <c r="C2135" s="1">
        <v>74</v>
      </c>
      <c r="D2135" s="1">
        <v>2</v>
      </c>
      <c r="E2135" s="1">
        <v>439.99</v>
      </c>
      <c r="F2135" s="1">
        <v>0.07</v>
      </c>
      <c r="G2135">
        <f t="shared" si="33"/>
        <v>879.91</v>
      </c>
      <c r="H2135" t="str">
        <f>VLOOKUP(C2135,[1]products!$A:$B,2,FALSE)</f>
        <v>Electra Cruiser Lux 1 - 2017</v>
      </c>
      <c r="I2135">
        <f>VLOOKUP(C2135,[1]products!$A:$D,4,FALSE)</f>
        <v>3</v>
      </c>
      <c r="J2135" t="str">
        <f>VLOOKUP(I2135,[2]categories!$A$1:$B$8,2,FALSE)</f>
        <v>Cruisers Bicycles</v>
      </c>
    </row>
    <row r="2136" customHeight="1" spans="1:10">
      <c r="A2136" s="1">
        <v>754</v>
      </c>
      <c r="B2136" s="1">
        <v>2</v>
      </c>
      <c r="C2136" s="1">
        <v>12</v>
      </c>
      <c r="D2136" s="1">
        <v>2</v>
      </c>
      <c r="E2136" s="1">
        <v>549.99</v>
      </c>
      <c r="F2136" s="1">
        <v>0.07</v>
      </c>
      <c r="G2136">
        <f t="shared" si="33"/>
        <v>1099.91</v>
      </c>
      <c r="H2136" t="str">
        <f>VLOOKUP(C2136,[1]products!$A:$B,2,FALSE)</f>
        <v>Electra Townie Original 21D - 2016</v>
      </c>
      <c r="I2136">
        <f>VLOOKUP(C2136,[1]products!$A:$D,4,FALSE)</f>
        <v>3</v>
      </c>
      <c r="J2136" t="str">
        <f>VLOOKUP(I2136,[2]categories!$A$1:$B$8,2,FALSE)</f>
        <v>Cruisers Bicycles</v>
      </c>
    </row>
    <row r="2137" customHeight="1" spans="1:10">
      <c r="A2137" s="1">
        <v>754</v>
      </c>
      <c r="B2137" s="1">
        <v>3</v>
      </c>
      <c r="C2137" s="1">
        <v>3</v>
      </c>
      <c r="D2137" s="1">
        <v>1</v>
      </c>
      <c r="E2137" s="1">
        <v>999.99</v>
      </c>
      <c r="F2137" s="1">
        <v>0.05</v>
      </c>
      <c r="G2137">
        <f t="shared" si="33"/>
        <v>999.94</v>
      </c>
      <c r="H2137" t="str">
        <f>VLOOKUP(C2137,[1]products!$A:$B,2,FALSE)</f>
        <v>Surly Wednesday Frameset - 2016</v>
      </c>
      <c r="I2137">
        <f>VLOOKUP(C2137,[1]products!$A:$D,4,FALSE)</f>
        <v>6</v>
      </c>
      <c r="J2137" t="str">
        <f>VLOOKUP(I2137,[2]categories!$A$1:$B$8,2,FALSE)</f>
        <v>Mountain Bikes</v>
      </c>
    </row>
    <row r="2138" customHeight="1" spans="1:10">
      <c r="A2138" s="1">
        <v>754</v>
      </c>
      <c r="B2138" s="1">
        <v>4</v>
      </c>
      <c r="C2138" s="1">
        <v>67</v>
      </c>
      <c r="D2138" s="1">
        <v>2</v>
      </c>
      <c r="E2138" s="1">
        <v>250.99</v>
      </c>
      <c r="F2138" s="1">
        <v>0.05</v>
      </c>
      <c r="G2138">
        <f t="shared" si="33"/>
        <v>501.93</v>
      </c>
      <c r="H2138" t="str">
        <f>VLOOKUP(C2138,[1]products!$A:$B,2,FALSE)</f>
        <v>Sun Bicycles Revolutions 24 - Girl's - 2017</v>
      </c>
      <c r="I2138">
        <f>VLOOKUP(C2138,[1]products!$A:$D,4,FALSE)</f>
        <v>3</v>
      </c>
      <c r="J2138" t="str">
        <f>VLOOKUP(I2138,[2]categories!$A$1:$B$8,2,FALSE)</f>
        <v>Cruisers Bicycles</v>
      </c>
    </row>
    <row r="2139" customHeight="1" spans="1:10">
      <c r="A2139" s="1">
        <v>754</v>
      </c>
      <c r="B2139" s="1">
        <v>5</v>
      </c>
      <c r="C2139" s="1">
        <v>7</v>
      </c>
      <c r="D2139" s="1">
        <v>1</v>
      </c>
      <c r="E2139" s="1">
        <v>3999.99</v>
      </c>
      <c r="F2139" s="1">
        <v>0.2</v>
      </c>
      <c r="G2139">
        <f t="shared" si="33"/>
        <v>3999.79</v>
      </c>
      <c r="H2139" t="str">
        <f>VLOOKUP(C2139,[1]products!$A:$B,2,FALSE)</f>
        <v>Trek Slash 8 27.5 - 2016</v>
      </c>
      <c r="I2139">
        <f>VLOOKUP(C2139,[1]products!$A:$D,4,FALSE)</f>
        <v>6</v>
      </c>
      <c r="J2139" t="str">
        <f>VLOOKUP(I2139,[2]categories!$A$1:$B$8,2,FALSE)</f>
        <v>Mountain Bikes</v>
      </c>
    </row>
    <row r="2140" customHeight="1" spans="1:10">
      <c r="A2140" s="1">
        <v>755</v>
      </c>
      <c r="B2140" s="1">
        <v>1</v>
      </c>
      <c r="C2140" s="1">
        <v>80</v>
      </c>
      <c r="D2140" s="1">
        <v>2</v>
      </c>
      <c r="E2140" s="1">
        <v>761.99</v>
      </c>
      <c r="F2140" s="1">
        <v>0.07</v>
      </c>
      <c r="G2140">
        <f t="shared" si="33"/>
        <v>1523.91</v>
      </c>
      <c r="H2140" t="str">
        <f>VLOOKUP(C2140,[1]products!$A:$B,2,FALSE)</f>
        <v>Sun Bicycles Brickell Tandem CB - 2017</v>
      </c>
      <c r="I2140">
        <f>VLOOKUP(C2140,[1]products!$A:$D,4,FALSE)</f>
        <v>3</v>
      </c>
      <c r="J2140" t="str">
        <f>VLOOKUP(I2140,[2]categories!$A$1:$B$8,2,FALSE)</f>
        <v>Cruisers Bicycles</v>
      </c>
    </row>
    <row r="2141" customHeight="1" spans="1:10">
      <c r="A2141" s="1">
        <v>755</v>
      </c>
      <c r="B2141" s="1">
        <v>2</v>
      </c>
      <c r="C2141" s="1">
        <v>43</v>
      </c>
      <c r="D2141" s="1">
        <v>2</v>
      </c>
      <c r="E2141" s="1">
        <v>5299.99</v>
      </c>
      <c r="F2141" s="1">
        <v>0.05</v>
      </c>
      <c r="G2141">
        <f t="shared" si="33"/>
        <v>10599.93</v>
      </c>
      <c r="H2141" t="str">
        <f>VLOOKUP(C2141,[1]products!$A:$B,2,FALSE)</f>
        <v>Trek Fuel EX 9.8 27.5 Plus - 2017</v>
      </c>
      <c r="I2141">
        <f>VLOOKUP(C2141,[1]products!$A:$D,4,FALSE)</f>
        <v>6</v>
      </c>
      <c r="J2141" t="str">
        <f>VLOOKUP(I2141,[2]categories!$A$1:$B$8,2,FALSE)</f>
        <v>Mountain Bikes</v>
      </c>
    </row>
    <row r="2142" customHeight="1" spans="1:10">
      <c r="A2142" s="1">
        <v>755</v>
      </c>
      <c r="B2142" s="1">
        <v>3</v>
      </c>
      <c r="C2142" s="1">
        <v>57</v>
      </c>
      <c r="D2142" s="1">
        <v>2</v>
      </c>
      <c r="E2142" s="1">
        <v>1999.99</v>
      </c>
      <c r="F2142" s="1">
        <v>0.1</v>
      </c>
      <c r="G2142">
        <f t="shared" si="33"/>
        <v>3999.88</v>
      </c>
      <c r="H2142" t="str">
        <f>VLOOKUP(C2142,[1]products!$A:$B,2,FALSE)</f>
        <v>Trek Emonda S 5 - 2017</v>
      </c>
      <c r="I2142">
        <f>VLOOKUP(C2142,[1]products!$A:$D,4,FALSE)</f>
        <v>7</v>
      </c>
      <c r="J2142" t="str">
        <f>VLOOKUP(I2142,[2]categories!$A$1:$B$8,2,FALSE)</f>
        <v>Road Bikes</v>
      </c>
    </row>
    <row r="2143" customHeight="1" spans="1:10">
      <c r="A2143" s="1">
        <v>756</v>
      </c>
      <c r="B2143" s="1">
        <v>1</v>
      </c>
      <c r="C2143" s="1">
        <v>64</v>
      </c>
      <c r="D2143" s="1">
        <v>1</v>
      </c>
      <c r="E2143" s="1">
        <v>489.99</v>
      </c>
      <c r="F2143" s="1">
        <v>0.1</v>
      </c>
      <c r="G2143">
        <f t="shared" si="33"/>
        <v>489.89</v>
      </c>
      <c r="H2143" t="str">
        <f>VLOOKUP(C2143,[1]products!$A:$B,2,FALSE)</f>
        <v>Electra Townie Original 7D - 2017</v>
      </c>
      <c r="I2143">
        <f>VLOOKUP(C2143,[1]products!$A:$D,4,FALSE)</f>
        <v>3</v>
      </c>
      <c r="J2143" t="str">
        <f>VLOOKUP(I2143,[2]categories!$A$1:$B$8,2,FALSE)</f>
        <v>Cruisers Bicycles</v>
      </c>
    </row>
    <row r="2144" customHeight="1" spans="1:10">
      <c r="A2144" s="1">
        <v>756</v>
      </c>
      <c r="B2144" s="1">
        <v>2</v>
      </c>
      <c r="C2144" s="1">
        <v>17</v>
      </c>
      <c r="D2144" s="1">
        <v>2</v>
      </c>
      <c r="E2144" s="1">
        <v>429</v>
      </c>
      <c r="F2144" s="1">
        <v>0.05</v>
      </c>
      <c r="G2144">
        <f t="shared" si="33"/>
        <v>857.95</v>
      </c>
      <c r="H2144" t="str">
        <f>VLOOKUP(C2144,[1]products!$A:$B,2,FALSE)</f>
        <v>Pure Cycles Vine 8-Speed - 2016</v>
      </c>
      <c r="I2144">
        <f>VLOOKUP(C2144,[1]products!$A:$D,4,FALSE)</f>
        <v>3</v>
      </c>
      <c r="J2144" t="str">
        <f>VLOOKUP(I2144,[2]categories!$A$1:$B$8,2,FALSE)</f>
        <v>Cruisers Bicycles</v>
      </c>
    </row>
    <row r="2145" customHeight="1" spans="1:10">
      <c r="A2145" s="1">
        <v>757</v>
      </c>
      <c r="B2145" s="1">
        <v>1</v>
      </c>
      <c r="C2145" s="1">
        <v>95</v>
      </c>
      <c r="D2145" s="1">
        <v>1</v>
      </c>
      <c r="E2145" s="1">
        <v>299.99</v>
      </c>
      <c r="F2145" s="1">
        <v>0.1</v>
      </c>
      <c r="G2145">
        <f t="shared" si="33"/>
        <v>299.89</v>
      </c>
      <c r="H2145" t="str">
        <f>VLOOKUP(C2145,[1]products!$A:$B,2,FALSE)</f>
        <v>Electra Girl's Hawaii 1 16" - 2017</v>
      </c>
      <c r="I2145">
        <f>VLOOKUP(C2145,[1]products!$A:$D,4,FALSE)</f>
        <v>1</v>
      </c>
      <c r="J2145" t="str">
        <f>VLOOKUP(I2145,[2]categories!$A$1:$B$8,2,FALSE)</f>
        <v>Children Bicycles</v>
      </c>
    </row>
    <row r="2146" customHeight="1" spans="1:10">
      <c r="A2146" s="1">
        <v>758</v>
      </c>
      <c r="B2146" s="1">
        <v>1</v>
      </c>
      <c r="C2146" s="1">
        <v>22</v>
      </c>
      <c r="D2146" s="1">
        <v>2</v>
      </c>
      <c r="E2146" s="1">
        <v>269.99</v>
      </c>
      <c r="F2146" s="1">
        <v>0.07</v>
      </c>
      <c r="G2146">
        <f t="shared" si="33"/>
        <v>539.91</v>
      </c>
      <c r="H2146" t="str">
        <f>VLOOKUP(C2146,[1]products!$A:$B,2,FALSE)</f>
        <v>Electra Girl's Hawaii 1 (16-inch) - 2015/2016</v>
      </c>
      <c r="I2146">
        <f>VLOOKUP(C2146,[1]products!$A:$D,4,FALSE)</f>
        <v>1</v>
      </c>
      <c r="J2146" t="str">
        <f>VLOOKUP(I2146,[2]categories!$A$1:$B$8,2,FALSE)</f>
        <v>Children Bicycles</v>
      </c>
    </row>
    <row r="2147" customHeight="1" spans="1:10">
      <c r="A2147" s="1">
        <v>758</v>
      </c>
      <c r="B2147" s="1">
        <v>2</v>
      </c>
      <c r="C2147" s="1">
        <v>99</v>
      </c>
      <c r="D2147" s="1">
        <v>1</v>
      </c>
      <c r="E2147" s="1">
        <v>299.99</v>
      </c>
      <c r="F2147" s="1">
        <v>0.1</v>
      </c>
      <c r="G2147">
        <f t="shared" si="33"/>
        <v>299.89</v>
      </c>
      <c r="H2147" t="str">
        <f>VLOOKUP(C2147,[1]products!$A:$B,2,FALSE)</f>
        <v>Electra Sugar Skulls 1 (20-inch) - Girl's - 2017</v>
      </c>
      <c r="I2147">
        <f>VLOOKUP(C2147,[1]products!$A:$D,4,FALSE)</f>
        <v>1</v>
      </c>
      <c r="J2147" t="str">
        <f>VLOOKUP(I2147,[2]categories!$A$1:$B$8,2,FALSE)</f>
        <v>Children Bicycles</v>
      </c>
    </row>
    <row r="2148" customHeight="1" spans="1:10">
      <c r="A2148" s="1">
        <v>758</v>
      </c>
      <c r="B2148" s="1">
        <v>3</v>
      </c>
      <c r="C2148" s="1">
        <v>27</v>
      </c>
      <c r="D2148" s="1">
        <v>1</v>
      </c>
      <c r="E2148" s="1">
        <v>999.99</v>
      </c>
      <c r="F2148" s="1">
        <v>0.07</v>
      </c>
      <c r="G2148">
        <f t="shared" si="33"/>
        <v>999.92</v>
      </c>
      <c r="H2148" t="str">
        <f>VLOOKUP(C2148,[1]products!$A:$B,2,FALSE)</f>
        <v>Surly Big Dummy Frameset - 2017</v>
      </c>
      <c r="I2148">
        <f>VLOOKUP(C2148,[1]products!$A:$D,4,FALSE)</f>
        <v>6</v>
      </c>
      <c r="J2148" t="str">
        <f>VLOOKUP(I2148,[2]categories!$A$1:$B$8,2,FALSE)</f>
        <v>Mountain Bikes</v>
      </c>
    </row>
    <row r="2149" customHeight="1" spans="1:10">
      <c r="A2149" s="1">
        <v>758</v>
      </c>
      <c r="B2149" s="1">
        <v>4</v>
      </c>
      <c r="C2149" s="1">
        <v>65</v>
      </c>
      <c r="D2149" s="1">
        <v>2</v>
      </c>
      <c r="E2149" s="1">
        <v>346.99</v>
      </c>
      <c r="F2149" s="1">
        <v>0.07</v>
      </c>
      <c r="G2149">
        <f t="shared" si="33"/>
        <v>693.91</v>
      </c>
      <c r="H2149" t="str">
        <f>VLOOKUP(C2149,[1]products!$A:$B,2,FALSE)</f>
        <v>Sun Bicycles Lil Bolt Type-R - 2017</v>
      </c>
      <c r="I2149">
        <f>VLOOKUP(C2149,[1]products!$A:$D,4,FALSE)</f>
        <v>3</v>
      </c>
      <c r="J2149" t="str">
        <f>VLOOKUP(I2149,[2]categories!$A$1:$B$8,2,FALSE)</f>
        <v>Cruisers Bicycles</v>
      </c>
    </row>
    <row r="2150" customHeight="1" spans="1:10">
      <c r="A2150" s="1">
        <v>758</v>
      </c>
      <c r="B2150" s="1">
        <v>5</v>
      </c>
      <c r="C2150" s="1">
        <v>109</v>
      </c>
      <c r="D2150" s="1">
        <v>1</v>
      </c>
      <c r="E2150" s="1">
        <v>416.99</v>
      </c>
      <c r="F2150" s="1">
        <v>0.2</v>
      </c>
      <c r="G2150">
        <f t="shared" si="33"/>
        <v>416.79</v>
      </c>
      <c r="H2150" t="str">
        <f>VLOOKUP(C2150,[1]products!$A:$B,2,FALSE)</f>
        <v>Sun Bicycles Cruz 7 - Women's - 2017</v>
      </c>
      <c r="I2150">
        <f>VLOOKUP(C2150,[1]products!$A:$D,4,FALSE)</f>
        <v>2</v>
      </c>
      <c r="J2150" t="str">
        <f>VLOOKUP(I2150,[2]categories!$A$1:$B$8,2,FALSE)</f>
        <v>Comfort Bicycles</v>
      </c>
    </row>
    <row r="2151" customHeight="1" spans="1:10">
      <c r="A2151" s="1">
        <v>759</v>
      </c>
      <c r="B2151" s="1">
        <v>1</v>
      </c>
      <c r="C2151" s="1">
        <v>93</v>
      </c>
      <c r="D2151" s="1">
        <v>2</v>
      </c>
      <c r="E2151" s="1">
        <v>209.99</v>
      </c>
      <c r="F2151" s="1">
        <v>0.05</v>
      </c>
      <c r="G2151">
        <f t="shared" si="33"/>
        <v>419.93</v>
      </c>
      <c r="H2151" t="str">
        <f>VLOOKUP(C2151,[1]products!$A:$B,2,FALSE)</f>
        <v>Haro Shredder 20 Girls - 2017</v>
      </c>
      <c r="I2151">
        <f>VLOOKUP(C2151,[1]products!$A:$D,4,FALSE)</f>
        <v>1</v>
      </c>
      <c r="J2151" t="str">
        <f>VLOOKUP(I2151,[2]categories!$A$1:$B$8,2,FALSE)</f>
        <v>Children Bicycles</v>
      </c>
    </row>
    <row r="2152" customHeight="1" spans="1:10">
      <c r="A2152" s="1">
        <v>759</v>
      </c>
      <c r="B2152" s="1">
        <v>2</v>
      </c>
      <c r="C2152" s="1">
        <v>78</v>
      </c>
      <c r="D2152" s="1">
        <v>1</v>
      </c>
      <c r="E2152" s="1">
        <v>647.99</v>
      </c>
      <c r="F2152" s="1">
        <v>0.07</v>
      </c>
      <c r="G2152">
        <f t="shared" si="33"/>
        <v>647.92</v>
      </c>
      <c r="H2152" t="str">
        <f>VLOOKUP(C2152,[1]products!$A:$B,2,FALSE)</f>
        <v>Sun Bicycles Biscayne Tandem CB - 2017</v>
      </c>
      <c r="I2152">
        <f>VLOOKUP(C2152,[1]products!$A:$D,4,FALSE)</f>
        <v>3</v>
      </c>
      <c r="J2152" t="str">
        <f>VLOOKUP(I2152,[2]categories!$A$1:$B$8,2,FALSE)</f>
        <v>Cruisers Bicycles</v>
      </c>
    </row>
    <row r="2153" customHeight="1" spans="1:10">
      <c r="A2153" s="1">
        <v>760</v>
      </c>
      <c r="B2153" s="1">
        <v>1</v>
      </c>
      <c r="C2153" s="1">
        <v>21</v>
      </c>
      <c r="D2153" s="1">
        <v>2</v>
      </c>
      <c r="E2153" s="1">
        <v>269.99</v>
      </c>
      <c r="F2153" s="1">
        <v>0.07</v>
      </c>
      <c r="G2153">
        <f t="shared" si="33"/>
        <v>539.91</v>
      </c>
      <c r="H2153" t="str">
        <f>VLOOKUP(C2153,[1]products!$A:$B,2,FALSE)</f>
        <v>Electra Cruiser 1 (24-Inch) - 2016</v>
      </c>
      <c r="I2153">
        <f>VLOOKUP(C2153,[1]products!$A:$D,4,FALSE)</f>
        <v>1</v>
      </c>
      <c r="J2153" t="str">
        <f>VLOOKUP(I2153,[2]categories!$A$1:$B$8,2,FALSE)</f>
        <v>Children Bicycles</v>
      </c>
    </row>
    <row r="2154" customHeight="1" spans="1:10">
      <c r="A2154" s="1">
        <v>760</v>
      </c>
      <c r="B2154" s="1">
        <v>2</v>
      </c>
      <c r="C2154" s="1">
        <v>29</v>
      </c>
      <c r="D2154" s="1">
        <v>2</v>
      </c>
      <c r="E2154" s="1">
        <v>999.99</v>
      </c>
      <c r="F2154" s="1">
        <v>0.07</v>
      </c>
      <c r="G2154">
        <f t="shared" si="33"/>
        <v>1999.91</v>
      </c>
      <c r="H2154" t="str">
        <f>VLOOKUP(C2154,[1]products!$A:$B,2,FALSE)</f>
        <v>Trek X-Caliber 8 - 2017</v>
      </c>
      <c r="I2154">
        <f>VLOOKUP(C2154,[1]products!$A:$D,4,FALSE)</f>
        <v>6</v>
      </c>
      <c r="J2154" t="str">
        <f>VLOOKUP(I2154,[2]categories!$A$1:$B$8,2,FALSE)</f>
        <v>Mountain Bikes</v>
      </c>
    </row>
    <row r="2155" customHeight="1" spans="1:10">
      <c r="A2155" s="1">
        <v>761</v>
      </c>
      <c r="B2155" s="1">
        <v>1</v>
      </c>
      <c r="C2155" s="1">
        <v>43</v>
      </c>
      <c r="D2155" s="1">
        <v>1</v>
      </c>
      <c r="E2155" s="1">
        <v>5299.99</v>
      </c>
      <c r="F2155" s="1">
        <v>0.07</v>
      </c>
      <c r="G2155">
        <f t="shared" si="33"/>
        <v>5299.92</v>
      </c>
      <c r="H2155" t="str">
        <f>VLOOKUP(C2155,[1]products!$A:$B,2,FALSE)</f>
        <v>Trek Fuel EX 9.8 27.5 Plus - 2017</v>
      </c>
      <c r="I2155">
        <f>VLOOKUP(C2155,[1]products!$A:$D,4,FALSE)</f>
        <v>6</v>
      </c>
      <c r="J2155" t="str">
        <f>VLOOKUP(I2155,[2]categories!$A$1:$B$8,2,FALSE)</f>
        <v>Mountain Bikes</v>
      </c>
    </row>
    <row r="2156" customHeight="1" spans="1:10">
      <c r="A2156" s="1">
        <v>761</v>
      </c>
      <c r="B2156" s="1">
        <v>2</v>
      </c>
      <c r="C2156" s="1">
        <v>52</v>
      </c>
      <c r="D2156" s="1">
        <v>2</v>
      </c>
      <c r="E2156" s="1">
        <v>875.99</v>
      </c>
      <c r="F2156" s="1">
        <v>0.2</v>
      </c>
      <c r="G2156">
        <f t="shared" si="33"/>
        <v>1751.78</v>
      </c>
      <c r="H2156" t="str">
        <f>VLOOKUP(C2156,[1]products!$A:$B,2,FALSE)</f>
        <v>Surly Steamroller - 2017</v>
      </c>
      <c r="I2156">
        <f>VLOOKUP(C2156,[1]products!$A:$D,4,FALSE)</f>
        <v>7</v>
      </c>
      <c r="J2156" t="str">
        <f>VLOOKUP(I2156,[2]categories!$A$1:$B$8,2,FALSE)</f>
        <v>Road Bikes</v>
      </c>
    </row>
    <row r="2157" customHeight="1" spans="1:10">
      <c r="A2157" s="1">
        <v>762</v>
      </c>
      <c r="B2157" s="1">
        <v>1</v>
      </c>
      <c r="C2157" s="1">
        <v>102</v>
      </c>
      <c r="D2157" s="1">
        <v>2</v>
      </c>
      <c r="E2157" s="1">
        <v>489.99</v>
      </c>
      <c r="F2157" s="1">
        <v>0.05</v>
      </c>
      <c r="G2157">
        <f t="shared" si="33"/>
        <v>979.93</v>
      </c>
      <c r="H2157" t="str">
        <f>VLOOKUP(C2157,[1]products!$A:$B,2,FALSE)</f>
        <v>Electra Townie Original 7D - 2017</v>
      </c>
      <c r="I2157">
        <f>VLOOKUP(C2157,[1]products!$A:$D,4,FALSE)</f>
        <v>2</v>
      </c>
      <c r="J2157" t="str">
        <f>VLOOKUP(I2157,[2]categories!$A$1:$B$8,2,FALSE)</f>
        <v>Comfort Bicycles</v>
      </c>
    </row>
    <row r="2158" customHeight="1" spans="1:10">
      <c r="A2158" s="1">
        <v>763</v>
      </c>
      <c r="B2158" s="1">
        <v>1</v>
      </c>
      <c r="C2158" s="1">
        <v>90</v>
      </c>
      <c r="D2158" s="1">
        <v>1</v>
      </c>
      <c r="E2158" s="1">
        <v>209.99</v>
      </c>
      <c r="F2158" s="1">
        <v>0.07</v>
      </c>
      <c r="G2158">
        <f t="shared" si="33"/>
        <v>209.92</v>
      </c>
      <c r="H2158" t="str">
        <f>VLOOKUP(C2158,[1]products!$A:$B,2,FALSE)</f>
        <v>Trek Precaliber 16 Girls - 2017</v>
      </c>
      <c r="I2158">
        <f>VLOOKUP(C2158,[1]products!$A:$D,4,FALSE)</f>
        <v>1</v>
      </c>
      <c r="J2158" t="str">
        <f>VLOOKUP(I2158,[2]categories!$A$1:$B$8,2,FALSE)</f>
        <v>Children Bicycles</v>
      </c>
    </row>
    <row r="2159" customHeight="1" spans="1:10">
      <c r="A2159" s="1">
        <v>763</v>
      </c>
      <c r="B2159" s="1">
        <v>2</v>
      </c>
      <c r="C2159" s="1">
        <v>103</v>
      </c>
      <c r="D2159" s="1">
        <v>1</v>
      </c>
      <c r="E2159" s="1">
        <v>551.99</v>
      </c>
      <c r="F2159" s="1">
        <v>0.1</v>
      </c>
      <c r="G2159">
        <f t="shared" si="33"/>
        <v>551.89</v>
      </c>
      <c r="H2159" t="str">
        <f>VLOOKUP(C2159,[1]products!$A:$B,2,FALSE)</f>
        <v>Sun Bicycles Streamway 3 - 2017</v>
      </c>
      <c r="I2159">
        <f>VLOOKUP(C2159,[1]products!$A:$D,4,FALSE)</f>
        <v>2</v>
      </c>
      <c r="J2159" t="str">
        <f>VLOOKUP(I2159,[2]categories!$A$1:$B$8,2,FALSE)</f>
        <v>Comfort Bicycles</v>
      </c>
    </row>
    <row r="2160" customHeight="1" spans="1:10">
      <c r="A2160" s="1">
        <v>764</v>
      </c>
      <c r="B2160" s="1">
        <v>1</v>
      </c>
      <c r="C2160" s="1">
        <v>55</v>
      </c>
      <c r="D2160" s="1">
        <v>1</v>
      </c>
      <c r="E2160" s="1">
        <v>2699.99</v>
      </c>
      <c r="F2160" s="1">
        <v>0.07</v>
      </c>
      <c r="G2160">
        <f t="shared" si="33"/>
        <v>2699.92</v>
      </c>
      <c r="H2160" t="str">
        <f>VLOOKUP(C2160,[1]products!$A:$B,2,FALSE)</f>
        <v>Trek Domane S 6 - 2017</v>
      </c>
      <c r="I2160">
        <f>VLOOKUP(C2160,[1]products!$A:$D,4,FALSE)</f>
        <v>7</v>
      </c>
      <c r="J2160" t="str">
        <f>VLOOKUP(I2160,[2]categories!$A$1:$B$8,2,FALSE)</f>
        <v>Road Bikes</v>
      </c>
    </row>
    <row r="2161" customHeight="1" spans="1:10">
      <c r="A2161" s="1">
        <v>764</v>
      </c>
      <c r="B2161" s="1">
        <v>2</v>
      </c>
      <c r="C2161" s="1">
        <v>95</v>
      </c>
      <c r="D2161" s="1">
        <v>2</v>
      </c>
      <c r="E2161" s="1">
        <v>299.99</v>
      </c>
      <c r="F2161" s="1">
        <v>0.05</v>
      </c>
      <c r="G2161">
        <f t="shared" si="33"/>
        <v>599.93</v>
      </c>
      <c r="H2161" t="str">
        <f>VLOOKUP(C2161,[1]products!$A:$B,2,FALSE)</f>
        <v>Electra Girl's Hawaii 1 16" - 2017</v>
      </c>
      <c r="I2161">
        <f>VLOOKUP(C2161,[1]products!$A:$D,4,FALSE)</f>
        <v>1</v>
      </c>
      <c r="J2161" t="str">
        <f>VLOOKUP(I2161,[2]categories!$A$1:$B$8,2,FALSE)</f>
        <v>Children Bicycles</v>
      </c>
    </row>
    <row r="2162" customHeight="1" spans="1:10">
      <c r="A2162" s="1">
        <v>764</v>
      </c>
      <c r="B2162" s="1">
        <v>3</v>
      </c>
      <c r="C2162" s="1">
        <v>81</v>
      </c>
      <c r="D2162" s="1">
        <v>2</v>
      </c>
      <c r="E2162" s="1">
        <v>1099.99</v>
      </c>
      <c r="F2162" s="1">
        <v>0.07</v>
      </c>
      <c r="G2162">
        <f t="shared" si="33"/>
        <v>2199.91</v>
      </c>
      <c r="H2162" t="str">
        <f>VLOOKUP(C2162,[1]products!$A:$B,2,FALSE)</f>
        <v>Electra Amsterdam Fashion 7i Ladies' - 2017</v>
      </c>
      <c r="I2162">
        <f>VLOOKUP(C2162,[1]products!$A:$D,4,FALSE)</f>
        <v>3</v>
      </c>
      <c r="J2162" t="str">
        <f>VLOOKUP(I2162,[2]categories!$A$1:$B$8,2,FALSE)</f>
        <v>Cruisers Bicycles</v>
      </c>
    </row>
    <row r="2163" customHeight="1" spans="1:10">
      <c r="A2163" s="1">
        <v>765</v>
      </c>
      <c r="B2163" s="1">
        <v>1</v>
      </c>
      <c r="C2163" s="1">
        <v>28</v>
      </c>
      <c r="D2163" s="1">
        <v>2</v>
      </c>
      <c r="E2163" s="1">
        <v>2499.99</v>
      </c>
      <c r="F2163" s="1">
        <v>0.2</v>
      </c>
      <c r="G2163">
        <f t="shared" si="33"/>
        <v>4999.78</v>
      </c>
      <c r="H2163" t="str">
        <f>VLOOKUP(C2163,[1]products!$A:$B,2,FALSE)</f>
        <v>Surly Karate Monkey 27.5+ Frameset - 2017</v>
      </c>
      <c r="I2163">
        <f>VLOOKUP(C2163,[1]products!$A:$D,4,FALSE)</f>
        <v>6</v>
      </c>
      <c r="J2163" t="str">
        <f>VLOOKUP(I2163,[2]categories!$A$1:$B$8,2,FALSE)</f>
        <v>Mountain Bikes</v>
      </c>
    </row>
    <row r="2164" customHeight="1" spans="1:10">
      <c r="A2164" s="1">
        <v>765</v>
      </c>
      <c r="B2164" s="1">
        <v>2</v>
      </c>
      <c r="C2164" s="1">
        <v>12</v>
      </c>
      <c r="D2164" s="1">
        <v>1</v>
      </c>
      <c r="E2164" s="1">
        <v>549.99</v>
      </c>
      <c r="F2164" s="1">
        <v>0.07</v>
      </c>
      <c r="G2164">
        <f t="shared" si="33"/>
        <v>549.92</v>
      </c>
      <c r="H2164" t="str">
        <f>VLOOKUP(C2164,[1]products!$A:$B,2,FALSE)</f>
        <v>Electra Townie Original 21D - 2016</v>
      </c>
      <c r="I2164">
        <f>VLOOKUP(C2164,[1]products!$A:$D,4,FALSE)</f>
        <v>3</v>
      </c>
      <c r="J2164" t="str">
        <f>VLOOKUP(I2164,[2]categories!$A$1:$B$8,2,FALSE)</f>
        <v>Cruisers Bicycles</v>
      </c>
    </row>
    <row r="2165" customHeight="1" spans="1:10">
      <c r="A2165" s="1">
        <v>765</v>
      </c>
      <c r="B2165" s="1">
        <v>3</v>
      </c>
      <c r="C2165" s="1">
        <v>25</v>
      </c>
      <c r="D2165" s="1">
        <v>1</v>
      </c>
      <c r="E2165" s="1">
        <v>499.99</v>
      </c>
      <c r="F2165" s="1">
        <v>0.2</v>
      </c>
      <c r="G2165">
        <f t="shared" si="33"/>
        <v>499.79</v>
      </c>
      <c r="H2165" t="str">
        <f>VLOOKUP(C2165,[1]products!$A:$B,2,FALSE)</f>
        <v>Electra Townie Original 7D - 2015/2016</v>
      </c>
      <c r="I2165">
        <f>VLOOKUP(C2165,[1]products!$A:$D,4,FALSE)</f>
        <v>2</v>
      </c>
      <c r="J2165" t="str">
        <f>VLOOKUP(I2165,[2]categories!$A$1:$B$8,2,FALSE)</f>
        <v>Comfort Bicycles</v>
      </c>
    </row>
    <row r="2166" customHeight="1" spans="1:10">
      <c r="A2166" s="1">
        <v>765</v>
      </c>
      <c r="B2166" s="1">
        <v>4</v>
      </c>
      <c r="C2166" s="1">
        <v>53</v>
      </c>
      <c r="D2166" s="1">
        <v>1</v>
      </c>
      <c r="E2166" s="1">
        <v>749.99</v>
      </c>
      <c r="F2166" s="1">
        <v>0.2</v>
      </c>
      <c r="G2166">
        <f t="shared" si="33"/>
        <v>749.79</v>
      </c>
      <c r="H2166" t="str">
        <f>VLOOKUP(C2166,[1]products!$A:$B,2,FALSE)</f>
        <v>Surly Ogre Frameset - 2017</v>
      </c>
      <c r="I2166">
        <f>VLOOKUP(C2166,[1]products!$A:$D,4,FALSE)</f>
        <v>7</v>
      </c>
      <c r="J2166" t="str">
        <f>VLOOKUP(I2166,[2]categories!$A$1:$B$8,2,FALSE)</f>
        <v>Road Bikes</v>
      </c>
    </row>
    <row r="2167" customHeight="1" spans="1:10">
      <c r="A2167" s="1">
        <v>765</v>
      </c>
      <c r="B2167" s="1">
        <v>5</v>
      </c>
      <c r="C2167" s="1">
        <v>65</v>
      </c>
      <c r="D2167" s="1">
        <v>1</v>
      </c>
      <c r="E2167" s="1">
        <v>346.99</v>
      </c>
      <c r="F2167" s="1">
        <v>0.05</v>
      </c>
      <c r="G2167">
        <f t="shared" si="33"/>
        <v>346.94</v>
      </c>
      <c r="H2167" t="str">
        <f>VLOOKUP(C2167,[1]products!$A:$B,2,FALSE)</f>
        <v>Sun Bicycles Lil Bolt Type-R - 2017</v>
      </c>
      <c r="I2167">
        <f>VLOOKUP(C2167,[1]products!$A:$D,4,FALSE)</f>
        <v>3</v>
      </c>
      <c r="J2167" t="str">
        <f>VLOOKUP(I2167,[2]categories!$A$1:$B$8,2,FALSE)</f>
        <v>Cruisers Bicycles</v>
      </c>
    </row>
    <row r="2168" customHeight="1" spans="1:10">
      <c r="A2168" s="1">
        <v>766</v>
      </c>
      <c r="B2168" s="1">
        <v>1</v>
      </c>
      <c r="C2168" s="1">
        <v>111</v>
      </c>
      <c r="D2168" s="1">
        <v>1</v>
      </c>
      <c r="E2168" s="1">
        <v>470.99</v>
      </c>
      <c r="F2168" s="1">
        <v>0.2</v>
      </c>
      <c r="G2168">
        <f t="shared" si="33"/>
        <v>470.79</v>
      </c>
      <c r="H2168" t="str">
        <f>VLOOKUP(C2168,[1]products!$A:$B,2,FALSE)</f>
        <v>Sun Bicycles Drifter 7 - Women's - 2017</v>
      </c>
      <c r="I2168">
        <f>VLOOKUP(C2168,[1]products!$A:$D,4,FALSE)</f>
        <v>2</v>
      </c>
      <c r="J2168" t="str">
        <f>VLOOKUP(I2168,[2]categories!$A$1:$B$8,2,FALSE)</f>
        <v>Comfort Bicycles</v>
      </c>
    </row>
    <row r="2169" customHeight="1" spans="1:10">
      <c r="A2169" s="1">
        <v>767</v>
      </c>
      <c r="B2169" s="1">
        <v>1</v>
      </c>
      <c r="C2169" s="1">
        <v>63</v>
      </c>
      <c r="D2169" s="1">
        <v>1</v>
      </c>
      <c r="E2169" s="1">
        <v>3499.99</v>
      </c>
      <c r="F2169" s="1">
        <v>0.1</v>
      </c>
      <c r="G2169">
        <f t="shared" si="33"/>
        <v>3499.89</v>
      </c>
      <c r="H2169" t="str">
        <f>VLOOKUP(C2169,[1]products!$A:$B,2,FALSE)</f>
        <v>Trek Boone Race Shop Limited - 2017</v>
      </c>
      <c r="I2169">
        <f>VLOOKUP(C2169,[1]products!$A:$D,4,FALSE)</f>
        <v>4</v>
      </c>
      <c r="J2169" t="str">
        <f>VLOOKUP(I2169,[2]categories!$A$1:$B$8,2,FALSE)</f>
        <v>Cyclocross Bicycles</v>
      </c>
    </row>
    <row r="2170" customHeight="1" spans="1:10">
      <c r="A2170" s="1">
        <v>767</v>
      </c>
      <c r="B2170" s="1">
        <v>2</v>
      </c>
      <c r="C2170" s="1">
        <v>29</v>
      </c>
      <c r="D2170" s="1">
        <v>1</v>
      </c>
      <c r="E2170" s="1">
        <v>999.99</v>
      </c>
      <c r="F2170" s="1">
        <v>0.07</v>
      </c>
      <c r="G2170">
        <f t="shared" si="33"/>
        <v>999.92</v>
      </c>
      <c r="H2170" t="str">
        <f>VLOOKUP(C2170,[1]products!$A:$B,2,FALSE)</f>
        <v>Trek X-Caliber 8 - 2017</v>
      </c>
      <c r="I2170">
        <f>VLOOKUP(C2170,[1]products!$A:$D,4,FALSE)</f>
        <v>6</v>
      </c>
      <c r="J2170" t="str">
        <f>VLOOKUP(I2170,[2]categories!$A$1:$B$8,2,FALSE)</f>
        <v>Mountain Bikes</v>
      </c>
    </row>
    <row r="2171" customHeight="1" spans="1:10">
      <c r="A2171" s="1">
        <v>767</v>
      </c>
      <c r="B2171" s="1">
        <v>3</v>
      </c>
      <c r="C2171" s="1">
        <v>41</v>
      </c>
      <c r="D2171" s="1">
        <v>2</v>
      </c>
      <c r="E2171" s="1">
        <v>1469.99</v>
      </c>
      <c r="F2171" s="1">
        <v>0.05</v>
      </c>
      <c r="G2171">
        <f t="shared" si="33"/>
        <v>2939.93</v>
      </c>
      <c r="H2171" t="str">
        <f>VLOOKUP(C2171,[1]products!$A:$B,2,FALSE)</f>
        <v>Haro Shift R3 - 2017</v>
      </c>
      <c r="I2171">
        <f>VLOOKUP(C2171,[1]products!$A:$D,4,FALSE)</f>
        <v>6</v>
      </c>
      <c r="J2171" t="str">
        <f>VLOOKUP(I2171,[2]categories!$A$1:$B$8,2,FALSE)</f>
        <v>Mountain Bikes</v>
      </c>
    </row>
    <row r="2172" customHeight="1" spans="1:10">
      <c r="A2172" s="1">
        <v>767</v>
      </c>
      <c r="B2172" s="1">
        <v>4</v>
      </c>
      <c r="C2172" s="1">
        <v>77</v>
      </c>
      <c r="D2172" s="1">
        <v>2</v>
      </c>
      <c r="E2172" s="1">
        <v>799.99</v>
      </c>
      <c r="F2172" s="1">
        <v>0.05</v>
      </c>
      <c r="G2172">
        <f t="shared" si="33"/>
        <v>1599.93</v>
      </c>
      <c r="H2172" t="str">
        <f>VLOOKUP(C2172,[1]products!$A:$B,2,FALSE)</f>
        <v>Electra Glam Punk 3i Ladies' - 2017</v>
      </c>
      <c r="I2172">
        <f>VLOOKUP(C2172,[1]products!$A:$D,4,FALSE)</f>
        <v>3</v>
      </c>
      <c r="J2172" t="str">
        <f>VLOOKUP(I2172,[2]categories!$A$1:$B$8,2,FALSE)</f>
        <v>Cruisers Bicycles</v>
      </c>
    </row>
    <row r="2173" customHeight="1" spans="1:10">
      <c r="A2173" s="1">
        <v>768</v>
      </c>
      <c r="B2173" s="1">
        <v>1</v>
      </c>
      <c r="C2173" s="1">
        <v>31</v>
      </c>
      <c r="D2173" s="1">
        <v>1</v>
      </c>
      <c r="E2173" s="1">
        <v>1632.99</v>
      </c>
      <c r="F2173" s="1">
        <v>0.2</v>
      </c>
      <c r="G2173">
        <f t="shared" si="33"/>
        <v>1632.79</v>
      </c>
      <c r="H2173" t="str">
        <f>VLOOKUP(C2173,[1]products!$A:$B,2,FALSE)</f>
        <v>Surly Wednesday - 2017</v>
      </c>
      <c r="I2173">
        <f>VLOOKUP(C2173,[1]products!$A:$D,4,FALSE)</f>
        <v>6</v>
      </c>
      <c r="J2173" t="str">
        <f>VLOOKUP(I2173,[2]categories!$A$1:$B$8,2,FALSE)</f>
        <v>Mountain Bikes</v>
      </c>
    </row>
    <row r="2174" customHeight="1" spans="1:10">
      <c r="A2174" s="1">
        <v>768</v>
      </c>
      <c r="B2174" s="1">
        <v>2</v>
      </c>
      <c r="C2174" s="1">
        <v>76</v>
      </c>
      <c r="D2174" s="1">
        <v>1</v>
      </c>
      <c r="E2174" s="1">
        <v>299.99</v>
      </c>
      <c r="F2174" s="1">
        <v>0.2</v>
      </c>
      <c r="G2174">
        <f t="shared" si="33"/>
        <v>299.79</v>
      </c>
      <c r="H2174" t="str">
        <f>VLOOKUP(C2174,[1]products!$A:$B,2,FALSE)</f>
        <v>Electra Girl's Hawaii 1 16" - 2017</v>
      </c>
      <c r="I2174">
        <f>VLOOKUP(C2174,[1]products!$A:$D,4,FALSE)</f>
        <v>3</v>
      </c>
      <c r="J2174" t="str">
        <f>VLOOKUP(I2174,[2]categories!$A$1:$B$8,2,FALSE)</f>
        <v>Cruisers Bicycles</v>
      </c>
    </row>
    <row r="2175" customHeight="1" spans="1:10">
      <c r="A2175" s="1">
        <v>769</v>
      </c>
      <c r="B2175" s="1">
        <v>1</v>
      </c>
      <c r="C2175" s="1">
        <v>8</v>
      </c>
      <c r="D2175" s="1">
        <v>1</v>
      </c>
      <c r="E2175" s="1">
        <v>1799.99</v>
      </c>
      <c r="F2175" s="1">
        <v>0.1</v>
      </c>
      <c r="G2175">
        <f t="shared" si="33"/>
        <v>1799.89</v>
      </c>
      <c r="H2175" t="str">
        <f>VLOOKUP(C2175,[1]products!$A:$B,2,FALSE)</f>
        <v>Trek Remedy 29 Carbon Frameset - 2016</v>
      </c>
      <c r="I2175">
        <f>VLOOKUP(C2175,[1]products!$A:$D,4,FALSE)</f>
        <v>6</v>
      </c>
      <c r="J2175" t="str">
        <f>VLOOKUP(I2175,[2]categories!$A$1:$B$8,2,FALSE)</f>
        <v>Mountain Bikes</v>
      </c>
    </row>
    <row r="2176" customHeight="1" spans="1:10">
      <c r="A2176" s="1">
        <v>769</v>
      </c>
      <c r="B2176" s="1">
        <v>2</v>
      </c>
      <c r="C2176" s="1">
        <v>6</v>
      </c>
      <c r="D2176" s="1">
        <v>2</v>
      </c>
      <c r="E2176" s="1">
        <v>469.99</v>
      </c>
      <c r="F2176" s="1">
        <v>0.05</v>
      </c>
      <c r="G2176">
        <f t="shared" si="33"/>
        <v>939.93</v>
      </c>
      <c r="H2176" t="str">
        <f>VLOOKUP(C2176,[1]products!$A:$B,2,FALSE)</f>
        <v>Surly Ice Cream Truck Frameset - 2016</v>
      </c>
      <c r="I2176">
        <f>VLOOKUP(C2176,[1]products!$A:$D,4,FALSE)</f>
        <v>6</v>
      </c>
      <c r="J2176" t="str">
        <f>VLOOKUP(I2176,[2]categories!$A$1:$B$8,2,FALSE)</f>
        <v>Mountain Bikes</v>
      </c>
    </row>
    <row r="2177" customHeight="1" spans="1:10">
      <c r="A2177" s="1">
        <v>769</v>
      </c>
      <c r="B2177" s="1">
        <v>3</v>
      </c>
      <c r="C2177" s="1">
        <v>36</v>
      </c>
      <c r="D2177" s="1">
        <v>2</v>
      </c>
      <c r="E2177" s="1">
        <v>832.99</v>
      </c>
      <c r="F2177" s="1">
        <v>0.07</v>
      </c>
      <c r="G2177">
        <f t="shared" si="33"/>
        <v>1665.91</v>
      </c>
      <c r="H2177" t="str">
        <f>VLOOKUP(C2177,[1]products!$A:$B,2,FALSE)</f>
        <v>Surly Troll Frameset - 2017</v>
      </c>
      <c r="I2177">
        <f>VLOOKUP(C2177,[1]products!$A:$D,4,FALSE)</f>
        <v>6</v>
      </c>
      <c r="J2177" t="str">
        <f>VLOOKUP(I2177,[2]categories!$A$1:$B$8,2,FALSE)</f>
        <v>Mountain Bikes</v>
      </c>
    </row>
    <row r="2178" customHeight="1" spans="1:10">
      <c r="A2178" s="1">
        <v>770</v>
      </c>
      <c r="B2178" s="1">
        <v>1</v>
      </c>
      <c r="C2178" s="1">
        <v>110</v>
      </c>
      <c r="D2178" s="1">
        <v>1</v>
      </c>
      <c r="E2178" s="1">
        <v>470.99</v>
      </c>
      <c r="F2178" s="1">
        <v>0.05</v>
      </c>
      <c r="G2178">
        <f t="shared" si="33"/>
        <v>470.94</v>
      </c>
      <c r="H2178" t="str">
        <f>VLOOKUP(C2178,[1]products!$A:$B,2,FALSE)</f>
        <v>Sun Bicycles Drifter 7 - 2017</v>
      </c>
      <c r="I2178">
        <f>VLOOKUP(C2178,[1]products!$A:$D,4,FALSE)</f>
        <v>2</v>
      </c>
      <c r="J2178" t="str">
        <f>VLOOKUP(I2178,[2]categories!$A$1:$B$8,2,FALSE)</f>
        <v>Comfort Bicycles</v>
      </c>
    </row>
    <row r="2179" customHeight="1" spans="1:10">
      <c r="A2179" s="1">
        <v>770</v>
      </c>
      <c r="B2179" s="1">
        <v>2</v>
      </c>
      <c r="C2179" s="1">
        <v>42</v>
      </c>
      <c r="D2179" s="1">
        <v>1</v>
      </c>
      <c r="E2179" s="1">
        <v>2299.99</v>
      </c>
      <c r="F2179" s="1">
        <v>0.2</v>
      </c>
      <c r="G2179">
        <f t="shared" ref="G2179:G2242" si="34">(E2179*D2179)-F2179</f>
        <v>2299.79</v>
      </c>
      <c r="H2179" t="str">
        <f>VLOOKUP(C2179,[1]products!$A:$B,2,FALSE)</f>
        <v>Trek Fuel EX 5 27.5 Plus - 2017</v>
      </c>
      <c r="I2179">
        <f>VLOOKUP(C2179,[1]products!$A:$D,4,FALSE)</f>
        <v>6</v>
      </c>
      <c r="J2179" t="str">
        <f>VLOOKUP(I2179,[2]categories!$A$1:$B$8,2,FALSE)</f>
        <v>Mountain Bikes</v>
      </c>
    </row>
    <row r="2180" customHeight="1" spans="1:10">
      <c r="A2180" s="1">
        <v>770</v>
      </c>
      <c r="B2180" s="1">
        <v>3</v>
      </c>
      <c r="C2180" s="1">
        <v>103</v>
      </c>
      <c r="D2180" s="1">
        <v>1</v>
      </c>
      <c r="E2180" s="1">
        <v>551.99</v>
      </c>
      <c r="F2180" s="1">
        <v>0.2</v>
      </c>
      <c r="G2180">
        <f t="shared" si="34"/>
        <v>551.79</v>
      </c>
      <c r="H2180" t="str">
        <f>VLOOKUP(C2180,[1]products!$A:$B,2,FALSE)</f>
        <v>Sun Bicycles Streamway 3 - 2017</v>
      </c>
      <c r="I2180">
        <f>VLOOKUP(C2180,[1]products!$A:$D,4,FALSE)</f>
        <v>2</v>
      </c>
      <c r="J2180" t="str">
        <f>VLOOKUP(I2180,[2]categories!$A$1:$B$8,2,FALSE)</f>
        <v>Comfort Bicycles</v>
      </c>
    </row>
    <row r="2181" customHeight="1" spans="1:10">
      <c r="A2181" s="1">
        <v>770</v>
      </c>
      <c r="B2181" s="1">
        <v>4</v>
      </c>
      <c r="C2181" s="1">
        <v>11</v>
      </c>
      <c r="D2181" s="1">
        <v>2</v>
      </c>
      <c r="E2181" s="1">
        <v>1680.99</v>
      </c>
      <c r="F2181" s="1">
        <v>0.05</v>
      </c>
      <c r="G2181">
        <f t="shared" si="34"/>
        <v>3361.93</v>
      </c>
      <c r="H2181" t="str">
        <f>VLOOKUP(C2181,[1]products!$A:$B,2,FALSE)</f>
        <v>Surly Straggler 650b - 2016</v>
      </c>
      <c r="I2181">
        <f>VLOOKUP(C2181,[1]products!$A:$D,4,FALSE)</f>
        <v>4</v>
      </c>
      <c r="J2181" t="str">
        <f>VLOOKUP(I2181,[2]categories!$A$1:$B$8,2,FALSE)</f>
        <v>Cyclocross Bicycles</v>
      </c>
    </row>
    <row r="2182" customHeight="1" spans="1:10">
      <c r="A2182" s="1">
        <v>771</v>
      </c>
      <c r="B2182" s="1">
        <v>1</v>
      </c>
      <c r="C2182" s="1">
        <v>13</v>
      </c>
      <c r="D2182" s="1">
        <v>2</v>
      </c>
      <c r="E2182" s="1">
        <v>269.99</v>
      </c>
      <c r="F2182" s="1">
        <v>0.2</v>
      </c>
      <c r="G2182">
        <f t="shared" si="34"/>
        <v>539.78</v>
      </c>
      <c r="H2182" t="str">
        <f>VLOOKUP(C2182,[1]products!$A:$B,2,FALSE)</f>
        <v>Electra Cruiser 1 (24-Inch) - 2016</v>
      </c>
      <c r="I2182">
        <f>VLOOKUP(C2182,[1]products!$A:$D,4,FALSE)</f>
        <v>3</v>
      </c>
      <c r="J2182" t="str">
        <f>VLOOKUP(I2182,[2]categories!$A$1:$B$8,2,FALSE)</f>
        <v>Cruisers Bicycles</v>
      </c>
    </row>
    <row r="2183" customHeight="1" spans="1:10">
      <c r="A2183" s="1">
        <v>771</v>
      </c>
      <c r="B2183" s="1">
        <v>2</v>
      </c>
      <c r="C2183" s="1">
        <v>88</v>
      </c>
      <c r="D2183" s="1">
        <v>1</v>
      </c>
      <c r="E2183" s="1">
        <v>189.99</v>
      </c>
      <c r="F2183" s="1">
        <v>0.2</v>
      </c>
      <c r="G2183">
        <f t="shared" si="34"/>
        <v>189.79</v>
      </c>
      <c r="H2183" t="str">
        <f>VLOOKUP(C2183,[1]products!$A:$B,2,FALSE)</f>
        <v>Trek Precaliber 12 Girls - 2017</v>
      </c>
      <c r="I2183">
        <f>VLOOKUP(C2183,[1]products!$A:$D,4,FALSE)</f>
        <v>1</v>
      </c>
      <c r="J2183" t="str">
        <f>VLOOKUP(I2183,[2]categories!$A$1:$B$8,2,FALSE)</f>
        <v>Children Bicycles</v>
      </c>
    </row>
    <row r="2184" customHeight="1" spans="1:10">
      <c r="A2184" s="1">
        <v>772</v>
      </c>
      <c r="B2184" s="1">
        <v>1</v>
      </c>
      <c r="C2184" s="1">
        <v>103</v>
      </c>
      <c r="D2184" s="1">
        <v>1</v>
      </c>
      <c r="E2184" s="1">
        <v>551.99</v>
      </c>
      <c r="F2184" s="1">
        <v>0.07</v>
      </c>
      <c r="G2184">
        <f t="shared" si="34"/>
        <v>551.92</v>
      </c>
      <c r="H2184" t="str">
        <f>VLOOKUP(C2184,[1]products!$A:$B,2,FALSE)</f>
        <v>Sun Bicycles Streamway 3 - 2017</v>
      </c>
      <c r="I2184">
        <f>VLOOKUP(C2184,[1]products!$A:$D,4,FALSE)</f>
        <v>2</v>
      </c>
      <c r="J2184" t="str">
        <f>VLOOKUP(I2184,[2]categories!$A$1:$B$8,2,FALSE)</f>
        <v>Comfort Bicycles</v>
      </c>
    </row>
    <row r="2185" customHeight="1" spans="1:10">
      <c r="A2185" s="1">
        <v>773</v>
      </c>
      <c r="B2185" s="1">
        <v>1</v>
      </c>
      <c r="C2185" s="1">
        <v>92</v>
      </c>
      <c r="D2185" s="1">
        <v>1</v>
      </c>
      <c r="E2185" s="1">
        <v>209.99</v>
      </c>
      <c r="F2185" s="1">
        <v>0.1</v>
      </c>
      <c r="G2185">
        <f t="shared" si="34"/>
        <v>209.89</v>
      </c>
      <c r="H2185" t="str">
        <f>VLOOKUP(C2185,[1]products!$A:$B,2,FALSE)</f>
        <v>Haro Shredder 20 - 2017</v>
      </c>
      <c r="I2185">
        <f>VLOOKUP(C2185,[1]products!$A:$D,4,FALSE)</f>
        <v>1</v>
      </c>
      <c r="J2185" t="str">
        <f>VLOOKUP(I2185,[2]categories!$A$1:$B$8,2,FALSE)</f>
        <v>Children Bicycles</v>
      </c>
    </row>
    <row r="2186" customHeight="1" spans="1:10">
      <c r="A2186" s="1">
        <v>773</v>
      </c>
      <c r="B2186" s="1">
        <v>2</v>
      </c>
      <c r="C2186" s="1">
        <v>14</v>
      </c>
      <c r="D2186" s="1">
        <v>1</v>
      </c>
      <c r="E2186" s="1">
        <v>269.99</v>
      </c>
      <c r="F2186" s="1">
        <v>0.05</v>
      </c>
      <c r="G2186">
        <f t="shared" si="34"/>
        <v>269.94</v>
      </c>
      <c r="H2186" t="str">
        <f>VLOOKUP(C2186,[1]products!$A:$B,2,FALSE)</f>
        <v>Electra Girl's Hawaii 1 (16-inch) - 2015/2016</v>
      </c>
      <c r="I2186">
        <f>VLOOKUP(C2186,[1]products!$A:$D,4,FALSE)</f>
        <v>3</v>
      </c>
      <c r="J2186" t="str">
        <f>VLOOKUP(I2186,[2]categories!$A$1:$B$8,2,FALSE)</f>
        <v>Cruisers Bicycles</v>
      </c>
    </row>
    <row r="2187" customHeight="1" spans="1:10">
      <c r="A2187" s="1">
        <v>773</v>
      </c>
      <c r="B2187" s="1">
        <v>3</v>
      </c>
      <c r="C2187" s="1">
        <v>17</v>
      </c>
      <c r="D2187" s="1">
        <v>2</v>
      </c>
      <c r="E2187" s="1">
        <v>429</v>
      </c>
      <c r="F2187" s="1">
        <v>0.2</v>
      </c>
      <c r="G2187">
        <f t="shared" si="34"/>
        <v>857.8</v>
      </c>
      <c r="H2187" t="str">
        <f>VLOOKUP(C2187,[1]products!$A:$B,2,FALSE)</f>
        <v>Pure Cycles Vine 8-Speed - 2016</v>
      </c>
      <c r="I2187">
        <f>VLOOKUP(C2187,[1]products!$A:$D,4,FALSE)</f>
        <v>3</v>
      </c>
      <c r="J2187" t="str">
        <f>VLOOKUP(I2187,[2]categories!$A$1:$B$8,2,FALSE)</f>
        <v>Cruisers Bicycles</v>
      </c>
    </row>
    <row r="2188" customHeight="1" spans="1:10">
      <c r="A2188" s="1">
        <v>773</v>
      </c>
      <c r="B2188" s="1">
        <v>4</v>
      </c>
      <c r="C2188" s="1">
        <v>33</v>
      </c>
      <c r="D2188" s="1">
        <v>2</v>
      </c>
      <c r="E2188" s="1">
        <v>469.99</v>
      </c>
      <c r="F2188" s="1">
        <v>0.07</v>
      </c>
      <c r="G2188">
        <f t="shared" si="34"/>
        <v>939.91</v>
      </c>
      <c r="H2188" t="str">
        <f>VLOOKUP(C2188,[1]products!$A:$B,2,FALSE)</f>
        <v>Surly Wednesday Frameset - 2017</v>
      </c>
      <c r="I2188">
        <f>VLOOKUP(C2188,[1]products!$A:$D,4,FALSE)</f>
        <v>6</v>
      </c>
      <c r="J2188" t="str">
        <f>VLOOKUP(I2188,[2]categories!$A$1:$B$8,2,FALSE)</f>
        <v>Mountain Bikes</v>
      </c>
    </row>
    <row r="2189" customHeight="1" spans="1:10">
      <c r="A2189" s="1">
        <v>774</v>
      </c>
      <c r="B2189" s="1">
        <v>1</v>
      </c>
      <c r="C2189" s="1">
        <v>65</v>
      </c>
      <c r="D2189" s="1">
        <v>1</v>
      </c>
      <c r="E2189" s="1">
        <v>346.99</v>
      </c>
      <c r="F2189" s="1">
        <v>0.05</v>
      </c>
      <c r="G2189">
        <f t="shared" si="34"/>
        <v>346.94</v>
      </c>
      <c r="H2189" t="str">
        <f>VLOOKUP(C2189,[1]products!$A:$B,2,FALSE)</f>
        <v>Sun Bicycles Lil Bolt Type-R - 2017</v>
      </c>
      <c r="I2189">
        <f>VLOOKUP(C2189,[1]products!$A:$D,4,FALSE)</f>
        <v>3</v>
      </c>
      <c r="J2189" t="str">
        <f>VLOOKUP(I2189,[2]categories!$A$1:$B$8,2,FALSE)</f>
        <v>Cruisers Bicycles</v>
      </c>
    </row>
    <row r="2190" customHeight="1" spans="1:10">
      <c r="A2190" s="1">
        <v>774</v>
      </c>
      <c r="B2190" s="1">
        <v>2</v>
      </c>
      <c r="C2190" s="1">
        <v>36</v>
      </c>
      <c r="D2190" s="1">
        <v>2</v>
      </c>
      <c r="E2190" s="1">
        <v>832.99</v>
      </c>
      <c r="F2190" s="1">
        <v>0.05</v>
      </c>
      <c r="G2190">
        <f t="shared" si="34"/>
        <v>1665.93</v>
      </c>
      <c r="H2190" t="str">
        <f>VLOOKUP(C2190,[1]products!$A:$B,2,FALSE)</f>
        <v>Surly Troll Frameset - 2017</v>
      </c>
      <c r="I2190">
        <f>VLOOKUP(C2190,[1]products!$A:$D,4,FALSE)</f>
        <v>6</v>
      </c>
      <c r="J2190" t="str">
        <f>VLOOKUP(I2190,[2]categories!$A$1:$B$8,2,FALSE)</f>
        <v>Mountain Bikes</v>
      </c>
    </row>
    <row r="2191" customHeight="1" spans="1:10">
      <c r="A2191" s="1">
        <v>774</v>
      </c>
      <c r="B2191" s="1">
        <v>3</v>
      </c>
      <c r="C2191" s="1">
        <v>20</v>
      </c>
      <c r="D2191" s="1">
        <v>1</v>
      </c>
      <c r="E2191" s="1">
        <v>599.99</v>
      </c>
      <c r="F2191" s="1">
        <v>0.2</v>
      </c>
      <c r="G2191">
        <f t="shared" si="34"/>
        <v>599.79</v>
      </c>
      <c r="H2191" t="str">
        <f>VLOOKUP(C2191,[1]products!$A:$B,2,FALSE)</f>
        <v>Electra Townie Original 7D EQ - Women's - 2016</v>
      </c>
      <c r="I2191">
        <f>VLOOKUP(C2191,[1]products!$A:$D,4,FALSE)</f>
        <v>3</v>
      </c>
      <c r="J2191" t="str">
        <f>VLOOKUP(I2191,[2]categories!$A$1:$B$8,2,FALSE)</f>
        <v>Cruisers Bicycles</v>
      </c>
    </row>
    <row r="2192" customHeight="1" spans="1:10">
      <c r="A2192" s="1">
        <v>774</v>
      </c>
      <c r="B2192" s="1">
        <v>4</v>
      </c>
      <c r="C2192" s="1">
        <v>73</v>
      </c>
      <c r="D2192" s="1">
        <v>1</v>
      </c>
      <c r="E2192" s="1">
        <v>749.99</v>
      </c>
      <c r="F2192" s="1">
        <v>0.05</v>
      </c>
      <c r="G2192">
        <f t="shared" si="34"/>
        <v>749.94</v>
      </c>
      <c r="H2192" t="str">
        <f>VLOOKUP(C2192,[1]products!$A:$B,2,FALSE)</f>
        <v>Sun Bicycles Brickell Tandem 7 - 2017</v>
      </c>
      <c r="I2192">
        <f>VLOOKUP(C2192,[1]products!$A:$D,4,FALSE)</f>
        <v>3</v>
      </c>
      <c r="J2192" t="str">
        <f>VLOOKUP(I2192,[2]categories!$A$1:$B$8,2,FALSE)</f>
        <v>Cruisers Bicycles</v>
      </c>
    </row>
    <row r="2193" customHeight="1" spans="1:10">
      <c r="A2193" s="1">
        <v>774</v>
      </c>
      <c r="B2193" s="1">
        <v>5</v>
      </c>
      <c r="C2193" s="1">
        <v>58</v>
      </c>
      <c r="D2193" s="1">
        <v>2</v>
      </c>
      <c r="E2193" s="1">
        <v>4999.99</v>
      </c>
      <c r="F2193" s="1">
        <v>0.1</v>
      </c>
      <c r="G2193">
        <f t="shared" si="34"/>
        <v>9999.88</v>
      </c>
      <c r="H2193" t="str">
        <f>VLOOKUP(C2193,[1]products!$A:$B,2,FALSE)</f>
        <v>Trek Madone 9.2 - 2017</v>
      </c>
      <c r="I2193">
        <f>VLOOKUP(C2193,[1]products!$A:$D,4,FALSE)</f>
        <v>7</v>
      </c>
      <c r="J2193" t="str">
        <f>VLOOKUP(I2193,[2]categories!$A$1:$B$8,2,FALSE)</f>
        <v>Road Bikes</v>
      </c>
    </row>
    <row r="2194" customHeight="1" spans="1:10">
      <c r="A2194" s="1">
        <v>775</v>
      </c>
      <c r="B2194" s="1">
        <v>1</v>
      </c>
      <c r="C2194" s="1">
        <v>39</v>
      </c>
      <c r="D2194" s="1">
        <v>1</v>
      </c>
      <c r="E2194" s="1">
        <v>1499.99</v>
      </c>
      <c r="F2194" s="1">
        <v>0.07</v>
      </c>
      <c r="G2194">
        <f t="shared" si="34"/>
        <v>1499.92</v>
      </c>
      <c r="H2194" t="str">
        <f>VLOOKUP(C2194,[1]products!$A:$B,2,FALSE)</f>
        <v>Trek Stache 5 - 2017</v>
      </c>
      <c r="I2194">
        <f>VLOOKUP(C2194,[1]products!$A:$D,4,FALSE)</f>
        <v>6</v>
      </c>
      <c r="J2194" t="str">
        <f>VLOOKUP(I2194,[2]categories!$A$1:$B$8,2,FALSE)</f>
        <v>Mountain Bikes</v>
      </c>
    </row>
    <row r="2195" customHeight="1" spans="1:10">
      <c r="A2195" s="1">
        <v>776</v>
      </c>
      <c r="B2195" s="1">
        <v>1</v>
      </c>
      <c r="C2195" s="1">
        <v>28</v>
      </c>
      <c r="D2195" s="1">
        <v>1</v>
      </c>
      <c r="E2195" s="1">
        <v>2499.99</v>
      </c>
      <c r="F2195" s="1">
        <v>0.2</v>
      </c>
      <c r="G2195">
        <f t="shared" si="34"/>
        <v>2499.79</v>
      </c>
      <c r="H2195" t="str">
        <f>VLOOKUP(C2195,[1]products!$A:$B,2,FALSE)</f>
        <v>Surly Karate Monkey 27.5+ Frameset - 2017</v>
      </c>
      <c r="I2195">
        <f>VLOOKUP(C2195,[1]products!$A:$D,4,FALSE)</f>
        <v>6</v>
      </c>
      <c r="J2195" t="str">
        <f>VLOOKUP(I2195,[2]categories!$A$1:$B$8,2,FALSE)</f>
        <v>Mountain Bikes</v>
      </c>
    </row>
    <row r="2196" customHeight="1" spans="1:10">
      <c r="A2196" s="1">
        <v>776</v>
      </c>
      <c r="B2196" s="1">
        <v>2</v>
      </c>
      <c r="C2196" s="1">
        <v>42</v>
      </c>
      <c r="D2196" s="1">
        <v>2</v>
      </c>
      <c r="E2196" s="1">
        <v>2299.99</v>
      </c>
      <c r="F2196" s="1">
        <v>0.2</v>
      </c>
      <c r="G2196">
        <f t="shared" si="34"/>
        <v>4599.78</v>
      </c>
      <c r="H2196" t="str">
        <f>VLOOKUP(C2196,[1]products!$A:$B,2,FALSE)</f>
        <v>Trek Fuel EX 5 27.5 Plus - 2017</v>
      </c>
      <c r="I2196">
        <f>VLOOKUP(C2196,[1]products!$A:$D,4,FALSE)</f>
        <v>6</v>
      </c>
      <c r="J2196" t="str">
        <f>VLOOKUP(I2196,[2]categories!$A$1:$B$8,2,FALSE)</f>
        <v>Mountain Bikes</v>
      </c>
    </row>
    <row r="2197" customHeight="1" spans="1:10">
      <c r="A2197" s="1">
        <v>776</v>
      </c>
      <c r="B2197" s="1">
        <v>3</v>
      </c>
      <c r="C2197" s="1">
        <v>71</v>
      </c>
      <c r="D2197" s="1">
        <v>1</v>
      </c>
      <c r="E2197" s="1">
        <v>416.99</v>
      </c>
      <c r="F2197" s="1">
        <v>0.1</v>
      </c>
      <c r="G2197">
        <f t="shared" si="34"/>
        <v>416.89</v>
      </c>
      <c r="H2197" t="str">
        <f>VLOOKUP(C2197,[1]products!$A:$B,2,FALSE)</f>
        <v>Sun Bicycles Atlas X-Type - 2017</v>
      </c>
      <c r="I2197">
        <f>VLOOKUP(C2197,[1]products!$A:$D,4,FALSE)</f>
        <v>3</v>
      </c>
      <c r="J2197" t="str">
        <f>VLOOKUP(I2197,[2]categories!$A$1:$B$8,2,FALSE)</f>
        <v>Cruisers Bicycles</v>
      </c>
    </row>
    <row r="2198" customHeight="1" spans="1:10">
      <c r="A2198" s="1">
        <v>776</v>
      </c>
      <c r="B2198" s="1">
        <v>4</v>
      </c>
      <c r="C2198" s="1">
        <v>35</v>
      </c>
      <c r="D2198" s="1">
        <v>1</v>
      </c>
      <c r="E2198" s="1">
        <v>832.99</v>
      </c>
      <c r="F2198" s="1">
        <v>0.1</v>
      </c>
      <c r="G2198">
        <f t="shared" si="34"/>
        <v>832.89</v>
      </c>
      <c r="H2198" t="str">
        <f>VLOOKUP(C2198,[1]products!$A:$B,2,FALSE)</f>
        <v>Sun Bicycles Spider 3i - 2017</v>
      </c>
      <c r="I2198">
        <f>VLOOKUP(C2198,[1]products!$A:$D,4,FALSE)</f>
        <v>6</v>
      </c>
      <c r="J2198" t="str">
        <f>VLOOKUP(I2198,[2]categories!$A$1:$B$8,2,FALSE)</f>
        <v>Mountain Bikes</v>
      </c>
    </row>
    <row r="2199" customHeight="1" spans="1:10">
      <c r="A2199" s="1">
        <v>777</v>
      </c>
      <c r="B2199" s="1">
        <v>1</v>
      </c>
      <c r="C2199" s="1">
        <v>5</v>
      </c>
      <c r="D2199" s="1">
        <v>1</v>
      </c>
      <c r="E2199" s="1">
        <v>1320.99</v>
      </c>
      <c r="F2199" s="1">
        <v>0.2</v>
      </c>
      <c r="G2199">
        <f t="shared" si="34"/>
        <v>1320.79</v>
      </c>
      <c r="H2199" t="str">
        <f>VLOOKUP(C2199,[1]products!$A:$B,2,FALSE)</f>
        <v>Heller Shagamaw Frame - 2016</v>
      </c>
      <c r="I2199">
        <f>VLOOKUP(C2199,[1]products!$A:$D,4,FALSE)</f>
        <v>6</v>
      </c>
      <c r="J2199" t="str">
        <f>VLOOKUP(I2199,[2]categories!$A$1:$B$8,2,FALSE)</f>
        <v>Mountain Bikes</v>
      </c>
    </row>
    <row r="2200" customHeight="1" spans="1:10">
      <c r="A2200" s="1">
        <v>777</v>
      </c>
      <c r="B2200" s="1">
        <v>2</v>
      </c>
      <c r="C2200" s="1">
        <v>7</v>
      </c>
      <c r="D2200" s="1">
        <v>2</v>
      </c>
      <c r="E2200" s="1">
        <v>3999.99</v>
      </c>
      <c r="F2200" s="1">
        <v>0.2</v>
      </c>
      <c r="G2200">
        <f t="shared" si="34"/>
        <v>7999.78</v>
      </c>
      <c r="H2200" t="str">
        <f>VLOOKUP(C2200,[1]products!$A:$B,2,FALSE)</f>
        <v>Trek Slash 8 27.5 - 2016</v>
      </c>
      <c r="I2200">
        <f>VLOOKUP(C2200,[1]products!$A:$D,4,FALSE)</f>
        <v>6</v>
      </c>
      <c r="J2200" t="str">
        <f>VLOOKUP(I2200,[2]categories!$A$1:$B$8,2,FALSE)</f>
        <v>Mountain Bikes</v>
      </c>
    </row>
    <row r="2201" customHeight="1" spans="1:10">
      <c r="A2201" s="1">
        <v>777</v>
      </c>
      <c r="B2201" s="1">
        <v>3</v>
      </c>
      <c r="C2201" s="1">
        <v>2</v>
      </c>
      <c r="D2201" s="1">
        <v>1</v>
      </c>
      <c r="E2201" s="1">
        <v>749.99</v>
      </c>
      <c r="F2201" s="1">
        <v>0.2</v>
      </c>
      <c r="G2201">
        <f t="shared" si="34"/>
        <v>749.79</v>
      </c>
      <c r="H2201" t="str">
        <f>VLOOKUP(C2201,[1]products!$A:$B,2,FALSE)</f>
        <v>Ritchey Timberwolf Frameset - 2016</v>
      </c>
      <c r="I2201">
        <f>VLOOKUP(C2201,[1]products!$A:$D,4,FALSE)</f>
        <v>6</v>
      </c>
      <c r="J2201" t="str">
        <f>VLOOKUP(I2201,[2]categories!$A$1:$B$8,2,FALSE)</f>
        <v>Mountain Bikes</v>
      </c>
    </row>
    <row r="2202" customHeight="1" spans="1:10">
      <c r="A2202" s="1">
        <v>778</v>
      </c>
      <c r="B2202" s="1">
        <v>1</v>
      </c>
      <c r="C2202" s="1">
        <v>64</v>
      </c>
      <c r="D2202" s="1">
        <v>1</v>
      </c>
      <c r="E2202" s="1">
        <v>489.99</v>
      </c>
      <c r="F2202" s="1">
        <v>0.1</v>
      </c>
      <c r="G2202">
        <f t="shared" si="34"/>
        <v>489.89</v>
      </c>
      <c r="H2202" t="str">
        <f>VLOOKUP(C2202,[1]products!$A:$B,2,FALSE)</f>
        <v>Electra Townie Original 7D - 2017</v>
      </c>
      <c r="I2202">
        <f>VLOOKUP(C2202,[1]products!$A:$D,4,FALSE)</f>
        <v>3</v>
      </c>
      <c r="J2202" t="str">
        <f>VLOOKUP(I2202,[2]categories!$A$1:$B$8,2,FALSE)</f>
        <v>Cruisers Bicycles</v>
      </c>
    </row>
    <row r="2203" customHeight="1" spans="1:10">
      <c r="A2203" s="1">
        <v>778</v>
      </c>
      <c r="B2203" s="1">
        <v>2</v>
      </c>
      <c r="C2203" s="1">
        <v>85</v>
      </c>
      <c r="D2203" s="1">
        <v>1</v>
      </c>
      <c r="E2203" s="1">
        <v>329.99</v>
      </c>
      <c r="F2203" s="1">
        <v>0.05</v>
      </c>
      <c r="G2203">
        <f t="shared" si="34"/>
        <v>329.94</v>
      </c>
      <c r="H2203" t="str">
        <f>VLOOKUP(C2203,[1]products!$A:$B,2,FALSE)</f>
        <v>Haro Downtown 16 - 2017</v>
      </c>
      <c r="I2203">
        <f>VLOOKUP(C2203,[1]products!$A:$D,4,FALSE)</f>
        <v>1</v>
      </c>
      <c r="J2203" t="str">
        <f>VLOOKUP(I2203,[2]categories!$A$1:$B$8,2,FALSE)</f>
        <v>Children Bicycles</v>
      </c>
    </row>
    <row r="2204" customHeight="1" spans="1:10">
      <c r="A2204" s="1">
        <v>779</v>
      </c>
      <c r="B2204" s="1">
        <v>1</v>
      </c>
      <c r="C2204" s="1">
        <v>101</v>
      </c>
      <c r="D2204" s="1">
        <v>1</v>
      </c>
      <c r="E2204" s="1">
        <v>339.99</v>
      </c>
      <c r="F2204" s="1">
        <v>0.05</v>
      </c>
      <c r="G2204">
        <f t="shared" si="34"/>
        <v>339.94</v>
      </c>
      <c r="H2204" t="str">
        <f>VLOOKUP(C2204,[1]products!$A:$B,2,FALSE)</f>
        <v>Electra Townie 7D (20-inch) - Boys' - 2017</v>
      </c>
      <c r="I2204">
        <f>VLOOKUP(C2204,[1]products!$A:$D,4,FALSE)</f>
        <v>1</v>
      </c>
      <c r="J2204" t="str">
        <f>VLOOKUP(I2204,[2]categories!$A$1:$B$8,2,FALSE)</f>
        <v>Children Bicycles</v>
      </c>
    </row>
    <row r="2205" customHeight="1" spans="1:10">
      <c r="A2205" s="1">
        <v>779</v>
      </c>
      <c r="B2205" s="1">
        <v>2</v>
      </c>
      <c r="C2205" s="1">
        <v>90</v>
      </c>
      <c r="D2205" s="1">
        <v>2</v>
      </c>
      <c r="E2205" s="1">
        <v>209.99</v>
      </c>
      <c r="F2205" s="1">
        <v>0.2</v>
      </c>
      <c r="G2205">
        <f t="shared" si="34"/>
        <v>419.78</v>
      </c>
      <c r="H2205" t="str">
        <f>VLOOKUP(C2205,[1]products!$A:$B,2,FALSE)</f>
        <v>Trek Precaliber 16 Girls - 2017</v>
      </c>
      <c r="I2205">
        <f>VLOOKUP(C2205,[1]products!$A:$D,4,FALSE)</f>
        <v>1</v>
      </c>
      <c r="J2205" t="str">
        <f>VLOOKUP(I2205,[2]categories!$A$1:$B$8,2,FALSE)</f>
        <v>Children Bicycles</v>
      </c>
    </row>
    <row r="2206" customHeight="1" spans="1:10">
      <c r="A2206" s="1">
        <v>779</v>
      </c>
      <c r="B2206" s="1">
        <v>3</v>
      </c>
      <c r="C2206" s="1">
        <v>47</v>
      </c>
      <c r="D2206" s="1">
        <v>1</v>
      </c>
      <c r="E2206" s="1">
        <v>5299.99</v>
      </c>
      <c r="F2206" s="1">
        <v>0.2</v>
      </c>
      <c r="G2206">
        <f t="shared" si="34"/>
        <v>5299.79</v>
      </c>
      <c r="H2206" t="str">
        <f>VLOOKUP(C2206,[1]products!$A:$B,2,FALSE)</f>
        <v>Trek Remedy 9.8 - 2017</v>
      </c>
      <c r="I2206">
        <f>VLOOKUP(C2206,[1]products!$A:$D,4,FALSE)</f>
        <v>6</v>
      </c>
      <c r="J2206" t="str">
        <f>VLOOKUP(I2206,[2]categories!$A$1:$B$8,2,FALSE)</f>
        <v>Mountain Bikes</v>
      </c>
    </row>
    <row r="2207" customHeight="1" spans="1:10">
      <c r="A2207" s="1">
        <v>779</v>
      </c>
      <c r="B2207" s="1">
        <v>4</v>
      </c>
      <c r="C2207" s="1">
        <v>8</v>
      </c>
      <c r="D2207" s="1">
        <v>1</v>
      </c>
      <c r="E2207" s="1">
        <v>1799.99</v>
      </c>
      <c r="F2207" s="1">
        <v>0.2</v>
      </c>
      <c r="G2207">
        <f t="shared" si="34"/>
        <v>1799.79</v>
      </c>
      <c r="H2207" t="str">
        <f>VLOOKUP(C2207,[1]products!$A:$B,2,FALSE)</f>
        <v>Trek Remedy 29 Carbon Frameset - 2016</v>
      </c>
      <c r="I2207">
        <f>VLOOKUP(C2207,[1]products!$A:$D,4,FALSE)</f>
        <v>6</v>
      </c>
      <c r="J2207" t="str">
        <f>VLOOKUP(I2207,[2]categories!$A$1:$B$8,2,FALSE)</f>
        <v>Mountain Bikes</v>
      </c>
    </row>
    <row r="2208" customHeight="1" spans="1:10">
      <c r="A2208" s="1">
        <v>779</v>
      </c>
      <c r="B2208" s="1">
        <v>5</v>
      </c>
      <c r="C2208" s="1">
        <v>85</v>
      </c>
      <c r="D2208" s="1">
        <v>1</v>
      </c>
      <c r="E2208" s="1">
        <v>329.99</v>
      </c>
      <c r="F2208" s="1">
        <v>0.2</v>
      </c>
      <c r="G2208">
        <f t="shared" si="34"/>
        <v>329.79</v>
      </c>
      <c r="H2208" t="str">
        <f>VLOOKUP(C2208,[1]products!$A:$B,2,FALSE)</f>
        <v>Haro Downtown 16 - 2017</v>
      </c>
      <c r="I2208">
        <f>VLOOKUP(C2208,[1]products!$A:$D,4,FALSE)</f>
        <v>1</v>
      </c>
      <c r="J2208" t="str">
        <f>VLOOKUP(I2208,[2]categories!$A$1:$B$8,2,FALSE)</f>
        <v>Children Bicycles</v>
      </c>
    </row>
    <row r="2209" customHeight="1" spans="1:10">
      <c r="A2209" s="1">
        <v>780</v>
      </c>
      <c r="B2209" s="1">
        <v>1</v>
      </c>
      <c r="C2209" s="1">
        <v>32</v>
      </c>
      <c r="D2209" s="1">
        <v>1</v>
      </c>
      <c r="E2209" s="1">
        <v>469.99</v>
      </c>
      <c r="F2209" s="1">
        <v>0.1</v>
      </c>
      <c r="G2209">
        <f t="shared" si="34"/>
        <v>469.89</v>
      </c>
      <c r="H2209" t="str">
        <f>VLOOKUP(C2209,[1]products!$A:$B,2,FALSE)</f>
        <v>Trek Farley Alloy Frameset - 2017</v>
      </c>
      <c r="I2209">
        <f>VLOOKUP(C2209,[1]products!$A:$D,4,FALSE)</f>
        <v>6</v>
      </c>
      <c r="J2209" t="str">
        <f>VLOOKUP(I2209,[2]categories!$A$1:$B$8,2,FALSE)</f>
        <v>Mountain Bikes</v>
      </c>
    </row>
    <row r="2210" customHeight="1" spans="1:10">
      <c r="A2210" s="1">
        <v>781</v>
      </c>
      <c r="B2210" s="1">
        <v>1</v>
      </c>
      <c r="C2210" s="1">
        <v>109</v>
      </c>
      <c r="D2210" s="1">
        <v>2</v>
      </c>
      <c r="E2210" s="1">
        <v>416.99</v>
      </c>
      <c r="F2210" s="1">
        <v>0.05</v>
      </c>
      <c r="G2210">
        <f t="shared" si="34"/>
        <v>833.93</v>
      </c>
      <c r="H2210" t="str">
        <f>VLOOKUP(C2210,[1]products!$A:$B,2,FALSE)</f>
        <v>Sun Bicycles Cruz 7 - Women's - 2017</v>
      </c>
      <c r="I2210">
        <f>VLOOKUP(C2210,[1]products!$A:$D,4,FALSE)</f>
        <v>2</v>
      </c>
      <c r="J2210" t="str">
        <f>VLOOKUP(I2210,[2]categories!$A$1:$B$8,2,FALSE)</f>
        <v>Comfort Bicycles</v>
      </c>
    </row>
    <row r="2211" customHeight="1" spans="1:10">
      <c r="A2211" s="1">
        <v>781</v>
      </c>
      <c r="B2211" s="1">
        <v>2</v>
      </c>
      <c r="C2211" s="1">
        <v>7</v>
      </c>
      <c r="D2211" s="1">
        <v>2</v>
      </c>
      <c r="E2211" s="1">
        <v>3999.99</v>
      </c>
      <c r="F2211" s="1">
        <v>0.2</v>
      </c>
      <c r="G2211">
        <f t="shared" si="34"/>
        <v>7999.78</v>
      </c>
      <c r="H2211" t="str">
        <f>VLOOKUP(C2211,[1]products!$A:$B,2,FALSE)</f>
        <v>Trek Slash 8 27.5 - 2016</v>
      </c>
      <c r="I2211">
        <f>VLOOKUP(C2211,[1]products!$A:$D,4,FALSE)</f>
        <v>6</v>
      </c>
      <c r="J2211" t="str">
        <f>VLOOKUP(I2211,[2]categories!$A$1:$B$8,2,FALSE)</f>
        <v>Mountain Bikes</v>
      </c>
    </row>
    <row r="2212" customHeight="1" spans="1:10">
      <c r="A2212" s="1">
        <v>781</v>
      </c>
      <c r="B2212" s="1">
        <v>3</v>
      </c>
      <c r="C2212" s="1">
        <v>57</v>
      </c>
      <c r="D2212" s="1">
        <v>2</v>
      </c>
      <c r="E2212" s="1">
        <v>1999.99</v>
      </c>
      <c r="F2212" s="1">
        <v>0.1</v>
      </c>
      <c r="G2212">
        <f t="shared" si="34"/>
        <v>3999.88</v>
      </c>
      <c r="H2212" t="str">
        <f>VLOOKUP(C2212,[1]products!$A:$B,2,FALSE)</f>
        <v>Trek Emonda S 5 - 2017</v>
      </c>
      <c r="I2212">
        <f>VLOOKUP(C2212,[1]products!$A:$D,4,FALSE)</f>
        <v>7</v>
      </c>
      <c r="J2212" t="str">
        <f>VLOOKUP(I2212,[2]categories!$A$1:$B$8,2,FALSE)</f>
        <v>Road Bikes</v>
      </c>
    </row>
    <row r="2213" customHeight="1" spans="1:10">
      <c r="A2213" s="1">
        <v>782</v>
      </c>
      <c r="B2213" s="1">
        <v>1</v>
      </c>
      <c r="C2213" s="1">
        <v>20</v>
      </c>
      <c r="D2213" s="1">
        <v>2</v>
      </c>
      <c r="E2213" s="1">
        <v>599.99</v>
      </c>
      <c r="F2213" s="1">
        <v>0.07</v>
      </c>
      <c r="G2213">
        <f t="shared" si="34"/>
        <v>1199.91</v>
      </c>
      <c r="H2213" t="str">
        <f>VLOOKUP(C2213,[1]products!$A:$B,2,FALSE)</f>
        <v>Electra Townie Original 7D EQ - Women's - 2016</v>
      </c>
      <c r="I2213">
        <f>VLOOKUP(C2213,[1]products!$A:$D,4,FALSE)</f>
        <v>3</v>
      </c>
      <c r="J2213" t="str">
        <f>VLOOKUP(I2213,[2]categories!$A$1:$B$8,2,FALSE)</f>
        <v>Cruisers Bicycles</v>
      </c>
    </row>
    <row r="2214" customHeight="1" spans="1:10">
      <c r="A2214" s="1">
        <v>782</v>
      </c>
      <c r="B2214" s="1">
        <v>2</v>
      </c>
      <c r="C2214" s="1">
        <v>57</v>
      </c>
      <c r="D2214" s="1">
        <v>1</v>
      </c>
      <c r="E2214" s="1">
        <v>1999.99</v>
      </c>
      <c r="F2214" s="1">
        <v>0.07</v>
      </c>
      <c r="G2214">
        <f t="shared" si="34"/>
        <v>1999.92</v>
      </c>
      <c r="H2214" t="str">
        <f>VLOOKUP(C2214,[1]products!$A:$B,2,FALSE)</f>
        <v>Trek Emonda S 5 - 2017</v>
      </c>
      <c r="I2214">
        <f>VLOOKUP(C2214,[1]products!$A:$D,4,FALSE)</f>
        <v>7</v>
      </c>
      <c r="J2214" t="str">
        <f>VLOOKUP(I2214,[2]categories!$A$1:$B$8,2,FALSE)</f>
        <v>Road Bikes</v>
      </c>
    </row>
    <row r="2215" customHeight="1" spans="1:10">
      <c r="A2215" s="1">
        <v>782</v>
      </c>
      <c r="B2215" s="1">
        <v>3</v>
      </c>
      <c r="C2215" s="1">
        <v>99</v>
      </c>
      <c r="D2215" s="1">
        <v>1</v>
      </c>
      <c r="E2215" s="1">
        <v>299.99</v>
      </c>
      <c r="F2215" s="1">
        <v>0.07</v>
      </c>
      <c r="G2215">
        <f t="shared" si="34"/>
        <v>299.92</v>
      </c>
      <c r="H2215" t="str">
        <f>VLOOKUP(C2215,[1]products!$A:$B,2,FALSE)</f>
        <v>Electra Sugar Skulls 1 (20-inch) - Girl's - 2017</v>
      </c>
      <c r="I2215">
        <f>VLOOKUP(C2215,[1]products!$A:$D,4,FALSE)</f>
        <v>1</v>
      </c>
      <c r="J2215" t="str">
        <f>VLOOKUP(I2215,[2]categories!$A$1:$B$8,2,FALSE)</f>
        <v>Children Bicycles</v>
      </c>
    </row>
    <row r="2216" customHeight="1" spans="1:10">
      <c r="A2216" s="1">
        <v>782</v>
      </c>
      <c r="B2216" s="1">
        <v>4</v>
      </c>
      <c r="C2216" s="1">
        <v>16</v>
      </c>
      <c r="D2216" s="1">
        <v>2</v>
      </c>
      <c r="E2216" s="1">
        <v>599.99</v>
      </c>
      <c r="F2216" s="1">
        <v>0.2</v>
      </c>
      <c r="G2216">
        <f t="shared" si="34"/>
        <v>1199.78</v>
      </c>
      <c r="H2216" t="str">
        <f>VLOOKUP(C2216,[1]products!$A:$B,2,FALSE)</f>
        <v>Electra Townie Original 7D EQ - 2016</v>
      </c>
      <c r="I2216">
        <f>VLOOKUP(C2216,[1]products!$A:$D,4,FALSE)</f>
        <v>3</v>
      </c>
      <c r="J2216" t="str">
        <f>VLOOKUP(I2216,[2]categories!$A$1:$B$8,2,FALSE)</f>
        <v>Cruisers Bicycles</v>
      </c>
    </row>
    <row r="2217" customHeight="1" spans="1:10">
      <c r="A2217" s="1">
        <v>783</v>
      </c>
      <c r="B2217" s="1">
        <v>1</v>
      </c>
      <c r="C2217" s="1">
        <v>92</v>
      </c>
      <c r="D2217" s="1">
        <v>1</v>
      </c>
      <c r="E2217" s="1">
        <v>209.99</v>
      </c>
      <c r="F2217" s="1">
        <v>0.2</v>
      </c>
      <c r="G2217">
        <f t="shared" si="34"/>
        <v>209.79</v>
      </c>
      <c r="H2217" t="str">
        <f>VLOOKUP(C2217,[1]products!$A:$B,2,FALSE)</f>
        <v>Haro Shredder 20 - 2017</v>
      </c>
      <c r="I2217">
        <f>VLOOKUP(C2217,[1]products!$A:$D,4,FALSE)</f>
        <v>1</v>
      </c>
      <c r="J2217" t="str">
        <f>VLOOKUP(I2217,[2]categories!$A$1:$B$8,2,FALSE)</f>
        <v>Children Bicycles</v>
      </c>
    </row>
    <row r="2218" customHeight="1" spans="1:10">
      <c r="A2218" s="1">
        <v>783</v>
      </c>
      <c r="B2218" s="1">
        <v>2</v>
      </c>
      <c r="C2218" s="1">
        <v>22</v>
      </c>
      <c r="D2218" s="1">
        <v>2</v>
      </c>
      <c r="E2218" s="1">
        <v>269.99</v>
      </c>
      <c r="F2218" s="1">
        <v>0.05</v>
      </c>
      <c r="G2218">
        <f t="shared" si="34"/>
        <v>539.93</v>
      </c>
      <c r="H2218" t="str">
        <f>VLOOKUP(C2218,[1]products!$A:$B,2,FALSE)</f>
        <v>Electra Girl's Hawaii 1 (16-inch) - 2015/2016</v>
      </c>
      <c r="I2218">
        <f>VLOOKUP(C2218,[1]products!$A:$D,4,FALSE)</f>
        <v>1</v>
      </c>
      <c r="J2218" t="str">
        <f>VLOOKUP(I2218,[2]categories!$A$1:$B$8,2,FALSE)</f>
        <v>Children Bicycles</v>
      </c>
    </row>
    <row r="2219" customHeight="1" spans="1:10">
      <c r="A2219" s="1">
        <v>783</v>
      </c>
      <c r="B2219" s="1">
        <v>3</v>
      </c>
      <c r="C2219" s="1">
        <v>94</v>
      </c>
      <c r="D2219" s="1">
        <v>1</v>
      </c>
      <c r="E2219" s="1">
        <v>249.99</v>
      </c>
      <c r="F2219" s="1">
        <v>0.05</v>
      </c>
      <c r="G2219">
        <f t="shared" si="34"/>
        <v>249.94</v>
      </c>
      <c r="H2219" t="str">
        <f>VLOOKUP(C2219,[1]products!$A:$B,2,FALSE)</f>
        <v>Haro Shredder Pro 20 - 2017</v>
      </c>
      <c r="I2219">
        <f>VLOOKUP(C2219,[1]products!$A:$D,4,FALSE)</f>
        <v>1</v>
      </c>
      <c r="J2219" t="str">
        <f>VLOOKUP(I2219,[2]categories!$A$1:$B$8,2,FALSE)</f>
        <v>Children Bicycles</v>
      </c>
    </row>
    <row r="2220" customHeight="1" spans="1:10">
      <c r="A2220" s="1">
        <v>783</v>
      </c>
      <c r="B2220" s="1">
        <v>4</v>
      </c>
      <c r="C2220" s="1">
        <v>29</v>
      </c>
      <c r="D2220" s="1">
        <v>1</v>
      </c>
      <c r="E2220" s="1">
        <v>999.99</v>
      </c>
      <c r="F2220" s="1">
        <v>0.1</v>
      </c>
      <c r="G2220">
        <f t="shared" si="34"/>
        <v>999.89</v>
      </c>
      <c r="H2220" t="str">
        <f>VLOOKUP(C2220,[1]products!$A:$B,2,FALSE)</f>
        <v>Trek X-Caliber 8 - 2017</v>
      </c>
      <c r="I2220">
        <f>VLOOKUP(C2220,[1]products!$A:$D,4,FALSE)</f>
        <v>6</v>
      </c>
      <c r="J2220" t="str">
        <f>VLOOKUP(I2220,[2]categories!$A$1:$B$8,2,FALSE)</f>
        <v>Mountain Bikes</v>
      </c>
    </row>
    <row r="2221" customHeight="1" spans="1:10">
      <c r="A2221" s="1">
        <v>784</v>
      </c>
      <c r="B2221" s="1">
        <v>1</v>
      </c>
      <c r="C2221" s="1">
        <v>22</v>
      </c>
      <c r="D2221" s="1">
        <v>1</v>
      </c>
      <c r="E2221" s="1">
        <v>269.99</v>
      </c>
      <c r="F2221" s="1">
        <v>0.07</v>
      </c>
      <c r="G2221">
        <f t="shared" si="34"/>
        <v>269.92</v>
      </c>
      <c r="H2221" t="str">
        <f>VLOOKUP(C2221,[1]products!$A:$B,2,FALSE)</f>
        <v>Electra Girl's Hawaii 1 (16-inch) - 2015/2016</v>
      </c>
      <c r="I2221">
        <f>VLOOKUP(C2221,[1]products!$A:$D,4,FALSE)</f>
        <v>1</v>
      </c>
      <c r="J2221" t="str">
        <f>VLOOKUP(I2221,[2]categories!$A$1:$B$8,2,FALSE)</f>
        <v>Children Bicycles</v>
      </c>
    </row>
    <row r="2222" customHeight="1" spans="1:10">
      <c r="A2222" s="1">
        <v>784</v>
      </c>
      <c r="B2222" s="1">
        <v>2</v>
      </c>
      <c r="C2222" s="1">
        <v>72</v>
      </c>
      <c r="D2222" s="1">
        <v>2</v>
      </c>
      <c r="E2222" s="1">
        <v>619.99</v>
      </c>
      <c r="F2222" s="1">
        <v>0.1</v>
      </c>
      <c r="G2222">
        <f t="shared" si="34"/>
        <v>1239.88</v>
      </c>
      <c r="H2222" t="str">
        <f>VLOOKUP(C2222,[1]products!$A:$B,2,FALSE)</f>
        <v>Sun Bicycles Biscayne Tandem 7 - 2017</v>
      </c>
      <c r="I2222">
        <f>VLOOKUP(C2222,[1]products!$A:$D,4,FALSE)</f>
        <v>3</v>
      </c>
      <c r="J2222" t="str">
        <f>VLOOKUP(I2222,[2]categories!$A$1:$B$8,2,FALSE)</f>
        <v>Cruisers Bicycles</v>
      </c>
    </row>
    <row r="2223" customHeight="1" spans="1:10">
      <c r="A2223" s="1">
        <v>784</v>
      </c>
      <c r="B2223" s="1">
        <v>3</v>
      </c>
      <c r="C2223" s="1">
        <v>16</v>
      </c>
      <c r="D2223" s="1">
        <v>1</v>
      </c>
      <c r="E2223" s="1">
        <v>599.99</v>
      </c>
      <c r="F2223" s="1">
        <v>0.2</v>
      </c>
      <c r="G2223">
        <f t="shared" si="34"/>
        <v>599.79</v>
      </c>
      <c r="H2223" t="str">
        <f>VLOOKUP(C2223,[1]products!$A:$B,2,FALSE)</f>
        <v>Electra Townie Original 7D EQ - 2016</v>
      </c>
      <c r="I2223">
        <f>VLOOKUP(C2223,[1]products!$A:$D,4,FALSE)</f>
        <v>3</v>
      </c>
      <c r="J2223" t="str">
        <f>VLOOKUP(I2223,[2]categories!$A$1:$B$8,2,FALSE)</f>
        <v>Cruisers Bicycles</v>
      </c>
    </row>
    <row r="2224" customHeight="1" spans="1:10">
      <c r="A2224" s="1">
        <v>785</v>
      </c>
      <c r="B2224" s="1">
        <v>1</v>
      </c>
      <c r="C2224" s="1">
        <v>59</v>
      </c>
      <c r="D2224" s="1">
        <v>2</v>
      </c>
      <c r="E2224" s="1">
        <v>2599.99</v>
      </c>
      <c r="F2224" s="1">
        <v>0.2</v>
      </c>
      <c r="G2224">
        <f t="shared" si="34"/>
        <v>5199.78</v>
      </c>
      <c r="H2224" t="str">
        <f>VLOOKUP(C2224,[1]products!$A:$B,2,FALSE)</f>
        <v>Trek Domane S 5 Disc - 2017</v>
      </c>
      <c r="I2224">
        <f>VLOOKUP(C2224,[1]products!$A:$D,4,FALSE)</f>
        <v>7</v>
      </c>
      <c r="J2224" t="str">
        <f>VLOOKUP(I2224,[2]categories!$A$1:$B$8,2,FALSE)</f>
        <v>Road Bikes</v>
      </c>
    </row>
    <row r="2225" customHeight="1" spans="1:10">
      <c r="A2225" s="1">
        <v>785</v>
      </c>
      <c r="B2225" s="1">
        <v>2</v>
      </c>
      <c r="C2225" s="1">
        <v>40</v>
      </c>
      <c r="D2225" s="1">
        <v>1</v>
      </c>
      <c r="E2225" s="1">
        <v>4999.99</v>
      </c>
      <c r="F2225" s="1">
        <v>0.07</v>
      </c>
      <c r="G2225">
        <f t="shared" si="34"/>
        <v>4999.92</v>
      </c>
      <c r="H2225" t="str">
        <f>VLOOKUP(C2225,[1]products!$A:$B,2,FALSE)</f>
        <v>Trek Fuel EX 9.8 29 - 2017</v>
      </c>
      <c r="I2225">
        <f>VLOOKUP(C2225,[1]products!$A:$D,4,FALSE)</f>
        <v>6</v>
      </c>
      <c r="J2225" t="str">
        <f>VLOOKUP(I2225,[2]categories!$A$1:$B$8,2,FALSE)</f>
        <v>Mountain Bikes</v>
      </c>
    </row>
    <row r="2226" customHeight="1" spans="1:10">
      <c r="A2226" s="1">
        <v>785</v>
      </c>
      <c r="B2226" s="1">
        <v>3</v>
      </c>
      <c r="C2226" s="1">
        <v>25</v>
      </c>
      <c r="D2226" s="1">
        <v>1</v>
      </c>
      <c r="E2226" s="1">
        <v>499.99</v>
      </c>
      <c r="F2226" s="1">
        <v>0.07</v>
      </c>
      <c r="G2226">
        <f t="shared" si="34"/>
        <v>499.92</v>
      </c>
      <c r="H2226" t="str">
        <f>VLOOKUP(C2226,[1]products!$A:$B,2,FALSE)</f>
        <v>Electra Townie Original 7D - 2015/2016</v>
      </c>
      <c r="I2226">
        <f>VLOOKUP(C2226,[1]products!$A:$D,4,FALSE)</f>
        <v>2</v>
      </c>
      <c r="J2226" t="str">
        <f>VLOOKUP(I2226,[2]categories!$A$1:$B$8,2,FALSE)</f>
        <v>Comfort Bicycles</v>
      </c>
    </row>
    <row r="2227" customHeight="1" spans="1:10">
      <c r="A2227" s="1">
        <v>786</v>
      </c>
      <c r="B2227" s="1">
        <v>1</v>
      </c>
      <c r="C2227" s="1">
        <v>80</v>
      </c>
      <c r="D2227" s="1">
        <v>1</v>
      </c>
      <c r="E2227" s="1">
        <v>761.99</v>
      </c>
      <c r="F2227" s="1">
        <v>0.05</v>
      </c>
      <c r="G2227">
        <f t="shared" si="34"/>
        <v>761.94</v>
      </c>
      <c r="H2227" t="str">
        <f>VLOOKUP(C2227,[1]products!$A:$B,2,FALSE)</f>
        <v>Sun Bicycles Brickell Tandem CB - 2017</v>
      </c>
      <c r="I2227">
        <f>VLOOKUP(C2227,[1]products!$A:$D,4,FALSE)</f>
        <v>3</v>
      </c>
      <c r="J2227" t="str">
        <f>VLOOKUP(I2227,[2]categories!$A$1:$B$8,2,FALSE)</f>
        <v>Cruisers Bicycles</v>
      </c>
    </row>
    <row r="2228" customHeight="1" spans="1:10">
      <c r="A2228" s="1">
        <v>787</v>
      </c>
      <c r="B2228" s="1">
        <v>1</v>
      </c>
      <c r="C2228" s="1">
        <v>51</v>
      </c>
      <c r="D2228" s="1">
        <v>2</v>
      </c>
      <c r="E2228" s="1">
        <v>6499.99</v>
      </c>
      <c r="F2228" s="1">
        <v>0.07</v>
      </c>
      <c r="G2228">
        <f t="shared" si="34"/>
        <v>12999.91</v>
      </c>
      <c r="H2228" t="str">
        <f>VLOOKUP(C2228,[1]products!$A:$B,2,FALSE)</f>
        <v>Trek Silque SLR 8 Women's - 2017</v>
      </c>
      <c r="I2228">
        <f>VLOOKUP(C2228,[1]products!$A:$D,4,FALSE)</f>
        <v>7</v>
      </c>
      <c r="J2228" t="str">
        <f>VLOOKUP(I2228,[2]categories!$A$1:$B$8,2,FALSE)</f>
        <v>Road Bikes</v>
      </c>
    </row>
    <row r="2229" customHeight="1" spans="1:10">
      <c r="A2229" s="1">
        <v>787</v>
      </c>
      <c r="B2229" s="1">
        <v>2</v>
      </c>
      <c r="C2229" s="1">
        <v>66</v>
      </c>
      <c r="D2229" s="1">
        <v>2</v>
      </c>
      <c r="E2229" s="1">
        <v>250.99</v>
      </c>
      <c r="F2229" s="1">
        <v>0.1</v>
      </c>
      <c r="G2229">
        <f t="shared" si="34"/>
        <v>501.88</v>
      </c>
      <c r="H2229" t="str">
        <f>VLOOKUP(C2229,[1]products!$A:$B,2,FALSE)</f>
        <v>Sun Bicycles Revolutions 24 - 2017</v>
      </c>
      <c r="I2229">
        <f>VLOOKUP(C2229,[1]products!$A:$D,4,FALSE)</f>
        <v>3</v>
      </c>
      <c r="J2229" t="str">
        <f>VLOOKUP(I2229,[2]categories!$A$1:$B$8,2,FALSE)</f>
        <v>Cruisers Bicycles</v>
      </c>
    </row>
    <row r="2230" customHeight="1" spans="1:10">
      <c r="A2230" s="1">
        <v>788</v>
      </c>
      <c r="B2230" s="1">
        <v>1</v>
      </c>
      <c r="C2230" s="1">
        <v>48</v>
      </c>
      <c r="D2230" s="1">
        <v>1</v>
      </c>
      <c r="E2230" s="1">
        <v>1499.99</v>
      </c>
      <c r="F2230" s="1">
        <v>0.2</v>
      </c>
      <c r="G2230">
        <f t="shared" si="34"/>
        <v>1499.79</v>
      </c>
      <c r="H2230" t="str">
        <f>VLOOKUP(C2230,[1]products!$A:$B,2,FALSE)</f>
        <v>Trek Emonda S 4 - 2017</v>
      </c>
      <c r="I2230">
        <f>VLOOKUP(C2230,[1]products!$A:$D,4,FALSE)</f>
        <v>7</v>
      </c>
      <c r="J2230" t="str">
        <f>VLOOKUP(I2230,[2]categories!$A$1:$B$8,2,FALSE)</f>
        <v>Road Bikes</v>
      </c>
    </row>
    <row r="2231" customHeight="1" spans="1:10">
      <c r="A2231" s="1">
        <v>788</v>
      </c>
      <c r="B2231" s="1">
        <v>2</v>
      </c>
      <c r="C2231" s="1">
        <v>19</v>
      </c>
      <c r="D2231" s="1">
        <v>1</v>
      </c>
      <c r="E2231" s="1">
        <v>449</v>
      </c>
      <c r="F2231" s="1">
        <v>0.1</v>
      </c>
      <c r="G2231">
        <f t="shared" si="34"/>
        <v>448.9</v>
      </c>
      <c r="H2231" t="str">
        <f>VLOOKUP(C2231,[1]products!$A:$B,2,FALSE)</f>
        <v>Pure Cycles William 3-Speed - 2016</v>
      </c>
      <c r="I2231">
        <f>VLOOKUP(C2231,[1]products!$A:$D,4,FALSE)</f>
        <v>3</v>
      </c>
      <c r="J2231" t="str">
        <f>VLOOKUP(I2231,[2]categories!$A$1:$B$8,2,FALSE)</f>
        <v>Cruisers Bicycles</v>
      </c>
    </row>
    <row r="2232" customHeight="1" spans="1:10">
      <c r="A2232" s="1">
        <v>788</v>
      </c>
      <c r="B2232" s="1">
        <v>3</v>
      </c>
      <c r="C2232" s="1">
        <v>13</v>
      </c>
      <c r="D2232" s="1">
        <v>1</v>
      </c>
      <c r="E2232" s="1">
        <v>269.99</v>
      </c>
      <c r="F2232" s="1">
        <v>0.05</v>
      </c>
      <c r="G2232">
        <f t="shared" si="34"/>
        <v>269.94</v>
      </c>
      <c r="H2232" t="str">
        <f>VLOOKUP(C2232,[1]products!$A:$B,2,FALSE)</f>
        <v>Electra Cruiser 1 (24-Inch) - 2016</v>
      </c>
      <c r="I2232">
        <f>VLOOKUP(C2232,[1]products!$A:$D,4,FALSE)</f>
        <v>3</v>
      </c>
      <c r="J2232" t="str">
        <f>VLOOKUP(I2232,[2]categories!$A$1:$B$8,2,FALSE)</f>
        <v>Cruisers Bicycles</v>
      </c>
    </row>
    <row r="2233" customHeight="1" spans="1:10">
      <c r="A2233" s="1">
        <v>789</v>
      </c>
      <c r="B2233" s="1">
        <v>1</v>
      </c>
      <c r="C2233" s="1">
        <v>100</v>
      </c>
      <c r="D2233" s="1">
        <v>2</v>
      </c>
      <c r="E2233" s="1">
        <v>489.99</v>
      </c>
      <c r="F2233" s="1">
        <v>0.2</v>
      </c>
      <c r="G2233">
        <f t="shared" si="34"/>
        <v>979.78</v>
      </c>
      <c r="H2233" t="str">
        <f>VLOOKUP(C2233,[1]products!$A:$B,2,FALSE)</f>
        <v>Electra Townie 3i EQ (20-inch) - Boys' - 2017</v>
      </c>
      <c r="I2233">
        <f>VLOOKUP(C2233,[1]products!$A:$D,4,FALSE)</f>
        <v>1</v>
      </c>
      <c r="J2233" t="str">
        <f>VLOOKUP(I2233,[2]categories!$A$1:$B$8,2,FALSE)</f>
        <v>Children Bicycles</v>
      </c>
    </row>
    <row r="2234" customHeight="1" spans="1:10">
      <c r="A2234" s="1">
        <v>789</v>
      </c>
      <c r="B2234" s="1">
        <v>2</v>
      </c>
      <c r="C2234" s="1">
        <v>93</v>
      </c>
      <c r="D2234" s="1">
        <v>2</v>
      </c>
      <c r="E2234" s="1">
        <v>209.99</v>
      </c>
      <c r="F2234" s="1">
        <v>0.07</v>
      </c>
      <c r="G2234">
        <f t="shared" si="34"/>
        <v>419.91</v>
      </c>
      <c r="H2234" t="str">
        <f>VLOOKUP(C2234,[1]products!$A:$B,2,FALSE)</f>
        <v>Haro Shredder 20 Girls - 2017</v>
      </c>
      <c r="I2234">
        <f>VLOOKUP(C2234,[1]products!$A:$D,4,FALSE)</f>
        <v>1</v>
      </c>
      <c r="J2234" t="str">
        <f>VLOOKUP(I2234,[2]categories!$A$1:$B$8,2,FALSE)</f>
        <v>Children Bicycles</v>
      </c>
    </row>
    <row r="2235" customHeight="1" spans="1:10">
      <c r="A2235" s="1">
        <v>790</v>
      </c>
      <c r="B2235" s="1">
        <v>1</v>
      </c>
      <c r="C2235" s="1">
        <v>62</v>
      </c>
      <c r="D2235" s="1">
        <v>2</v>
      </c>
      <c r="E2235" s="1">
        <v>3499.99</v>
      </c>
      <c r="F2235" s="1">
        <v>0.07</v>
      </c>
      <c r="G2235">
        <f t="shared" si="34"/>
        <v>6999.91</v>
      </c>
      <c r="H2235" t="str">
        <f>VLOOKUP(C2235,[1]products!$A:$B,2,FALSE)</f>
        <v>Trek Boone 7 - 2017</v>
      </c>
      <c r="I2235">
        <f>VLOOKUP(C2235,[1]products!$A:$D,4,FALSE)</f>
        <v>4</v>
      </c>
      <c r="J2235" t="str">
        <f>VLOOKUP(I2235,[2]categories!$A$1:$B$8,2,FALSE)</f>
        <v>Cyclocross Bicycles</v>
      </c>
    </row>
    <row r="2236" customHeight="1" spans="1:10">
      <c r="A2236" s="1">
        <v>790</v>
      </c>
      <c r="B2236" s="1">
        <v>2</v>
      </c>
      <c r="C2236" s="1">
        <v>91</v>
      </c>
      <c r="D2236" s="1">
        <v>1</v>
      </c>
      <c r="E2236" s="1">
        <v>349.99</v>
      </c>
      <c r="F2236" s="1">
        <v>0.1</v>
      </c>
      <c r="G2236">
        <f t="shared" si="34"/>
        <v>349.89</v>
      </c>
      <c r="H2236" t="str">
        <f>VLOOKUP(C2236,[1]products!$A:$B,2,FALSE)</f>
        <v>Trek Precaliber 24 (21-Speed) - Girls - 2017</v>
      </c>
      <c r="I2236">
        <f>VLOOKUP(C2236,[1]products!$A:$D,4,FALSE)</f>
        <v>1</v>
      </c>
      <c r="J2236" t="str">
        <f>VLOOKUP(I2236,[2]categories!$A$1:$B$8,2,FALSE)</f>
        <v>Children Bicycles</v>
      </c>
    </row>
    <row r="2237" customHeight="1" spans="1:10">
      <c r="A2237" s="1">
        <v>791</v>
      </c>
      <c r="B2237" s="1">
        <v>1</v>
      </c>
      <c r="C2237" s="1">
        <v>54</v>
      </c>
      <c r="D2237" s="1">
        <v>1</v>
      </c>
      <c r="E2237" s="1">
        <v>3199.99</v>
      </c>
      <c r="F2237" s="1">
        <v>0.2</v>
      </c>
      <c r="G2237">
        <f t="shared" si="34"/>
        <v>3199.79</v>
      </c>
      <c r="H2237" t="str">
        <f>VLOOKUP(C2237,[1]products!$A:$B,2,FALSE)</f>
        <v>Trek Domane SL Disc Frameset - 2017</v>
      </c>
      <c r="I2237">
        <f>VLOOKUP(C2237,[1]products!$A:$D,4,FALSE)</f>
        <v>7</v>
      </c>
      <c r="J2237" t="str">
        <f>VLOOKUP(I2237,[2]categories!$A$1:$B$8,2,FALSE)</f>
        <v>Road Bikes</v>
      </c>
    </row>
    <row r="2238" customHeight="1" spans="1:10">
      <c r="A2238" s="1">
        <v>791</v>
      </c>
      <c r="B2238" s="1">
        <v>2</v>
      </c>
      <c r="C2238" s="1">
        <v>25</v>
      </c>
      <c r="D2238" s="1">
        <v>2</v>
      </c>
      <c r="E2238" s="1">
        <v>499.99</v>
      </c>
      <c r="F2238" s="1">
        <v>0.07</v>
      </c>
      <c r="G2238">
        <f t="shared" si="34"/>
        <v>999.91</v>
      </c>
      <c r="H2238" t="str">
        <f>VLOOKUP(C2238,[1]products!$A:$B,2,FALSE)</f>
        <v>Electra Townie Original 7D - 2015/2016</v>
      </c>
      <c r="I2238">
        <f>VLOOKUP(C2238,[1]products!$A:$D,4,FALSE)</f>
        <v>2</v>
      </c>
      <c r="J2238" t="str">
        <f>VLOOKUP(I2238,[2]categories!$A$1:$B$8,2,FALSE)</f>
        <v>Comfort Bicycles</v>
      </c>
    </row>
    <row r="2239" customHeight="1" spans="1:10">
      <c r="A2239" s="1">
        <v>792</v>
      </c>
      <c r="B2239" s="1">
        <v>1</v>
      </c>
      <c r="C2239" s="1">
        <v>16</v>
      </c>
      <c r="D2239" s="1">
        <v>2</v>
      </c>
      <c r="E2239" s="1">
        <v>599.99</v>
      </c>
      <c r="F2239" s="1">
        <v>0.2</v>
      </c>
      <c r="G2239">
        <f t="shared" si="34"/>
        <v>1199.78</v>
      </c>
      <c r="H2239" t="str">
        <f>VLOOKUP(C2239,[1]products!$A:$B,2,FALSE)</f>
        <v>Electra Townie Original 7D EQ - 2016</v>
      </c>
      <c r="I2239">
        <f>VLOOKUP(C2239,[1]products!$A:$D,4,FALSE)</f>
        <v>3</v>
      </c>
      <c r="J2239" t="str">
        <f>VLOOKUP(I2239,[2]categories!$A$1:$B$8,2,FALSE)</f>
        <v>Cruisers Bicycles</v>
      </c>
    </row>
    <row r="2240" customHeight="1" spans="1:10">
      <c r="A2240" s="1">
        <v>792</v>
      </c>
      <c r="B2240" s="1">
        <v>2</v>
      </c>
      <c r="C2240" s="1">
        <v>39</v>
      </c>
      <c r="D2240" s="1">
        <v>1</v>
      </c>
      <c r="E2240" s="1">
        <v>1499.99</v>
      </c>
      <c r="F2240" s="1">
        <v>0.2</v>
      </c>
      <c r="G2240">
        <f t="shared" si="34"/>
        <v>1499.79</v>
      </c>
      <c r="H2240" t="str">
        <f>VLOOKUP(C2240,[1]products!$A:$B,2,FALSE)</f>
        <v>Trek Stache 5 - 2017</v>
      </c>
      <c r="I2240">
        <f>VLOOKUP(C2240,[1]products!$A:$D,4,FALSE)</f>
        <v>6</v>
      </c>
      <c r="J2240" t="str">
        <f>VLOOKUP(I2240,[2]categories!$A$1:$B$8,2,FALSE)</f>
        <v>Mountain Bikes</v>
      </c>
    </row>
    <row r="2241" customHeight="1" spans="1:10">
      <c r="A2241" s="1">
        <v>792</v>
      </c>
      <c r="B2241" s="1">
        <v>3</v>
      </c>
      <c r="C2241" s="1">
        <v>56</v>
      </c>
      <c r="D2241" s="1">
        <v>1</v>
      </c>
      <c r="E2241" s="1">
        <v>5499.99</v>
      </c>
      <c r="F2241" s="1">
        <v>0.2</v>
      </c>
      <c r="G2241">
        <f t="shared" si="34"/>
        <v>5499.79</v>
      </c>
      <c r="H2241" t="str">
        <f>VLOOKUP(C2241,[1]products!$A:$B,2,FALSE)</f>
        <v>Trek Domane SLR 6 Disc - 2017</v>
      </c>
      <c r="I2241">
        <f>VLOOKUP(C2241,[1]products!$A:$D,4,FALSE)</f>
        <v>7</v>
      </c>
      <c r="J2241" t="str">
        <f>VLOOKUP(I2241,[2]categories!$A$1:$B$8,2,FALSE)</f>
        <v>Road Bikes</v>
      </c>
    </row>
    <row r="2242" customHeight="1" spans="1:10">
      <c r="A2242" s="1">
        <v>792</v>
      </c>
      <c r="B2242" s="1">
        <v>4</v>
      </c>
      <c r="C2242" s="1">
        <v>30</v>
      </c>
      <c r="D2242" s="1">
        <v>1</v>
      </c>
      <c r="E2242" s="1">
        <v>999.99</v>
      </c>
      <c r="F2242" s="1">
        <v>0.05</v>
      </c>
      <c r="G2242">
        <f t="shared" si="34"/>
        <v>999.94</v>
      </c>
      <c r="H2242" t="str">
        <f>VLOOKUP(C2242,[1]products!$A:$B,2,FALSE)</f>
        <v>Surly Ice Cream Truck Frameset - 2017</v>
      </c>
      <c r="I2242">
        <f>VLOOKUP(C2242,[1]products!$A:$D,4,FALSE)</f>
        <v>6</v>
      </c>
      <c r="J2242" t="str">
        <f>VLOOKUP(I2242,[2]categories!$A$1:$B$8,2,FALSE)</f>
        <v>Mountain Bikes</v>
      </c>
    </row>
    <row r="2243" customHeight="1" spans="1:10">
      <c r="A2243" s="1">
        <v>792</v>
      </c>
      <c r="B2243" s="1">
        <v>5</v>
      </c>
      <c r="C2243" s="1">
        <v>2</v>
      </c>
      <c r="D2243" s="1">
        <v>1</v>
      </c>
      <c r="E2243" s="1">
        <v>749.99</v>
      </c>
      <c r="F2243" s="1">
        <v>0.2</v>
      </c>
      <c r="G2243">
        <f t="shared" ref="G2243:G2306" si="35">(E2243*D2243)-F2243</f>
        <v>749.79</v>
      </c>
      <c r="H2243" t="str">
        <f>VLOOKUP(C2243,[1]products!$A:$B,2,FALSE)</f>
        <v>Ritchey Timberwolf Frameset - 2016</v>
      </c>
      <c r="I2243">
        <f>VLOOKUP(C2243,[1]products!$A:$D,4,FALSE)</f>
        <v>6</v>
      </c>
      <c r="J2243" t="str">
        <f>VLOOKUP(I2243,[2]categories!$A$1:$B$8,2,FALSE)</f>
        <v>Mountain Bikes</v>
      </c>
    </row>
    <row r="2244" customHeight="1" spans="1:10">
      <c r="A2244" s="1">
        <v>793</v>
      </c>
      <c r="B2244" s="1">
        <v>1</v>
      </c>
      <c r="C2244" s="1">
        <v>60</v>
      </c>
      <c r="D2244" s="1">
        <v>1</v>
      </c>
      <c r="E2244" s="1">
        <v>1559.99</v>
      </c>
      <c r="F2244" s="1">
        <v>0.05</v>
      </c>
      <c r="G2244">
        <f t="shared" si="35"/>
        <v>1559.94</v>
      </c>
      <c r="H2244" t="str">
        <f>VLOOKUP(C2244,[1]products!$A:$B,2,FALSE)</f>
        <v>Sun Bicycles ElectroLite - 2017</v>
      </c>
      <c r="I2244">
        <f>VLOOKUP(C2244,[1]products!$A:$D,4,FALSE)</f>
        <v>5</v>
      </c>
      <c r="J2244" t="str">
        <f>VLOOKUP(I2244,[2]categories!$A$1:$B$8,2,FALSE)</f>
        <v>Electric Bikes</v>
      </c>
    </row>
    <row r="2245" customHeight="1" spans="1:10">
      <c r="A2245" s="1">
        <v>793</v>
      </c>
      <c r="B2245" s="1">
        <v>2</v>
      </c>
      <c r="C2245" s="1">
        <v>95</v>
      </c>
      <c r="D2245" s="1">
        <v>2</v>
      </c>
      <c r="E2245" s="1">
        <v>299.99</v>
      </c>
      <c r="F2245" s="1">
        <v>0.05</v>
      </c>
      <c r="G2245">
        <f t="shared" si="35"/>
        <v>599.93</v>
      </c>
      <c r="H2245" t="str">
        <f>VLOOKUP(C2245,[1]products!$A:$B,2,FALSE)</f>
        <v>Electra Girl's Hawaii 1 16" - 2017</v>
      </c>
      <c r="I2245">
        <f>VLOOKUP(C2245,[1]products!$A:$D,4,FALSE)</f>
        <v>1</v>
      </c>
      <c r="J2245" t="str">
        <f>VLOOKUP(I2245,[2]categories!$A$1:$B$8,2,FALSE)</f>
        <v>Children Bicycles</v>
      </c>
    </row>
    <row r="2246" customHeight="1" spans="1:10">
      <c r="A2246" s="1">
        <v>793</v>
      </c>
      <c r="B2246" s="1">
        <v>3</v>
      </c>
      <c r="C2246" s="1">
        <v>75</v>
      </c>
      <c r="D2246" s="1">
        <v>2</v>
      </c>
      <c r="E2246" s="1">
        <v>599.99</v>
      </c>
      <c r="F2246" s="1">
        <v>0.05</v>
      </c>
      <c r="G2246">
        <f t="shared" si="35"/>
        <v>1199.93</v>
      </c>
      <c r="H2246" t="str">
        <f>VLOOKUP(C2246,[1]products!$A:$B,2,FALSE)</f>
        <v>Electra Cruiser Lux Fat Tire 1 Ladies - 2017</v>
      </c>
      <c r="I2246">
        <f>VLOOKUP(C2246,[1]products!$A:$D,4,FALSE)</f>
        <v>3</v>
      </c>
      <c r="J2246" t="str">
        <f>VLOOKUP(I2246,[2]categories!$A$1:$B$8,2,FALSE)</f>
        <v>Cruisers Bicycles</v>
      </c>
    </row>
    <row r="2247" customHeight="1" spans="1:10">
      <c r="A2247" s="1">
        <v>794</v>
      </c>
      <c r="B2247" s="1">
        <v>1</v>
      </c>
      <c r="C2247" s="1">
        <v>41</v>
      </c>
      <c r="D2247" s="1">
        <v>2</v>
      </c>
      <c r="E2247" s="1">
        <v>1469.99</v>
      </c>
      <c r="F2247" s="1">
        <v>0.05</v>
      </c>
      <c r="G2247">
        <f t="shared" si="35"/>
        <v>2939.93</v>
      </c>
      <c r="H2247" t="str">
        <f>VLOOKUP(C2247,[1]products!$A:$B,2,FALSE)</f>
        <v>Haro Shift R3 - 2017</v>
      </c>
      <c r="I2247">
        <f>VLOOKUP(C2247,[1]products!$A:$D,4,FALSE)</f>
        <v>6</v>
      </c>
      <c r="J2247" t="str">
        <f>VLOOKUP(I2247,[2]categories!$A$1:$B$8,2,FALSE)</f>
        <v>Mountain Bikes</v>
      </c>
    </row>
    <row r="2248" customHeight="1" spans="1:10">
      <c r="A2248" s="1">
        <v>794</v>
      </c>
      <c r="B2248" s="1">
        <v>2</v>
      </c>
      <c r="C2248" s="1">
        <v>68</v>
      </c>
      <c r="D2248" s="1">
        <v>1</v>
      </c>
      <c r="E2248" s="1">
        <v>449.99</v>
      </c>
      <c r="F2248" s="1">
        <v>0.2</v>
      </c>
      <c r="G2248">
        <f t="shared" si="35"/>
        <v>449.79</v>
      </c>
      <c r="H2248" t="str">
        <f>VLOOKUP(C2248,[1]products!$A:$B,2,FALSE)</f>
        <v>Sun Bicycles Cruz 3 - 2017</v>
      </c>
      <c r="I2248">
        <f>VLOOKUP(C2248,[1]products!$A:$D,4,FALSE)</f>
        <v>3</v>
      </c>
      <c r="J2248" t="str">
        <f>VLOOKUP(I2248,[2]categories!$A$1:$B$8,2,FALSE)</f>
        <v>Cruisers Bicycles</v>
      </c>
    </row>
    <row r="2249" customHeight="1" spans="1:10">
      <c r="A2249" s="1">
        <v>794</v>
      </c>
      <c r="B2249" s="1">
        <v>3</v>
      </c>
      <c r="C2249" s="1">
        <v>17</v>
      </c>
      <c r="D2249" s="1">
        <v>1</v>
      </c>
      <c r="E2249" s="1">
        <v>429</v>
      </c>
      <c r="F2249" s="1">
        <v>0.07</v>
      </c>
      <c r="G2249">
        <f t="shared" si="35"/>
        <v>428.93</v>
      </c>
      <c r="H2249" t="str">
        <f>VLOOKUP(C2249,[1]products!$A:$B,2,FALSE)</f>
        <v>Pure Cycles Vine 8-Speed - 2016</v>
      </c>
      <c r="I2249">
        <f>VLOOKUP(C2249,[1]products!$A:$D,4,FALSE)</f>
        <v>3</v>
      </c>
      <c r="J2249" t="str">
        <f>VLOOKUP(I2249,[2]categories!$A$1:$B$8,2,FALSE)</f>
        <v>Cruisers Bicycles</v>
      </c>
    </row>
    <row r="2250" customHeight="1" spans="1:10">
      <c r="A2250" s="1">
        <v>794</v>
      </c>
      <c r="B2250" s="1">
        <v>4</v>
      </c>
      <c r="C2250" s="1">
        <v>28</v>
      </c>
      <c r="D2250" s="1">
        <v>1</v>
      </c>
      <c r="E2250" s="1">
        <v>2499.99</v>
      </c>
      <c r="F2250" s="1">
        <v>0.1</v>
      </c>
      <c r="G2250">
        <f t="shared" si="35"/>
        <v>2499.89</v>
      </c>
      <c r="H2250" t="str">
        <f>VLOOKUP(C2250,[1]products!$A:$B,2,FALSE)</f>
        <v>Surly Karate Monkey 27.5+ Frameset - 2017</v>
      </c>
      <c r="I2250">
        <f>VLOOKUP(C2250,[1]products!$A:$D,4,FALSE)</f>
        <v>6</v>
      </c>
      <c r="J2250" t="str">
        <f>VLOOKUP(I2250,[2]categories!$A$1:$B$8,2,FALSE)</f>
        <v>Mountain Bikes</v>
      </c>
    </row>
    <row r="2251" customHeight="1" spans="1:10">
      <c r="A2251" s="1">
        <v>795</v>
      </c>
      <c r="B2251" s="1">
        <v>1</v>
      </c>
      <c r="C2251" s="1">
        <v>95</v>
      </c>
      <c r="D2251" s="1">
        <v>2</v>
      </c>
      <c r="E2251" s="1">
        <v>299.99</v>
      </c>
      <c r="F2251" s="1">
        <v>0.05</v>
      </c>
      <c r="G2251">
        <f t="shared" si="35"/>
        <v>599.93</v>
      </c>
      <c r="H2251" t="str">
        <f>VLOOKUP(C2251,[1]products!$A:$B,2,FALSE)</f>
        <v>Electra Girl's Hawaii 1 16" - 2017</v>
      </c>
      <c r="I2251">
        <f>VLOOKUP(C2251,[1]products!$A:$D,4,FALSE)</f>
        <v>1</v>
      </c>
      <c r="J2251" t="str">
        <f>VLOOKUP(I2251,[2]categories!$A$1:$B$8,2,FALSE)</f>
        <v>Children Bicycles</v>
      </c>
    </row>
    <row r="2252" customHeight="1" spans="1:10">
      <c r="A2252" s="1">
        <v>795</v>
      </c>
      <c r="B2252" s="1">
        <v>2</v>
      </c>
      <c r="C2252" s="1">
        <v>99</v>
      </c>
      <c r="D2252" s="1">
        <v>2</v>
      </c>
      <c r="E2252" s="1">
        <v>299.99</v>
      </c>
      <c r="F2252" s="1">
        <v>0.05</v>
      </c>
      <c r="G2252">
        <f t="shared" si="35"/>
        <v>599.93</v>
      </c>
      <c r="H2252" t="str">
        <f>VLOOKUP(C2252,[1]products!$A:$B,2,FALSE)</f>
        <v>Electra Sugar Skulls 1 (20-inch) - Girl's - 2017</v>
      </c>
      <c r="I2252">
        <f>VLOOKUP(C2252,[1]products!$A:$D,4,FALSE)</f>
        <v>1</v>
      </c>
      <c r="J2252" t="str">
        <f>VLOOKUP(I2252,[2]categories!$A$1:$B$8,2,FALSE)</f>
        <v>Children Bicycles</v>
      </c>
    </row>
    <row r="2253" customHeight="1" spans="1:10">
      <c r="A2253" s="1">
        <v>796</v>
      </c>
      <c r="B2253" s="1">
        <v>1</v>
      </c>
      <c r="C2253" s="1">
        <v>6</v>
      </c>
      <c r="D2253" s="1">
        <v>2</v>
      </c>
      <c r="E2253" s="1">
        <v>469.99</v>
      </c>
      <c r="F2253" s="1">
        <v>0.2</v>
      </c>
      <c r="G2253">
        <f t="shared" si="35"/>
        <v>939.78</v>
      </c>
      <c r="H2253" t="str">
        <f>VLOOKUP(C2253,[1]products!$A:$B,2,FALSE)</f>
        <v>Surly Ice Cream Truck Frameset - 2016</v>
      </c>
      <c r="I2253">
        <f>VLOOKUP(C2253,[1]products!$A:$D,4,FALSE)</f>
        <v>6</v>
      </c>
      <c r="J2253" t="str">
        <f>VLOOKUP(I2253,[2]categories!$A$1:$B$8,2,FALSE)</f>
        <v>Mountain Bikes</v>
      </c>
    </row>
    <row r="2254" customHeight="1" spans="1:10">
      <c r="A2254" s="1">
        <v>797</v>
      </c>
      <c r="B2254" s="1">
        <v>1</v>
      </c>
      <c r="C2254" s="1">
        <v>11</v>
      </c>
      <c r="D2254" s="1">
        <v>1</v>
      </c>
      <c r="E2254" s="1">
        <v>1680.99</v>
      </c>
      <c r="F2254" s="1">
        <v>0.07</v>
      </c>
      <c r="G2254">
        <f t="shared" si="35"/>
        <v>1680.92</v>
      </c>
      <c r="H2254" t="str">
        <f>VLOOKUP(C2254,[1]products!$A:$B,2,FALSE)</f>
        <v>Surly Straggler 650b - 2016</v>
      </c>
      <c r="I2254">
        <f>VLOOKUP(C2254,[1]products!$A:$D,4,FALSE)</f>
        <v>4</v>
      </c>
      <c r="J2254" t="str">
        <f>VLOOKUP(I2254,[2]categories!$A$1:$B$8,2,FALSE)</f>
        <v>Cyclocross Bicycles</v>
      </c>
    </row>
    <row r="2255" customHeight="1" spans="1:10">
      <c r="A2255" s="1">
        <v>797</v>
      </c>
      <c r="B2255" s="1">
        <v>2</v>
      </c>
      <c r="C2255" s="1">
        <v>69</v>
      </c>
      <c r="D2255" s="1">
        <v>1</v>
      </c>
      <c r="E2255" s="1">
        <v>416.99</v>
      </c>
      <c r="F2255" s="1">
        <v>0.05</v>
      </c>
      <c r="G2255">
        <f t="shared" si="35"/>
        <v>416.94</v>
      </c>
      <c r="H2255" t="str">
        <f>VLOOKUP(C2255,[1]products!$A:$B,2,FALSE)</f>
        <v>Sun Bicycles Cruz 7 - 2017</v>
      </c>
      <c r="I2255">
        <f>VLOOKUP(C2255,[1]products!$A:$D,4,FALSE)</f>
        <v>3</v>
      </c>
      <c r="J2255" t="str">
        <f>VLOOKUP(I2255,[2]categories!$A$1:$B$8,2,FALSE)</f>
        <v>Cruisers Bicycles</v>
      </c>
    </row>
    <row r="2256" customHeight="1" spans="1:10">
      <c r="A2256" s="1">
        <v>797</v>
      </c>
      <c r="B2256" s="1">
        <v>3</v>
      </c>
      <c r="C2256" s="1">
        <v>74</v>
      </c>
      <c r="D2256" s="1">
        <v>1</v>
      </c>
      <c r="E2256" s="1">
        <v>439.99</v>
      </c>
      <c r="F2256" s="1">
        <v>0.1</v>
      </c>
      <c r="G2256">
        <f t="shared" si="35"/>
        <v>439.89</v>
      </c>
      <c r="H2256" t="str">
        <f>VLOOKUP(C2256,[1]products!$A:$B,2,FALSE)</f>
        <v>Electra Cruiser Lux 1 - 2017</v>
      </c>
      <c r="I2256">
        <f>VLOOKUP(C2256,[1]products!$A:$D,4,FALSE)</f>
        <v>3</v>
      </c>
      <c r="J2256" t="str">
        <f>VLOOKUP(I2256,[2]categories!$A$1:$B$8,2,FALSE)</f>
        <v>Cruisers Bicycles</v>
      </c>
    </row>
    <row r="2257" customHeight="1" spans="1:10">
      <c r="A2257" s="1">
        <v>797</v>
      </c>
      <c r="B2257" s="1">
        <v>4</v>
      </c>
      <c r="C2257" s="1">
        <v>54</v>
      </c>
      <c r="D2257" s="1">
        <v>2</v>
      </c>
      <c r="E2257" s="1">
        <v>3199.99</v>
      </c>
      <c r="F2257" s="1">
        <v>0.05</v>
      </c>
      <c r="G2257">
        <f t="shared" si="35"/>
        <v>6399.93</v>
      </c>
      <c r="H2257" t="str">
        <f>VLOOKUP(C2257,[1]products!$A:$B,2,FALSE)</f>
        <v>Trek Domane SL Disc Frameset - 2017</v>
      </c>
      <c r="I2257">
        <f>VLOOKUP(C2257,[1]products!$A:$D,4,FALSE)</f>
        <v>7</v>
      </c>
      <c r="J2257" t="str">
        <f>VLOOKUP(I2257,[2]categories!$A$1:$B$8,2,FALSE)</f>
        <v>Road Bikes</v>
      </c>
    </row>
    <row r="2258" customHeight="1" spans="1:10">
      <c r="A2258" s="1">
        <v>797</v>
      </c>
      <c r="B2258" s="1">
        <v>5</v>
      </c>
      <c r="C2258" s="1">
        <v>62</v>
      </c>
      <c r="D2258" s="1">
        <v>2</v>
      </c>
      <c r="E2258" s="1">
        <v>3499.99</v>
      </c>
      <c r="F2258" s="1">
        <v>0.1</v>
      </c>
      <c r="G2258">
        <f t="shared" si="35"/>
        <v>6999.88</v>
      </c>
      <c r="H2258" t="str">
        <f>VLOOKUP(C2258,[1]products!$A:$B,2,FALSE)</f>
        <v>Trek Boone 7 - 2017</v>
      </c>
      <c r="I2258">
        <f>VLOOKUP(C2258,[1]products!$A:$D,4,FALSE)</f>
        <v>4</v>
      </c>
      <c r="J2258" t="str">
        <f>VLOOKUP(I2258,[2]categories!$A$1:$B$8,2,FALSE)</f>
        <v>Cyclocross Bicycles</v>
      </c>
    </row>
    <row r="2259" customHeight="1" spans="1:10">
      <c r="A2259" s="1">
        <v>798</v>
      </c>
      <c r="B2259" s="1">
        <v>1</v>
      </c>
      <c r="C2259" s="1">
        <v>23</v>
      </c>
      <c r="D2259" s="1">
        <v>1</v>
      </c>
      <c r="E2259" s="1">
        <v>299.99</v>
      </c>
      <c r="F2259" s="1">
        <v>0.1</v>
      </c>
      <c r="G2259">
        <f t="shared" si="35"/>
        <v>299.89</v>
      </c>
      <c r="H2259" t="str">
        <f>VLOOKUP(C2259,[1]products!$A:$B,2,FALSE)</f>
        <v>Electra Girl's Hawaii 1 (20-inch) - 2015/2016</v>
      </c>
      <c r="I2259">
        <f>VLOOKUP(C2259,[1]products!$A:$D,4,FALSE)</f>
        <v>1</v>
      </c>
      <c r="J2259" t="str">
        <f>VLOOKUP(I2259,[2]categories!$A$1:$B$8,2,FALSE)</f>
        <v>Children Bicycles</v>
      </c>
    </row>
    <row r="2260" customHeight="1" spans="1:10">
      <c r="A2260" s="1">
        <v>798</v>
      </c>
      <c r="B2260" s="1">
        <v>2</v>
      </c>
      <c r="C2260" s="1">
        <v>90</v>
      </c>
      <c r="D2260" s="1">
        <v>1</v>
      </c>
      <c r="E2260" s="1">
        <v>209.99</v>
      </c>
      <c r="F2260" s="1">
        <v>0.05</v>
      </c>
      <c r="G2260">
        <f t="shared" si="35"/>
        <v>209.94</v>
      </c>
      <c r="H2260" t="str">
        <f>VLOOKUP(C2260,[1]products!$A:$B,2,FALSE)</f>
        <v>Trek Precaliber 16 Girls - 2017</v>
      </c>
      <c r="I2260">
        <f>VLOOKUP(C2260,[1]products!$A:$D,4,FALSE)</f>
        <v>1</v>
      </c>
      <c r="J2260" t="str">
        <f>VLOOKUP(I2260,[2]categories!$A$1:$B$8,2,FALSE)</f>
        <v>Children Bicycles</v>
      </c>
    </row>
    <row r="2261" customHeight="1" spans="1:10">
      <c r="A2261" s="1">
        <v>798</v>
      </c>
      <c r="B2261" s="1">
        <v>3</v>
      </c>
      <c r="C2261" s="1">
        <v>91</v>
      </c>
      <c r="D2261" s="1">
        <v>2</v>
      </c>
      <c r="E2261" s="1">
        <v>349.99</v>
      </c>
      <c r="F2261" s="1">
        <v>0.07</v>
      </c>
      <c r="G2261">
        <f t="shared" si="35"/>
        <v>699.91</v>
      </c>
      <c r="H2261" t="str">
        <f>VLOOKUP(C2261,[1]products!$A:$B,2,FALSE)</f>
        <v>Trek Precaliber 24 (21-Speed) - Girls - 2017</v>
      </c>
      <c r="I2261">
        <f>VLOOKUP(C2261,[1]products!$A:$D,4,FALSE)</f>
        <v>1</v>
      </c>
      <c r="J2261" t="str">
        <f>VLOOKUP(I2261,[2]categories!$A$1:$B$8,2,FALSE)</f>
        <v>Children Bicycles</v>
      </c>
    </row>
    <row r="2262" customHeight="1" spans="1:10">
      <c r="A2262" s="1">
        <v>798</v>
      </c>
      <c r="B2262" s="1">
        <v>4</v>
      </c>
      <c r="C2262" s="1">
        <v>42</v>
      </c>
      <c r="D2262" s="1">
        <v>1</v>
      </c>
      <c r="E2262" s="1">
        <v>2299.99</v>
      </c>
      <c r="F2262" s="1">
        <v>0.2</v>
      </c>
      <c r="G2262">
        <f t="shared" si="35"/>
        <v>2299.79</v>
      </c>
      <c r="H2262" t="str">
        <f>VLOOKUP(C2262,[1]products!$A:$B,2,FALSE)</f>
        <v>Trek Fuel EX 5 27.5 Plus - 2017</v>
      </c>
      <c r="I2262">
        <f>VLOOKUP(C2262,[1]products!$A:$D,4,FALSE)</f>
        <v>6</v>
      </c>
      <c r="J2262" t="str">
        <f>VLOOKUP(I2262,[2]categories!$A$1:$B$8,2,FALSE)</f>
        <v>Mountain Bikes</v>
      </c>
    </row>
    <row r="2263" customHeight="1" spans="1:10">
      <c r="A2263" s="1">
        <v>798</v>
      </c>
      <c r="B2263" s="1">
        <v>5</v>
      </c>
      <c r="C2263" s="1">
        <v>26</v>
      </c>
      <c r="D2263" s="1">
        <v>2</v>
      </c>
      <c r="E2263" s="1">
        <v>599.99</v>
      </c>
      <c r="F2263" s="1">
        <v>0.05</v>
      </c>
      <c r="G2263">
        <f t="shared" si="35"/>
        <v>1199.93</v>
      </c>
      <c r="H2263" t="str">
        <f>VLOOKUP(C2263,[1]products!$A:$B,2,FALSE)</f>
        <v>Electra Townie Original 7D EQ - 2016</v>
      </c>
      <c r="I2263">
        <f>VLOOKUP(C2263,[1]products!$A:$D,4,FALSE)</f>
        <v>2</v>
      </c>
      <c r="J2263" t="str">
        <f>VLOOKUP(I2263,[2]categories!$A$1:$B$8,2,FALSE)</f>
        <v>Comfort Bicycles</v>
      </c>
    </row>
    <row r="2264" customHeight="1" spans="1:10">
      <c r="A2264" s="1">
        <v>799</v>
      </c>
      <c r="B2264" s="1">
        <v>1</v>
      </c>
      <c r="C2264" s="1">
        <v>5</v>
      </c>
      <c r="D2264" s="1">
        <v>2</v>
      </c>
      <c r="E2264" s="1">
        <v>1320.99</v>
      </c>
      <c r="F2264" s="1">
        <v>0.1</v>
      </c>
      <c r="G2264">
        <f t="shared" si="35"/>
        <v>2641.88</v>
      </c>
      <c r="H2264" t="str">
        <f>VLOOKUP(C2264,[1]products!$A:$B,2,FALSE)</f>
        <v>Heller Shagamaw Frame - 2016</v>
      </c>
      <c r="I2264">
        <f>VLOOKUP(C2264,[1]products!$A:$D,4,FALSE)</f>
        <v>6</v>
      </c>
      <c r="J2264" t="str">
        <f>VLOOKUP(I2264,[2]categories!$A$1:$B$8,2,FALSE)</f>
        <v>Mountain Bikes</v>
      </c>
    </row>
    <row r="2265" customHeight="1" spans="1:10">
      <c r="A2265" s="1">
        <v>799</v>
      </c>
      <c r="B2265" s="1">
        <v>2</v>
      </c>
      <c r="C2265" s="1">
        <v>34</v>
      </c>
      <c r="D2265" s="1">
        <v>2</v>
      </c>
      <c r="E2265" s="1">
        <v>469.99</v>
      </c>
      <c r="F2265" s="1">
        <v>0.05</v>
      </c>
      <c r="G2265">
        <f t="shared" si="35"/>
        <v>939.93</v>
      </c>
      <c r="H2265" t="str">
        <f>VLOOKUP(C2265,[1]products!$A:$B,2,FALSE)</f>
        <v>Trek Session DH 27.5 Carbon Frameset - 2017</v>
      </c>
      <c r="I2265">
        <f>VLOOKUP(C2265,[1]products!$A:$D,4,FALSE)</f>
        <v>6</v>
      </c>
      <c r="J2265" t="str">
        <f>VLOOKUP(I2265,[2]categories!$A$1:$B$8,2,FALSE)</f>
        <v>Mountain Bikes</v>
      </c>
    </row>
    <row r="2266" customHeight="1" spans="1:10">
      <c r="A2266" s="1">
        <v>799</v>
      </c>
      <c r="B2266" s="1">
        <v>3</v>
      </c>
      <c r="C2266" s="1">
        <v>29</v>
      </c>
      <c r="D2266" s="1">
        <v>2</v>
      </c>
      <c r="E2266" s="1">
        <v>999.99</v>
      </c>
      <c r="F2266" s="1">
        <v>0.07</v>
      </c>
      <c r="G2266">
        <f t="shared" si="35"/>
        <v>1999.91</v>
      </c>
      <c r="H2266" t="str">
        <f>VLOOKUP(C2266,[1]products!$A:$B,2,FALSE)</f>
        <v>Trek X-Caliber 8 - 2017</v>
      </c>
      <c r="I2266">
        <f>VLOOKUP(C2266,[1]products!$A:$D,4,FALSE)</f>
        <v>6</v>
      </c>
      <c r="J2266" t="str">
        <f>VLOOKUP(I2266,[2]categories!$A$1:$B$8,2,FALSE)</f>
        <v>Mountain Bikes</v>
      </c>
    </row>
    <row r="2267" customHeight="1" spans="1:10">
      <c r="A2267" s="1">
        <v>799</v>
      </c>
      <c r="B2267" s="1">
        <v>4</v>
      </c>
      <c r="C2267" s="1">
        <v>63</v>
      </c>
      <c r="D2267" s="1">
        <v>1</v>
      </c>
      <c r="E2267" s="1">
        <v>3499.99</v>
      </c>
      <c r="F2267" s="1">
        <v>0.1</v>
      </c>
      <c r="G2267">
        <f t="shared" si="35"/>
        <v>3499.89</v>
      </c>
      <c r="H2267" t="str">
        <f>VLOOKUP(C2267,[1]products!$A:$B,2,FALSE)</f>
        <v>Trek Boone Race Shop Limited - 2017</v>
      </c>
      <c r="I2267">
        <f>VLOOKUP(C2267,[1]products!$A:$D,4,FALSE)</f>
        <v>4</v>
      </c>
      <c r="J2267" t="str">
        <f>VLOOKUP(I2267,[2]categories!$A$1:$B$8,2,FALSE)</f>
        <v>Cyclocross Bicycles</v>
      </c>
    </row>
    <row r="2268" customHeight="1" spans="1:10">
      <c r="A2268" s="1">
        <v>799</v>
      </c>
      <c r="B2268" s="1">
        <v>5</v>
      </c>
      <c r="C2268" s="1">
        <v>58</v>
      </c>
      <c r="D2268" s="1">
        <v>2</v>
      </c>
      <c r="E2268" s="1">
        <v>4999.99</v>
      </c>
      <c r="F2268" s="1">
        <v>0.07</v>
      </c>
      <c r="G2268">
        <f t="shared" si="35"/>
        <v>9999.91</v>
      </c>
      <c r="H2268" t="str">
        <f>VLOOKUP(C2268,[1]products!$A:$B,2,FALSE)</f>
        <v>Trek Madone 9.2 - 2017</v>
      </c>
      <c r="I2268">
        <f>VLOOKUP(C2268,[1]products!$A:$D,4,FALSE)</f>
        <v>7</v>
      </c>
      <c r="J2268" t="str">
        <f>VLOOKUP(I2268,[2]categories!$A$1:$B$8,2,FALSE)</f>
        <v>Road Bikes</v>
      </c>
    </row>
    <row r="2269" customHeight="1" spans="1:10">
      <c r="A2269" s="1">
        <v>800</v>
      </c>
      <c r="B2269" s="1">
        <v>1</v>
      </c>
      <c r="C2269" s="1">
        <v>65</v>
      </c>
      <c r="D2269" s="1">
        <v>2</v>
      </c>
      <c r="E2269" s="1">
        <v>346.99</v>
      </c>
      <c r="F2269" s="1">
        <v>0.1</v>
      </c>
      <c r="G2269">
        <f t="shared" si="35"/>
        <v>693.88</v>
      </c>
      <c r="H2269" t="str">
        <f>VLOOKUP(C2269,[1]products!$A:$B,2,FALSE)</f>
        <v>Sun Bicycles Lil Bolt Type-R - 2017</v>
      </c>
      <c r="I2269">
        <f>VLOOKUP(C2269,[1]products!$A:$D,4,FALSE)</f>
        <v>3</v>
      </c>
      <c r="J2269" t="str">
        <f>VLOOKUP(I2269,[2]categories!$A$1:$B$8,2,FALSE)</f>
        <v>Cruisers Bicycles</v>
      </c>
    </row>
    <row r="2270" customHeight="1" spans="1:10">
      <c r="A2270" s="1">
        <v>800</v>
      </c>
      <c r="B2270" s="1">
        <v>2</v>
      </c>
      <c r="C2270" s="1">
        <v>54</v>
      </c>
      <c r="D2270" s="1">
        <v>1</v>
      </c>
      <c r="E2270" s="1">
        <v>3199.99</v>
      </c>
      <c r="F2270" s="1">
        <v>0.07</v>
      </c>
      <c r="G2270">
        <f t="shared" si="35"/>
        <v>3199.92</v>
      </c>
      <c r="H2270" t="str">
        <f>VLOOKUP(C2270,[1]products!$A:$B,2,FALSE)</f>
        <v>Trek Domane SL Disc Frameset - 2017</v>
      </c>
      <c r="I2270">
        <f>VLOOKUP(C2270,[1]products!$A:$D,4,FALSE)</f>
        <v>7</v>
      </c>
      <c r="J2270" t="str">
        <f>VLOOKUP(I2270,[2]categories!$A$1:$B$8,2,FALSE)</f>
        <v>Road Bikes</v>
      </c>
    </row>
    <row r="2271" customHeight="1" spans="1:10">
      <c r="A2271" s="1">
        <v>800</v>
      </c>
      <c r="B2271" s="1">
        <v>3</v>
      </c>
      <c r="C2271" s="1">
        <v>6</v>
      </c>
      <c r="D2271" s="1">
        <v>2</v>
      </c>
      <c r="E2271" s="1">
        <v>469.99</v>
      </c>
      <c r="F2271" s="1">
        <v>0.05</v>
      </c>
      <c r="G2271">
        <f t="shared" si="35"/>
        <v>939.93</v>
      </c>
      <c r="H2271" t="str">
        <f>VLOOKUP(C2271,[1]products!$A:$B,2,FALSE)</f>
        <v>Surly Ice Cream Truck Frameset - 2016</v>
      </c>
      <c r="I2271">
        <f>VLOOKUP(C2271,[1]products!$A:$D,4,FALSE)</f>
        <v>6</v>
      </c>
      <c r="J2271" t="str">
        <f>VLOOKUP(I2271,[2]categories!$A$1:$B$8,2,FALSE)</f>
        <v>Mountain Bikes</v>
      </c>
    </row>
    <row r="2272" customHeight="1" spans="1:10">
      <c r="A2272" s="1">
        <v>800</v>
      </c>
      <c r="B2272" s="1">
        <v>4</v>
      </c>
      <c r="C2272" s="1">
        <v>52</v>
      </c>
      <c r="D2272" s="1">
        <v>1</v>
      </c>
      <c r="E2272" s="1">
        <v>875.99</v>
      </c>
      <c r="F2272" s="1">
        <v>0.1</v>
      </c>
      <c r="G2272">
        <f t="shared" si="35"/>
        <v>875.89</v>
      </c>
      <c r="H2272" t="str">
        <f>VLOOKUP(C2272,[1]products!$A:$B,2,FALSE)</f>
        <v>Surly Steamroller - 2017</v>
      </c>
      <c r="I2272">
        <f>VLOOKUP(C2272,[1]products!$A:$D,4,FALSE)</f>
        <v>7</v>
      </c>
      <c r="J2272" t="str">
        <f>VLOOKUP(I2272,[2]categories!$A$1:$B$8,2,FALSE)</f>
        <v>Road Bikes</v>
      </c>
    </row>
    <row r="2273" customHeight="1" spans="1:10">
      <c r="A2273" s="1">
        <v>800</v>
      </c>
      <c r="B2273" s="1">
        <v>5</v>
      </c>
      <c r="C2273" s="1">
        <v>95</v>
      </c>
      <c r="D2273" s="1">
        <v>2</v>
      </c>
      <c r="E2273" s="1">
        <v>299.99</v>
      </c>
      <c r="F2273" s="1">
        <v>0.05</v>
      </c>
      <c r="G2273">
        <f t="shared" si="35"/>
        <v>599.93</v>
      </c>
      <c r="H2273" t="str">
        <f>VLOOKUP(C2273,[1]products!$A:$B,2,FALSE)</f>
        <v>Electra Girl's Hawaii 1 16" - 2017</v>
      </c>
      <c r="I2273">
        <f>VLOOKUP(C2273,[1]products!$A:$D,4,FALSE)</f>
        <v>1</v>
      </c>
      <c r="J2273" t="str">
        <f>VLOOKUP(I2273,[2]categories!$A$1:$B$8,2,FALSE)</f>
        <v>Children Bicycles</v>
      </c>
    </row>
    <row r="2274" customHeight="1" spans="1:10">
      <c r="A2274" s="1">
        <v>801</v>
      </c>
      <c r="B2274" s="1">
        <v>1</v>
      </c>
      <c r="C2274" s="1">
        <v>101</v>
      </c>
      <c r="D2274" s="1">
        <v>1</v>
      </c>
      <c r="E2274" s="1">
        <v>339.99</v>
      </c>
      <c r="F2274" s="1">
        <v>0.07</v>
      </c>
      <c r="G2274">
        <f t="shared" si="35"/>
        <v>339.92</v>
      </c>
      <c r="H2274" t="str">
        <f>VLOOKUP(C2274,[1]products!$A:$B,2,FALSE)</f>
        <v>Electra Townie 7D (20-inch) - Boys' - 2017</v>
      </c>
      <c r="I2274">
        <f>VLOOKUP(C2274,[1]products!$A:$D,4,FALSE)</f>
        <v>1</v>
      </c>
      <c r="J2274" t="str">
        <f>VLOOKUP(I2274,[2]categories!$A$1:$B$8,2,FALSE)</f>
        <v>Children Bicycles</v>
      </c>
    </row>
    <row r="2275" customHeight="1" spans="1:10">
      <c r="A2275" s="1">
        <v>802</v>
      </c>
      <c r="B2275" s="1">
        <v>1</v>
      </c>
      <c r="C2275" s="1">
        <v>30</v>
      </c>
      <c r="D2275" s="1">
        <v>1</v>
      </c>
      <c r="E2275" s="1">
        <v>999.99</v>
      </c>
      <c r="F2275" s="1">
        <v>0.05</v>
      </c>
      <c r="G2275">
        <f t="shared" si="35"/>
        <v>999.94</v>
      </c>
      <c r="H2275" t="str">
        <f>VLOOKUP(C2275,[1]products!$A:$B,2,FALSE)</f>
        <v>Surly Ice Cream Truck Frameset - 2017</v>
      </c>
      <c r="I2275">
        <f>VLOOKUP(C2275,[1]products!$A:$D,4,FALSE)</f>
        <v>6</v>
      </c>
      <c r="J2275" t="str">
        <f>VLOOKUP(I2275,[2]categories!$A$1:$B$8,2,FALSE)</f>
        <v>Mountain Bikes</v>
      </c>
    </row>
    <row r="2276" customHeight="1" spans="1:10">
      <c r="A2276" s="1">
        <v>802</v>
      </c>
      <c r="B2276" s="1">
        <v>2</v>
      </c>
      <c r="C2276" s="1">
        <v>36</v>
      </c>
      <c r="D2276" s="1">
        <v>2</v>
      </c>
      <c r="E2276" s="1">
        <v>832.99</v>
      </c>
      <c r="F2276" s="1">
        <v>0.2</v>
      </c>
      <c r="G2276">
        <f t="shared" si="35"/>
        <v>1665.78</v>
      </c>
      <c r="H2276" t="str">
        <f>VLOOKUP(C2276,[1]products!$A:$B,2,FALSE)</f>
        <v>Surly Troll Frameset - 2017</v>
      </c>
      <c r="I2276">
        <f>VLOOKUP(C2276,[1]products!$A:$D,4,FALSE)</f>
        <v>6</v>
      </c>
      <c r="J2276" t="str">
        <f>VLOOKUP(I2276,[2]categories!$A$1:$B$8,2,FALSE)</f>
        <v>Mountain Bikes</v>
      </c>
    </row>
    <row r="2277" customHeight="1" spans="1:10">
      <c r="A2277" s="1">
        <v>802</v>
      </c>
      <c r="B2277" s="1">
        <v>3</v>
      </c>
      <c r="C2277" s="1">
        <v>40</v>
      </c>
      <c r="D2277" s="1">
        <v>1</v>
      </c>
      <c r="E2277" s="1">
        <v>4999.99</v>
      </c>
      <c r="F2277" s="1">
        <v>0.1</v>
      </c>
      <c r="G2277">
        <f t="shared" si="35"/>
        <v>4999.89</v>
      </c>
      <c r="H2277" t="str">
        <f>VLOOKUP(C2277,[1]products!$A:$B,2,FALSE)</f>
        <v>Trek Fuel EX 9.8 29 - 2017</v>
      </c>
      <c r="I2277">
        <f>VLOOKUP(C2277,[1]products!$A:$D,4,FALSE)</f>
        <v>6</v>
      </c>
      <c r="J2277" t="str">
        <f>VLOOKUP(I2277,[2]categories!$A$1:$B$8,2,FALSE)</f>
        <v>Mountain Bikes</v>
      </c>
    </row>
    <row r="2278" customHeight="1" spans="1:10">
      <c r="A2278" s="1">
        <v>802</v>
      </c>
      <c r="B2278" s="1">
        <v>4</v>
      </c>
      <c r="C2278" s="1">
        <v>28</v>
      </c>
      <c r="D2278" s="1">
        <v>1</v>
      </c>
      <c r="E2278" s="1">
        <v>2499.99</v>
      </c>
      <c r="F2278" s="1">
        <v>0.05</v>
      </c>
      <c r="G2278">
        <f t="shared" si="35"/>
        <v>2499.94</v>
      </c>
      <c r="H2278" t="str">
        <f>VLOOKUP(C2278,[1]products!$A:$B,2,FALSE)</f>
        <v>Surly Karate Monkey 27.5+ Frameset - 2017</v>
      </c>
      <c r="I2278">
        <f>VLOOKUP(C2278,[1]products!$A:$D,4,FALSE)</f>
        <v>6</v>
      </c>
      <c r="J2278" t="str">
        <f>VLOOKUP(I2278,[2]categories!$A$1:$B$8,2,FALSE)</f>
        <v>Mountain Bikes</v>
      </c>
    </row>
    <row r="2279" customHeight="1" spans="1:10">
      <c r="A2279" s="1">
        <v>803</v>
      </c>
      <c r="B2279" s="1">
        <v>1</v>
      </c>
      <c r="C2279" s="1">
        <v>111</v>
      </c>
      <c r="D2279" s="1">
        <v>1</v>
      </c>
      <c r="E2279" s="1">
        <v>470.99</v>
      </c>
      <c r="F2279" s="1">
        <v>0.07</v>
      </c>
      <c r="G2279">
        <f t="shared" si="35"/>
        <v>470.92</v>
      </c>
      <c r="H2279" t="str">
        <f>VLOOKUP(C2279,[1]products!$A:$B,2,FALSE)</f>
        <v>Sun Bicycles Drifter 7 - Women's - 2017</v>
      </c>
      <c r="I2279">
        <f>VLOOKUP(C2279,[1]products!$A:$D,4,FALSE)</f>
        <v>2</v>
      </c>
      <c r="J2279" t="str">
        <f>VLOOKUP(I2279,[2]categories!$A$1:$B$8,2,FALSE)</f>
        <v>Comfort Bicycles</v>
      </c>
    </row>
    <row r="2280" customHeight="1" spans="1:10">
      <c r="A2280" s="1">
        <v>803</v>
      </c>
      <c r="B2280" s="1">
        <v>2</v>
      </c>
      <c r="C2280" s="1">
        <v>52</v>
      </c>
      <c r="D2280" s="1">
        <v>2</v>
      </c>
      <c r="E2280" s="1">
        <v>875.99</v>
      </c>
      <c r="F2280" s="1">
        <v>0.05</v>
      </c>
      <c r="G2280">
        <f t="shared" si="35"/>
        <v>1751.93</v>
      </c>
      <c r="H2280" t="str">
        <f>VLOOKUP(C2280,[1]products!$A:$B,2,FALSE)</f>
        <v>Surly Steamroller - 2017</v>
      </c>
      <c r="I2280">
        <f>VLOOKUP(C2280,[1]products!$A:$D,4,FALSE)</f>
        <v>7</v>
      </c>
      <c r="J2280" t="str">
        <f>VLOOKUP(I2280,[2]categories!$A$1:$B$8,2,FALSE)</f>
        <v>Road Bikes</v>
      </c>
    </row>
    <row r="2281" customHeight="1" spans="1:10">
      <c r="A2281" s="1">
        <v>803</v>
      </c>
      <c r="B2281" s="1">
        <v>3</v>
      </c>
      <c r="C2281" s="1">
        <v>102</v>
      </c>
      <c r="D2281" s="1">
        <v>1</v>
      </c>
      <c r="E2281" s="1">
        <v>489.99</v>
      </c>
      <c r="F2281" s="1">
        <v>0.07</v>
      </c>
      <c r="G2281">
        <f t="shared" si="35"/>
        <v>489.92</v>
      </c>
      <c r="H2281" t="str">
        <f>VLOOKUP(C2281,[1]products!$A:$B,2,FALSE)</f>
        <v>Electra Townie Original 7D - 2017</v>
      </c>
      <c r="I2281">
        <f>VLOOKUP(C2281,[1]products!$A:$D,4,FALSE)</f>
        <v>2</v>
      </c>
      <c r="J2281" t="str">
        <f>VLOOKUP(I2281,[2]categories!$A$1:$B$8,2,FALSE)</f>
        <v>Comfort Bicycles</v>
      </c>
    </row>
    <row r="2282" customHeight="1" spans="1:10">
      <c r="A2282" s="1">
        <v>803</v>
      </c>
      <c r="B2282" s="1">
        <v>4</v>
      </c>
      <c r="C2282" s="1">
        <v>83</v>
      </c>
      <c r="D2282" s="1">
        <v>2</v>
      </c>
      <c r="E2282" s="1">
        <v>149.99</v>
      </c>
      <c r="F2282" s="1">
        <v>0.05</v>
      </c>
      <c r="G2282">
        <f t="shared" si="35"/>
        <v>299.93</v>
      </c>
      <c r="H2282" t="str">
        <f>VLOOKUP(C2282,[1]products!$A:$B,2,FALSE)</f>
        <v>Trek Boy's Kickster - 2015/2017</v>
      </c>
      <c r="I2282">
        <f>VLOOKUP(C2282,[1]products!$A:$D,4,FALSE)</f>
        <v>1</v>
      </c>
      <c r="J2282" t="str">
        <f>VLOOKUP(I2282,[2]categories!$A$1:$B$8,2,FALSE)</f>
        <v>Children Bicycles</v>
      </c>
    </row>
    <row r="2283" customHeight="1" spans="1:10">
      <c r="A2283" s="1">
        <v>804</v>
      </c>
      <c r="B2283" s="1">
        <v>1</v>
      </c>
      <c r="C2283" s="1">
        <v>89</v>
      </c>
      <c r="D2283" s="1">
        <v>2</v>
      </c>
      <c r="E2283" s="1">
        <v>209.99</v>
      </c>
      <c r="F2283" s="1">
        <v>0.2</v>
      </c>
      <c r="G2283">
        <f t="shared" si="35"/>
        <v>419.78</v>
      </c>
      <c r="H2283" t="str">
        <f>VLOOKUP(C2283,[1]products!$A:$B,2,FALSE)</f>
        <v>Trek Precaliber 16 Boys - 2017</v>
      </c>
      <c r="I2283">
        <f>VLOOKUP(C2283,[1]products!$A:$D,4,FALSE)</f>
        <v>1</v>
      </c>
      <c r="J2283" t="str">
        <f>VLOOKUP(I2283,[2]categories!$A$1:$B$8,2,FALSE)</f>
        <v>Children Bicycles</v>
      </c>
    </row>
    <row r="2284" customHeight="1" spans="1:10">
      <c r="A2284" s="1">
        <v>804</v>
      </c>
      <c r="B2284" s="1">
        <v>2</v>
      </c>
      <c r="C2284" s="1">
        <v>53</v>
      </c>
      <c r="D2284" s="1">
        <v>1</v>
      </c>
      <c r="E2284" s="1">
        <v>749.99</v>
      </c>
      <c r="F2284" s="1">
        <v>0.07</v>
      </c>
      <c r="G2284">
        <f t="shared" si="35"/>
        <v>749.92</v>
      </c>
      <c r="H2284" t="str">
        <f>VLOOKUP(C2284,[1]products!$A:$B,2,FALSE)</f>
        <v>Surly Ogre Frameset - 2017</v>
      </c>
      <c r="I2284">
        <f>VLOOKUP(C2284,[1]products!$A:$D,4,FALSE)</f>
        <v>7</v>
      </c>
      <c r="J2284" t="str">
        <f>VLOOKUP(I2284,[2]categories!$A$1:$B$8,2,FALSE)</f>
        <v>Road Bikes</v>
      </c>
    </row>
    <row r="2285" customHeight="1" spans="1:10">
      <c r="A2285" s="1">
        <v>804</v>
      </c>
      <c r="B2285" s="1">
        <v>3</v>
      </c>
      <c r="C2285" s="1">
        <v>50</v>
      </c>
      <c r="D2285" s="1">
        <v>2</v>
      </c>
      <c r="E2285" s="1">
        <v>5999.99</v>
      </c>
      <c r="F2285" s="1">
        <v>0.05</v>
      </c>
      <c r="G2285">
        <f t="shared" si="35"/>
        <v>11999.93</v>
      </c>
      <c r="H2285" t="str">
        <f>VLOOKUP(C2285,[1]products!$A:$B,2,FALSE)</f>
        <v>Trek Silque SLR 7 Women's - 2017</v>
      </c>
      <c r="I2285">
        <f>VLOOKUP(C2285,[1]products!$A:$D,4,FALSE)</f>
        <v>7</v>
      </c>
      <c r="J2285" t="str">
        <f>VLOOKUP(I2285,[2]categories!$A$1:$B$8,2,FALSE)</f>
        <v>Road Bikes</v>
      </c>
    </row>
    <row r="2286" customHeight="1" spans="1:10">
      <c r="A2286" s="1">
        <v>805</v>
      </c>
      <c r="B2286" s="1">
        <v>1</v>
      </c>
      <c r="C2286" s="1">
        <v>24</v>
      </c>
      <c r="D2286" s="1">
        <v>1</v>
      </c>
      <c r="E2286" s="1">
        <v>549.99</v>
      </c>
      <c r="F2286" s="1">
        <v>0.05</v>
      </c>
      <c r="G2286">
        <f t="shared" si="35"/>
        <v>549.94</v>
      </c>
      <c r="H2286" t="str">
        <f>VLOOKUP(C2286,[1]products!$A:$B,2,FALSE)</f>
        <v>Electra Townie Original 21D - 2016</v>
      </c>
      <c r="I2286">
        <f>VLOOKUP(C2286,[1]products!$A:$D,4,FALSE)</f>
        <v>2</v>
      </c>
      <c r="J2286" t="str">
        <f>VLOOKUP(I2286,[2]categories!$A$1:$B$8,2,FALSE)</f>
        <v>Comfort Bicycles</v>
      </c>
    </row>
    <row r="2287" customHeight="1" spans="1:10">
      <c r="A2287" s="1">
        <v>805</v>
      </c>
      <c r="B2287" s="1">
        <v>2</v>
      </c>
      <c r="C2287" s="1">
        <v>33</v>
      </c>
      <c r="D2287" s="1">
        <v>2</v>
      </c>
      <c r="E2287" s="1">
        <v>469.99</v>
      </c>
      <c r="F2287" s="1">
        <v>0.2</v>
      </c>
      <c r="G2287">
        <f t="shared" si="35"/>
        <v>939.78</v>
      </c>
      <c r="H2287" t="str">
        <f>VLOOKUP(C2287,[1]products!$A:$B,2,FALSE)</f>
        <v>Surly Wednesday Frameset - 2017</v>
      </c>
      <c r="I2287">
        <f>VLOOKUP(C2287,[1]products!$A:$D,4,FALSE)</f>
        <v>6</v>
      </c>
      <c r="J2287" t="str">
        <f>VLOOKUP(I2287,[2]categories!$A$1:$B$8,2,FALSE)</f>
        <v>Mountain Bikes</v>
      </c>
    </row>
    <row r="2288" customHeight="1" spans="1:10">
      <c r="A2288" s="1">
        <v>805</v>
      </c>
      <c r="B2288" s="1">
        <v>3</v>
      </c>
      <c r="C2288" s="1">
        <v>62</v>
      </c>
      <c r="D2288" s="1">
        <v>2</v>
      </c>
      <c r="E2288" s="1">
        <v>3499.99</v>
      </c>
      <c r="F2288" s="1">
        <v>0.2</v>
      </c>
      <c r="G2288">
        <f t="shared" si="35"/>
        <v>6999.78</v>
      </c>
      <c r="H2288" t="str">
        <f>VLOOKUP(C2288,[1]products!$A:$B,2,FALSE)</f>
        <v>Trek Boone 7 - 2017</v>
      </c>
      <c r="I2288">
        <f>VLOOKUP(C2288,[1]products!$A:$D,4,FALSE)</f>
        <v>4</v>
      </c>
      <c r="J2288" t="str">
        <f>VLOOKUP(I2288,[2]categories!$A$1:$B$8,2,FALSE)</f>
        <v>Cyclocross Bicycles</v>
      </c>
    </row>
    <row r="2289" customHeight="1" spans="1:10">
      <c r="A2289" s="1">
        <v>805</v>
      </c>
      <c r="B2289" s="1">
        <v>4</v>
      </c>
      <c r="C2289" s="1">
        <v>32</v>
      </c>
      <c r="D2289" s="1">
        <v>1</v>
      </c>
      <c r="E2289" s="1">
        <v>469.99</v>
      </c>
      <c r="F2289" s="1">
        <v>0.07</v>
      </c>
      <c r="G2289">
        <f t="shared" si="35"/>
        <v>469.92</v>
      </c>
      <c r="H2289" t="str">
        <f>VLOOKUP(C2289,[1]products!$A:$B,2,FALSE)</f>
        <v>Trek Farley Alloy Frameset - 2017</v>
      </c>
      <c r="I2289">
        <f>VLOOKUP(C2289,[1]products!$A:$D,4,FALSE)</f>
        <v>6</v>
      </c>
      <c r="J2289" t="str">
        <f>VLOOKUP(I2289,[2]categories!$A$1:$B$8,2,FALSE)</f>
        <v>Mountain Bikes</v>
      </c>
    </row>
    <row r="2290" customHeight="1" spans="1:10">
      <c r="A2290" s="1">
        <v>805</v>
      </c>
      <c r="B2290" s="1">
        <v>5</v>
      </c>
      <c r="C2290" s="1">
        <v>6</v>
      </c>
      <c r="D2290" s="1">
        <v>2</v>
      </c>
      <c r="E2290" s="1">
        <v>469.99</v>
      </c>
      <c r="F2290" s="1">
        <v>0.05</v>
      </c>
      <c r="G2290">
        <f t="shared" si="35"/>
        <v>939.93</v>
      </c>
      <c r="H2290" t="str">
        <f>VLOOKUP(C2290,[1]products!$A:$B,2,FALSE)</f>
        <v>Surly Ice Cream Truck Frameset - 2016</v>
      </c>
      <c r="I2290">
        <f>VLOOKUP(C2290,[1]products!$A:$D,4,FALSE)</f>
        <v>6</v>
      </c>
      <c r="J2290" t="str">
        <f>VLOOKUP(I2290,[2]categories!$A$1:$B$8,2,FALSE)</f>
        <v>Mountain Bikes</v>
      </c>
    </row>
    <row r="2291" customHeight="1" spans="1:10">
      <c r="A2291" s="1">
        <v>806</v>
      </c>
      <c r="B2291" s="1">
        <v>1</v>
      </c>
      <c r="C2291" s="1">
        <v>93</v>
      </c>
      <c r="D2291" s="1">
        <v>2</v>
      </c>
      <c r="E2291" s="1">
        <v>209.99</v>
      </c>
      <c r="F2291" s="1">
        <v>0.1</v>
      </c>
      <c r="G2291">
        <f t="shared" si="35"/>
        <v>419.88</v>
      </c>
      <c r="H2291" t="str">
        <f>VLOOKUP(C2291,[1]products!$A:$B,2,FALSE)</f>
        <v>Haro Shredder 20 Girls - 2017</v>
      </c>
      <c r="I2291">
        <f>VLOOKUP(C2291,[1]products!$A:$D,4,FALSE)</f>
        <v>1</v>
      </c>
      <c r="J2291" t="str">
        <f>VLOOKUP(I2291,[2]categories!$A$1:$B$8,2,FALSE)</f>
        <v>Children Bicycles</v>
      </c>
    </row>
    <row r="2292" customHeight="1" spans="1:10">
      <c r="A2292" s="1">
        <v>806</v>
      </c>
      <c r="B2292" s="1">
        <v>2</v>
      </c>
      <c r="C2292" s="1">
        <v>97</v>
      </c>
      <c r="D2292" s="1">
        <v>1</v>
      </c>
      <c r="E2292" s="1">
        <v>349.99</v>
      </c>
      <c r="F2292" s="1">
        <v>0.2</v>
      </c>
      <c r="G2292">
        <f t="shared" si="35"/>
        <v>349.79</v>
      </c>
      <c r="H2292" t="str">
        <f>VLOOKUP(C2292,[1]products!$A:$B,2,FALSE)</f>
        <v>Electra Savannah 3i (20-inch) - Girl's - 2017</v>
      </c>
      <c r="I2292">
        <f>VLOOKUP(C2292,[1]products!$A:$D,4,FALSE)</f>
        <v>1</v>
      </c>
      <c r="J2292" t="str">
        <f>VLOOKUP(I2292,[2]categories!$A$1:$B$8,2,FALSE)</f>
        <v>Children Bicycles</v>
      </c>
    </row>
    <row r="2293" customHeight="1" spans="1:10">
      <c r="A2293" s="1">
        <v>806</v>
      </c>
      <c r="B2293" s="1">
        <v>3</v>
      </c>
      <c r="C2293" s="1">
        <v>77</v>
      </c>
      <c r="D2293" s="1">
        <v>2</v>
      </c>
      <c r="E2293" s="1">
        <v>799.99</v>
      </c>
      <c r="F2293" s="1">
        <v>0.1</v>
      </c>
      <c r="G2293">
        <f t="shared" si="35"/>
        <v>1599.88</v>
      </c>
      <c r="H2293" t="str">
        <f>VLOOKUP(C2293,[1]products!$A:$B,2,FALSE)</f>
        <v>Electra Glam Punk 3i Ladies' - 2017</v>
      </c>
      <c r="I2293">
        <f>VLOOKUP(C2293,[1]products!$A:$D,4,FALSE)</f>
        <v>3</v>
      </c>
      <c r="J2293" t="str">
        <f>VLOOKUP(I2293,[2]categories!$A$1:$B$8,2,FALSE)</f>
        <v>Cruisers Bicycles</v>
      </c>
    </row>
    <row r="2294" customHeight="1" spans="1:10">
      <c r="A2294" s="1">
        <v>806</v>
      </c>
      <c r="B2294" s="1">
        <v>4</v>
      </c>
      <c r="C2294" s="1">
        <v>82</v>
      </c>
      <c r="D2294" s="1">
        <v>2</v>
      </c>
      <c r="E2294" s="1">
        <v>659.99</v>
      </c>
      <c r="F2294" s="1">
        <v>0.2</v>
      </c>
      <c r="G2294">
        <f t="shared" si="35"/>
        <v>1319.78</v>
      </c>
      <c r="H2294" t="str">
        <f>VLOOKUP(C2294,[1]products!$A:$B,2,FALSE)</f>
        <v>Electra Amsterdam Original 3i Ladies' - 2017</v>
      </c>
      <c r="I2294">
        <f>VLOOKUP(C2294,[1]products!$A:$D,4,FALSE)</f>
        <v>3</v>
      </c>
      <c r="J2294" t="str">
        <f>VLOOKUP(I2294,[2]categories!$A$1:$B$8,2,FALSE)</f>
        <v>Cruisers Bicycles</v>
      </c>
    </row>
    <row r="2295" customHeight="1" spans="1:10">
      <c r="A2295" s="1">
        <v>806</v>
      </c>
      <c r="B2295" s="1">
        <v>5</v>
      </c>
      <c r="C2295" s="1">
        <v>91</v>
      </c>
      <c r="D2295" s="1">
        <v>2</v>
      </c>
      <c r="E2295" s="1">
        <v>349.99</v>
      </c>
      <c r="F2295" s="1">
        <v>0.07</v>
      </c>
      <c r="G2295">
        <f t="shared" si="35"/>
        <v>699.91</v>
      </c>
      <c r="H2295" t="str">
        <f>VLOOKUP(C2295,[1]products!$A:$B,2,FALSE)</f>
        <v>Trek Precaliber 24 (21-Speed) - Girls - 2017</v>
      </c>
      <c r="I2295">
        <f>VLOOKUP(C2295,[1]products!$A:$D,4,FALSE)</f>
        <v>1</v>
      </c>
      <c r="J2295" t="str">
        <f>VLOOKUP(I2295,[2]categories!$A$1:$B$8,2,FALSE)</f>
        <v>Children Bicycles</v>
      </c>
    </row>
    <row r="2296" customHeight="1" spans="1:10">
      <c r="A2296" s="1">
        <v>807</v>
      </c>
      <c r="B2296" s="1">
        <v>1</v>
      </c>
      <c r="C2296" s="1">
        <v>21</v>
      </c>
      <c r="D2296" s="1">
        <v>2</v>
      </c>
      <c r="E2296" s="1">
        <v>269.99</v>
      </c>
      <c r="F2296" s="1">
        <v>0.2</v>
      </c>
      <c r="G2296">
        <f t="shared" si="35"/>
        <v>539.78</v>
      </c>
      <c r="H2296" t="str">
        <f>VLOOKUP(C2296,[1]products!$A:$B,2,FALSE)</f>
        <v>Electra Cruiser 1 (24-Inch) - 2016</v>
      </c>
      <c r="I2296">
        <f>VLOOKUP(C2296,[1]products!$A:$D,4,FALSE)</f>
        <v>1</v>
      </c>
      <c r="J2296" t="str">
        <f>VLOOKUP(I2296,[2]categories!$A$1:$B$8,2,FALSE)</f>
        <v>Children Bicycles</v>
      </c>
    </row>
    <row r="2297" customHeight="1" spans="1:10">
      <c r="A2297" s="1">
        <v>807</v>
      </c>
      <c r="B2297" s="1">
        <v>2</v>
      </c>
      <c r="C2297" s="1">
        <v>6</v>
      </c>
      <c r="D2297" s="1">
        <v>1</v>
      </c>
      <c r="E2297" s="1">
        <v>469.99</v>
      </c>
      <c r="F2297" s="1">
        <v>0.07</v>
      </c>
      <c r="G2297">
        <f t="shared" si="35"/>
        <v>469.92</v>
      </c>
      <c r="H2297" t="str">
        <f>VLOOKUP(C2297,[1]products!$A:$B,2,FALSE)</f>
        <v>Surly Ice Cream Truck Frameset - 2016</v>
      </c>
      <c r="I2297">
        <f>VLOOKUP(C2297,[1]products!$A:$D,4,FALSE)</f>
        <v>6</v>
      </c>
      <c r="J2297" t="str">
        <f>VLOOKUP(I2297,[2]categories!$A$1:$B$8,2,FALSE)</f>
        <v>Mountain Bikes</v>
      </c>
    </row>
    <row r="2298" customHeight="1" spans="1:10">
      <c r="A2298" s="1">
        <v>807</v>
      </c>
      <c r="B2298" s="1">
        <v>3</v>
      </c>
      <c r="C2298" s="1">
        <v>3</v>
      </c>
      <c r="D2298" s="1">
        <v>2</v>
      </c>
      <c r="E2298" s="1">
        <v>999.99</v>
      </c>
      <c r="F2298" s="1">
        <v>0.07</v>
      </c>
      <c r="G2298">
        <f t="shared" si="35"/>
        <v>1999.91</v>
      </c>
      <c r="H2298" t="str">
        <f>VLOOKUP(C2298,[1]products!$A:$B,2,FALSE)</f>
        <v>Surly Wednesday Frameset - 2016</v>
      </c>
      <c r="I2298">
        <f>VLOOKUP(C2298,[1]products!$A:$D,4,FALSE)</f>
        <v>6</v>
      </c>
      <c r="J2298" t="str">
        <f>VLOOKUP(I2298,[2]categories!$A$1:$B$8,2,FALSE)</f>
        <v>Mountain Bikes</v>
      </c>
    </row>
    <row r="2299" customHeight="1" spans="1:10">
      <c r="A2299" s="1">
        <v>807</v>
      </c>
      <c r="B2299" s="1">
        <v>4</v>
      </c>
      <c r="C2299" s="1">
        <v>9</v>
      </c>
      <c r="D2299" s="1">
        <v>2</v>
      </c>
      <c r="E2299" s="1">
        <v>2999.99</v>
      </c>
      <c r="F2299" s="1">
        <v>0.2</v>
      </c>
      <c r="G2299">
        <f t="shared" si="35"/>
        <v>5999.78</v>
      </c>
      <c r="H2299" t="str">
        <f>VLOOKUP(C2299,[1]products!$A:$B,2,FALSE)</f>
        <v>Trek Conduit+ - 2016</v>
      </c>
      <c r="I2299">
        <f>VLOOKUP(C2299,[1]products!$A:$D,4,FALSE)</f>
        <v>5</v>
      </c>
      <c r="J2299" t="str">
        <f>VLOOKUP(I2299,[2]categories!$A$1:$B$8,2,FALSE)</f>
        <v>Electric Bikes</v>
      </c>
    </row>
    <row r="2300" customHeight="1" spans="1:10">
      <c r="A2300" s="1">
        <v>807</v>
      </c>
      <c r="B2300" s="1">
        <v>5</v>
      </c>
      <c r="C2300" s="1">
        <v>16</v>
      </c>
      <c r="D2300" s="1">
        <v>1</v>
      </c>
      <c r="E2300" s="1">
        <v>599.99</v>
      </c>
      <c r="F2300" s="1">
        <v>0.2</v>
      </c>
      <c r="G2300">
        <f t="shared" si="35"/>
        <v>599.79</v>
      </c>
      <c r="H2300" t="str">
        <f>VLOOKUP(C2300,[1]products!$A:$B,2,FALSE)</f>
        <v>Electra Townie Original 7D EQ - 2016</v>
      </c>
      <c r="I2300">
        <f>VLOOKUP(C2300,[1]products!$A:$D,4,FALSE)</f>
        <v>3</v>
      </c>
      <c r="J2300" t="str">
        <f>VLOOKUP(I2300,[2]categories!$A$1:$B$8,2,FALSE)</f>
        <v>Cruisers Bicycles</v>
      </c>
    </row>
    <row r="2301" customHeight="1" spans="1:10">
      <c r="A2301" s="1">
        <v>808</v>
      </c>
      <c r="B2301" s="1">
        <v>1</v>
      </c>
      <c r="C2301" s="1">
        <v>96</v>
      </c>
      <c r="D2301" s="1">
        <v>2</v>
      </c>
      <c r="E2301" s="1">
        <v>349.99</v>
      </c>
      <c r="F2301" s="1">
        <v>0.05</v>
      </c>
      <c r="G2301">
        <f t="shared" si="35"/>
        <v>699.93</v>
      </c>
      <c r="H2301" t="str">
        <f>VLOOKUP(C2301,[1]products!$A:$B,2,FALSE)</f>
        <v>Electra Moto 3i (20-inch) - Boy's - 2017</v>
      </c>
      <c r="I2301">
        <f>VLOOKUP(C2301,[1]products!$A:$D,4,FALSE)</f>
        <v>1</v>
      </c>
      <c r="J2301" t="str">
        <f>VLOOKUP(I2301,[2]categories!$A$1:$B$8,2,FALSE)</f>
        <v>Children Bicycles</v>
      </c>
    </row>
    <row r="2302" customHeight="1" spans="1:10">
      <c r="A2302" s="1">
        <v>808</v>
      </c>
      <c r="B2302" s="1">
        <v>2</v>
      </c>
      <c r="C2302" s="1">
        <v>18</v>
      </c>
      <c r="D2302" s="1">
        <v>1</v>
      </c>
      <c r="E2302" s="1">
        <v>449</v>
      </c>
      <c r="F2302" s="1">
        <v>0.05</v>
      </c>
      <c r="G2302">
        <f t="shared" si="35"/>
        <v>448.95</v>
      </c>
      <c r="H2302" t="str">
        <f>VLOOKUP(C2302,[1]products!$A:$B,2,FALSE)</f>
        <v>Pure Cycles Western 3-Speed - Women's - 2015/2016</v>
      </c>
      <c r="I2302">
        <f>VLOOKUP(C2302,[1]products!$A:$D,4,FALSE)</f>
        <v>3</v>
      </c>
      <c r="J2302" t="str">
        <f>VLOOKUP(I2302,[2]categories!$A$1:$B$8,2,FALSE)</f>
        <v>Cruisers Bicycles</v>
      </c>
    </row>
    <row r="2303" customHeight="1" spans="1:10">
      <c r="A2303" s="1">
        <v>808</v>
      </c>
      <c r="B2303" s="1">
        <v>3</v>
      </c>
      <c r="C2303" s="1">
        <v>85</v>
      </c>
      <c r="D2303" s="1">
        <v>1</v>
      </c>
      <c r="E2303" s="1">
        <v>329.99</v>
      </c>
      <c r="F2303" s="1">
        <v>0.05</v>
      </c>
      <c r="G2303">
        <f t="shared" si="35"/>
        <v>329.94</v>
      </c>
      <c r="H2303" t="str">
        <f>VLOOKUP(C2303,[1]products!$A:$B,2,FALSE)</f>
        <v>Haro Downtown 16 - 2017</v>
      </c>
      <c r="I2303">
        <f>VLOOKUP(C2303,[1]products!$A:$D,4,FALSE)</f>
        <v>1</v>
      </c>
      <c r="J2303" t="str">
        <f>VLOOKUP(I2303,[2]categories!$A$1:$B$8,2,FALSE)</f>
        <v>Children Bicycles</v>
      </c>
    </row>
    <row r="2304" customHeight="1" spans="1:10">
      <c r="A2304" s="1">
        <v>808</v>
      </c>
      <c r="B2304" s="1">
        <v>4</v>
      </c>
      <c r="C2304" s="1">
        <v>19</v>
      </c>
      <c r="D2304" s="1">
        <v>2</v>
      </c>
      <c r="E2304" s="1">
        <v>449</v>
      </c>
      <c r="F2304" s="1">
        <v>0.05</v>
      </c>
      <c r="G2304">
        <f t="shared" si="35"/>
        <v>897.95</v>
      </c>
      <c r="H2304" t="str">
        <f>VLOOKUP(C2304,[1]products!$A:$B,2,FALSE)</f>
        <v>Pure Cycles William 3-Speed - 2016</v>
      </c>
      <c r="I2304">
        <f>VLOOKUP(C2304,[1]products!$A:$D,4,FALSE)</f>
        <v>3</v>
      </c>
      <c r="J2304" t="str">
        <f>VLOOKUP(I2304,[2]categories!$A$1:$B$8,2,FALSE)</f>
        <v>Cruisers Bicycles</v>
      </c>
    </row>
    <row r="2305" customHeight="1" spans="1:10">
      <c r="A2305" s="1">
        <v>809</v>
      </c>
      <c r="B2305" s="1">
        <v>1</v>
      </c>
      <c r="C2305" s="1">
        <v>78</v>
      </c>
      <c r="D2305" s="1">
        <v>1</v>
      </c>
      <c r="E2305" s="1">
        <v>647.99</v>
      </c>
      <c r="F2305" s="1">
        <v>0.1</v>
      </c>
      <c r="G2305">
        <f t="shared" si="35"/>
        <v>647.89</v>
      </c>
      <c r="H2305" t="str">
        <f>VLOOKUP(C2305,[1]products!$A:$B,2,FALSE)</f>
        <v>Sun Bicycles Biscayne Tandem CB - 2017</v>
      </c>
      <c r="I2305">
        <f>VLOOKUP(C2305,[1]products!$A:$D,4,FALSE)</f>
        <v>3</v>
      </c>
      <c r="J2305" t="str">
        <f>VLOOKUP(I2305,[2]categories!$A$1:$B$8,2,FALSE)</f>
        <v>Cruisers Bicycles</v>
      </c>
    </row>
    <row r="2306" customHeight="1" spans="1:10">
      <c r="A2306" s="1">
        <v>809</v>
      </c>
      <c r="B2306" s="1">
        <v>2</v>
      </c>
      <c r="C2306" s="1">
        <v>26</v>
      </c>
      <c r="D2306" s="1">
        <v>1</v>
      </c>
      <c r="E2306" s="1">
        <v>599.99</v>
      </c>
      <c r="F2306" s="1">
        <v>0.2</v>
      </c>
      <c r="G2306">
        <f t="shared" si="35"/>
        <v>599.79</v>
      </c>
      <c r="H2306" t="str">
        <f>VLOOKUP(C2306,[1]products!$A:$B,2,FALSE)</f>
        <v>Electra Townie Original 7D EQ - 2016</v>
      </c>
      <c r="I2306">
        <f>VLOOKUP(C2306,[1]products!$A:$D,4,FALSE)</f>
        <v>2</v>
      </c>
      <c r="J2306" t="str">
        <f>VLOOKUP(I2306,[2]categories!$A$1:$B$8,2,FALSE)</f>
        <v>Comfort Bicycles</v>
      </c>
    </row>
    <row r="2307" customHeight="1" spans="1:10">
      <c r="A2307" s="1">
        <v>809</v>
      </c>
      <c r="B2307" s="1">
        <v>3</v>
      </c>
      <c r="C2307" s="1">
        <v>92</v>
      </c>
      <c r="D2307" s="1">
        <v>2</v>
      </c>
      <c r="E2307" s="1">
        <v>209.99</v>
      </c>
      <c r="F2307" s="1">
        <v>0.1</v>
      </c>
      <c r="G2307">
        <f t="shared" ref="G2307:G2370" si="36">(E2307*D2307)-F2307</f>
        <v>419.88</v>
      </c>
      <c r="H2307" t="str">
        <f>VLOOKUP(C2307,[1]products!$A:$B,2,FALSE)</f>
        <v>Haro Shredder 20 - 2017</v>
      </c>
      <c r="I2307">
        <f>VLOOKUP(C2307,[1]products!$A:$D,4,FALSE)</f>
        <v>1</v>
      </c>
      <c r="J2307" t="str">
        <f>VLOOKUP(I2307,[2]categories!$A$1:$B$8,2,FALSE)</f>
        <v>Children Bicycles</v>
      </c>
    </row>
    <row r="2308" customHeight="1" spans="1:10">
      <c r="A2308" s="1">
        <v>810</v>
      </c>
      <c r="B2308" s="1">
        <v>1</v>
      </c>
      <c r="C2308" s="1">
        <v>103</v>
      </c>
      <c r="D2308" s="1">
        <v>2</v>
      </c>
      <c r="E2308" s="1">
        <v>551.99</v>
      </c>
      <c r="F2308" s="1">
        <v>0.05</v>
      </c>
      <c r="G2308">
        <f t="shared" si="36"/>
        <v>1103.93</v>
      </c>
      <c r="H2308" t="str">
        <f>VLOOKUP(C2308,[1]products!$A:$B,2,FALSE)</f>
        <v>Sun Bicycles Streamway 3 - 2017</v>
      </c>
      <c r="I2308">
        <f>VLOOKUP(C2308,[1]products!$A:$D,4,FALSE)</f>
        <v>2</v>
      </c>
      <c r="J2308" t="str">
        <f>VLOOKUP(I2308,[2]categories!$A$1:$B$8,2,FALSE)</f>
        <v>Comfort Bicycles</v>
      </c>
    </row>
    <row r="2309" customHeight="1" spans="1:10">
      <c r="A2309" s="1">
        <v>810</v>
      </c>
      <c r="B2309" s="1">
        <v>2</v>
      </c>
      <c r="C2309" s="1">
        <v>100</v>
      </c>
      <c r="D2309" s="1">
        <v>1</v>
      </c>
      <c r="E2309" s="1">
        <v>489.99</v>
      </c>
      <c r="F2309" s="1">
        <v>0.2</v>
      </c>
      <c r="G2309">
        <f t="shared" si="36"/>
        <v>489.79</v>
      </c>
      <c r="H2309" t="str">
        <f>VLOOKUP(C2309,[1]products!$A:$B,2,FALSE)</f>
        <v>Electra Townie 3i EQ (20-inch) - Boys' - 2017</v>
      </c>
      <c r="I2309">
        <f>VLOOKUP(C2309,[1]products!$A:$D,4,FALSE)</f>
        <v>1</v>
      </c>
      <c r="J2309" t="str">
        <f>VLOOKUP(I2309,[2]categories!$A$1:$B$8,2,FALSE)</f>
        <v>Children Bicycles</v>
      </c>
    </row>
    <row r="2310" customHeight="1" spans="1:10">
      <c r="A2310" s="1">
        <v>810</v>
      </c>
      <c r="B2310" s="1">
        <v>3</v>
      </c>
      <c r="C2310" s="1">
        <v>56</v>
      </c>
      <c r="D2310" s="1">
        <v>1</v>
      </c>
      <c r="E2310" s="1">
        <v>5499.99</v>
      </c>
      <c r="F2310" s="1">
        <v>0.05</v>
      </c>
      <c r="G2310">
        <f t="shared" si="36"/>
        <v>5499.94</v>
      </c>
      <c r="H2310" t="str">
        <f>VLOOKUP(C2310,[1]products!$A:$B,2,FALSE)</f>
        <v>Trek Domane SLR 6 Disc - 2017</v>
      </c>
      <c r="I2310">
        <f>VLOOKUP(C2310,[1]products!$A:$D,4,FALSE)</f>
        <v>7</v>
      </c>
      <c r="J2310" t="str">
        <f>VLOOKUP(I2310,[2]categories!$A$1:$B$8,2,FALSE)</f>
        <v>Road Bikes</v>
      </c>
    </row>
    <row r="2311" customHeight="1" spans="1:10">
      <c r="A2311" s="1">
        <v>810</v>
      </c>
      <c r="B2311" s="1">
        <v>4</v>
      </c>
      <c r="C2311" s="1">
        <v>22</v>
      </c>
      <c r="D2311" s="1">
        <v>1</v>
      </c>
      <c r="E2311" s="1">
        <v>269.99</v>
      </c>
      <c r="F2311" s="1">
        <v>0.2</v>
      </c>
      <c r="G2311">
        <f t="shared" si="36"/>
        <v>269.79</v>
      </c>
      <c r="H2311" t="str">
        <f>VLOOKUP(C2311,[1]products!$A:$B,2,FALSE)</f>
        <v>Electra Girl's Hawaii 1 (16-inch) - 2015/2016</v>
      </c>
      <c r="I2311">
        <f>VLOOKUP(C2311,[1]products!$A:$D,4,FALSE)</f>
        <v>1</v>
      </c>
      <c r="J2311" t="str">
        <f>VLOOKUP(I2311,[2]categories!$A$1:$B$8,2,FALSE)</f>
        <v>Children Bicycles</v>
      </c>
    </row>
    <row r="2312" customHeight="1" spans="1:10">
      <c r="A2312" s="1">
        <v>811</v>
      </c>
      <c r="B2312" s="1">
        <v>1</v>
      </c>
      <c r="C2312" s="1">
        <v>45</v>
      </c>
      <c r="D2312" s="1">
        <v>2</v>
      </c>
      <c r="E2312" s="1">
        <v>869.99</v>
      </c>
      <c r="F2312" s="1">
        <v>0.07</v>
      </c>
      <c r="G2312">
        <f t="shared" si="36"/>
        <v>1739.91</v>
      </c>
      <c r="H2312" t="str">
        <f>VLOOKUP(C2312,[1]products!$A:$B,2,FALSE)</f>
        <v>Haro SR 1.2 - 2017</v>
      </c>
      <c r="I2312">
        <f>VLOOKUP(C2312,[1]products!$A:$D,4,FALSE)</f>
        <v>6</v>
      </c>
      <c r="J2312" t="str">
        <f>VLOOKUP(I2312,[2]categories!$A$1:$B$8,2,FALSE)</f>
        <v>Mountain Bikes</v>
      </c>
    </row>
    <row r="2313" customHeight="1" spans="1:10">
      <c r="A2313" s="1">
        <v>811</v>
      </c>
      <c r="B2313" s="1">
        <v>2</v>
      </c>
      <c r="C2313" s="1">
        <v>54</v>
      </c>
      <c r="D2313" s="1">
        <v>1</v>
      </c>
      <c r="E2313" s="1">
        <v>3199.99</v>
      </c>
      <c r="F2313" s="1">
        <v>0.2</v>
      </c>
      <c r="G2313">
        <f t="shared" si="36"/>
        <v>3199.79</v>
      </c>
      <c r="H2313" t="str">
        <f>VLOOKUP(C2313,[1]products!$A:$B,2,FALSE)</f>
        <v>Trek Domane SL Disc Frameset - 2017</v>
      </c>
      <c r="I2313">
        <f>VLOOKUP(C2313,[1]products!$A:$D,4,FALSE)</f>
        <v>7</v>
      </c>
      <c r="J2313" t="str">
        <f>VLOOKUP(I2313,[2]categories!$A$1:$B$8,2,FALSE)</f>
        <v>Road Bikes</v>
      </c>
    </row>
    <row r="2314" customHeight="1" spans="1:10">
      <c r="A2314" s="1">
        <v>811</v>
      </c>
      <c r="B2314" s="1">
        <v>3</v>
      </c>
      <c r="C2314" s="1">
        <v>70</v>
      </c>
      <c r="D2314" s="1">
        <v>1</v>
      </c>
      <c r="E2314" s="1">
        <v>659.99</v>
      </c>
      <c r="F2314" s="1">
        <v>0.07</v>
      </c>
      <c r="G2314">
        <f t="shared" si="36"/>
        <v>659.92</v>
      </c>
      <c r="H2314" t="str">
        <f>VLOOKUP(C2314,[1]products!$A:$B,2,FALSE)</f>
        <v>Electra Amsterdam Original 3i - 2015/2017</v>
      </c>
      <c r="I2314">
        <f>VLOOKUP(C2314,[1]products!$A:$D,4,FALSE)</f>
        <v>3</v>
      </c>
      <c r="J2314" t="str">
        <f>VLOOKUP(I2314,[2]categories!$A$1:$B$8,2,FALSE)</f>
        <v>Cruisers Bicycles</v>
      </c>
    </row>
    <row r="2315" customHeight="1" spans="1:10">
      <c r="A2315" s="1">
        <v>811</v>
      </c>
      <c r="B2315" s="1">
        <v>4</v>
      </c>
      <c r="C2315" s="1">
        <v>66</v>
      </c>
      <c r="D2315" s="1">
        <v>1</v>
      </c>
      <c r="E2315" s="1">
        <v>250.99</v>
      </c>
      <c r="F2315" s="1">
        <v>0.1</v>
      </c>
      <c r="G2315">
        <f t="shared" si="36"/>
        <v>250.89</v>
      </c>
      <c r="H2315" t="str">
        <f>VLOOKUP(C2315,[1]products!$A:$B,2,FALSE)</f>
        <v>Sun Bicycles Revolutions 24 - 2017</v>
      </c>
      <c r="I2315">
        <f>VLOOKUP(C2315,[1]products!$A:$D,4,FALSE)</f>
        <v>3</v>
      </c>
      <c r="J2315" t="str">
        <f>VLOOKUP(I2315,[2]categories!$A$1:$B$8,2,FALSE)</f>
        <v>Cruisers Bicycles</v>
      </c>
    </row>
    <row r="2316" customHeight="1" spans="1:10">
      <c r="A2316" s="1">
        <v>812</v>
      </c>
      <c r="B2316" s="1">
        <v>1</v>
      </c>
      <c r="C2316" s="1">
        <v>76</v>
      </c>
      <c r="D2316" s="1">
        <v>2</v>
      </c>
      <c r="E2316" s="1">
        <v>299.99</v>
      </c>
      <c r="F2316" s="1">
        <v>0.1</v>
      </c>
      <c r="G2316">
        <f t="shared" si="36"/>
        <v>599.88</v>
      </c>
      <c r="H2316" t="str">
        <f>VLOOKUP(C2316,[1]products!$A:$B,2,FALSE)</f>
        <v>Electra Girl's Hawaii 1 16" - 2017</v>
      </c>
      <c r="I2316">
        <f>VLOOKUP(C2316,[1]products!$A:$D,4,FALSE)</f>
        <v>3</v>
      </c>
      <c r="J2316" t="str">
        <f>VLOOKUP(I2316,[2]categories!$A$1:$B$8,2,FALSE)</f>
        <v>Cruisers Bicycles</v>
      </c>
    </row>
    <row r="2317" customHeight="1" spans="1:10">
      <c r="A2317" s="1">
        <v>812</v>
      </c>
      <c r="B2317" s="1">
        <v>2</v>
      </c>
      <c r="C2317" s="1">
        <v>40</v>
      </c>
      <c r="D2317" s="1">
        <v>1</v>
      </c>
      <c r="E2317" s="1">
        <v>4999.99</v>
      </c>
      <c r="F2317" s="1">
        <v>0.2</v>
      </c>
      <c r="G2317">
        <f t="shared" si="36"/>
        <v>4999.79</v>
      </c>
      <c r="H2317" t="str">
        <f>VLOOKUP(C2317,[1]products!$A:$B,2,FALSE)</f>
        <v>Trek Fuel EX 9.8 29 - 2017</v>
      </c>
      <c r="I2317">
        <f>VLOOKUP(C2317,[1]products!$A:$D,4,FALSE)</f>
        <v>6</v>
      </c>
      <c r="J2317" t="str">
        <f>VLOOKUP(I2317,[2]categories!$A$1:$B$8,2,FALSE)</f>
        <v>Mountain Bikes</v>
      </c>
    </row>
    <row r="2318" customHeight="1" spans="1:10">
      <c r="A2318" s="1">
        <v>813</v>
      </c>
      <c r="B2318" s="1">
        <v>1</v>
      </c>
      <c r="C2318" s="1">
        <v>96</v>
      </c>
      <c r="D2318" s="1">
        <v>2</v>
      </c>
      <c r="E2318" s="1">
        <v>349.99</v>
      </c>
      <c r="F2318" s="1">
        <v>0.1</v>
      </c>
      <c r="G2318">
        <f t="shared" si="36"/>
        <v>699.88</v>
      </c>
      <c r="H2318" t="str">
        <f>VLOOKUP(C2318,[1]products!$A:$B,2,FALSE)</f>
        <v>Electra Moto 3i (20-inch) - Boy's - 2017</v>
      </c>
      <c r="I2318">
        <f>VLOOKUP(C2318,[1]products!$A:$D,4,FALSE)</f>
        <v>1</v>
      </c>
      <c r="J2318" t="str">
        <f>VLOOKUP(I2318,[2]categories!$A$1:$B$8,2,FALSE)</f>
        <v>Children Bicycles</v>
      </c>
    </row>
    <row r="2319" customHeight="1" spans="1:10">
      <c r="A2319" s="1">
        <v>813</v>
      </c>
      <c r="B2319" s="1">
        <v>2</v>
      </c>
      <c r="C2319" s="1">
        <v>85</v>
      </c>
      <c r="D2319" s="1">
        <v>2</v>
      </c>
      <c r="E2319" s="1">
        <v>329.99</v>
      </c>
      <c r="F2319" s="1">
        <v>0.2</v>
      </c>
      <c r="G2319">
        <f t="shared" si="36"/>
        <v>659.78</v>
      </c>
      <c r="H2319" t="str">
        <f>VLOOKUP(C2319,[1]products!$A:$B,2,FALSE)</f>
        <v>Haro Downtown 16 - 2017</v>
      </c>
      <c r="I2319">
        <f>VLOOKUP(C2319,[1]products!$A:$D,4,FALSE)</f>
        <v>1</v>
      </c>
      <c r="J2319" t="str">
        <f>VLOOKUP(I2319,[2]categories!$A$1:$B$8,2,FALSE)</f>
        <v>Children Bicycles</v>
      </c>
    </row>
    <row r="2320" customHeight="1" spans="1:10">
      <c r="A2320" s="1">
        <v>813</v>
      </c>
      <c r="B2320" s="1">
        <v>3</v>
      </c>
      <c r="C2320" s="1">
        <v>33</v>
      </c>
      <c r="D2320" s="1">
        <v>2</v>
      </c>
      <c r="E2320" s="1">
        <v>469.99</v>
      </c>
      <c r="F2320" s="1">
        <v>0.2</v>
      </c>
      <c r="G2320">
        <f t="shared" si="36"/>
        <v>939.78</v>
      </c>
      <c r="H2320" t="str">
        <f>VLOOKUP(C2320,[1]products!$A:$B,2,FALSE)</f>
        <v>Surly Wednesday Frameset - 2017</v>
      </c>
      <c r="I2320">
        <f>VLOOKUP(C2320,[1]products!$A:$D,4,FALSE)</f>
        <v>6</v>
      </c>
      <c r="J2320" t="str">
        <f>VLOOKUP(I2320,[2]categories!$A$1:$B$8,2,FALSE)</f>
        <v>Mountain Bikes</v>
      </c>
    </row>
    <row r="2321" customHeight="1" spans="1:10">
      <c r="A2321" s="1">
        <v>813</v>
      </c>
      <c r="B2321" s="1">
        <v>4</v>
      </c>
      <c r="C2321" s="1">
        <v>26</v>
      </c>
      <c r="D2321" s="1">
        <v>2</v>
      </c>
      <c r="E2321" s="1">
        <v>599.99</v>
      </c>
      <c r="F2321" s="1">
        <v>0.07</v>
      </c>
      <c r="G2321">
        <f t="shared" si="36"/>
        <v>1199.91</v>
      </c>
      <c r="H2321" t="str">
        <f>VLOOKUP(C2321,[1]products!$A:$B,2,FALSE)</f>
        <v>Electra Townie Original 7D EQ - 2016</v>
      </c>
      <c r="I2321">
        <f>VLOOKUP(C2321,[1]products!$A:$D,4,FALSE)</f>
        <v>2</v>
      </c>
      <c r="J2321" t="str">
        <f>VLOOKUP(I2321,[2]categories!$A$1:$B$8,2,FALSE)</f>
        <v>Comfort Bicycles</v>
      </c>
    </row>
    <row r="2322" customHeight="1" spans="1:10">
      <c r="A2322" s="1">
        <v>813</v>
      </c>
      <c r="B2322" s="1">
        <v>5</v>
      </c>
      <c r="C2322" s="1">
        <v>71</v>
      </c>
      <c r="D2322" s="1">
        <v>2</v>
      </c>
      <c r="E2322" s="1">
        <v>416.99</v>
      </c>
      <c r="F2322" s="1">
        <v>0.05</v>
      </c>
      <c r="G2322">
        <f t="shared" si="36"/>
        <v>833.93</v>
      </c>
      <c r="H2322" t="str">
        <f>VLOOKUP(C2322,[1]products!$A:$B,2,FALSE)</f>
        <v>Sun Bicycles Atlas X-Type - 2017</v>
      </c>
      <c r="I2322">
        <f>VLOOKUP(C2322,[1]products!$A:$D,4,FALSE)</f>
        <v>3</v>
      </c>
      <c r="J2322" t="str">
        <f>VLOOKUP(I2322,[2]categories!$A$1:$B$8,2,FALSE)</f>
        <v>Cruisers Bicycles</v>
      </c>
    </row>
    <row r="2323" customHeight="1" spans="1:10">
      <c r="A2323" s="1">
        <v>814</v>
      </c>
      <c r="B2323" s="1">
        <v>1</v>
      </c>
      <c r="C2323" s="1">
        <v>69</v>
      </c>
      <c r="D2323" s="1">
        <v>2</v>
      </c>
      <c r="E2323" s="1">
        <v>416.99</v>
      </c>
      <c r="F2323" s="1">
        <v>0.1</v>
      </c>
      <c r="G2323">
        <f t="shared" si="36"/>
        <v>833.88</v>
      </c>
      <c r="H2323" t="str">
        <f>VLOOKUP(C2323,[1]products!$A:$B,2,FALSE)</f>
        <v>Sun Bicycles Cruz 7 - 2017</v>
      </c>
      <c r="I2323">
        <f>VLOOKUP(C2323,[1]products!$A:$D,4,FALSE)</f>
        <v>3</v>
      </c>
      <c r="J2323" t="str">
        <f>VLOOKUP(I2323,[2]categories!$A$1:$B$8,2,FALSE)</f>
        <v>Cruisers Bicycles</v>
      </c>
    </row>
    <row r="2324" customHeight="1" spans="1:10">
      <c r="A2324" s="1">
        <v>814</v>
      </c>
      <c r="B2324" s="1">
        <v>2</v>
      </c>
      <c r="C2324" s="1">
        <v>100</v>
      </c>
      <c r="D2324" s="1">
        <v>1</v>
      </c>
      <c r="E2324" s="1">
        <v>489.99</v>
      </c>
      <c r="F2324" s="1">
        <v>0.1</v>
      </c>
      <c r="G2324">
        <f t="shared" si="36"/>
        <v>489.89</v>
      </c>
      <c r="H2324" t="str">
        <f>VLOOKUP(C2324,[1]products!$A:$B,2,FALSE)</f>
        <v>Electra Townie 3i EQ (20-inch) - Boys' - 2017</v>
      </c>
      <c r="I2324">
        <f>VLOOKUP(C2324,[1]products!$A:$D,4,FALSE)</f>
        <v>1</v>
      </c>
      <c r="J2324" t="str">
        <f>VLOOKUP(I2324,[2]categories!$A$1:$B$8,2,FALSE)</f>
        <v>Children Bicycles</v>
      </c>
    </row>
    <row r="2325" customHeight="1" spans="1:10">
      <c r="A2325" s="1">
        <v>814</v>
      </c>
      <c r="B2325" s="1">
        <v>3</v>
      </c>
      <c r="C2325" s="1">
        <v>65</v>
      </c>
      <c r="D2325" s="1">
        <v>1</v>
      </c>
      <c r="E2325" s="1">
        <v>346.99</v>
      </c>
      <c r="F2325" s="1">
        <v>0.2</v>
      </c>
      <c r="G2325">
        <f t="shared" si="36"/>
        <v>346.79</v>
      </c>
      <c r="H2325" t="str">
        <f>VLOOKUP(C2325,[1]products!$A:$B,2,FALSE)</f>
        <v>Sun Bicycles Lil Bolt Type-R - 2017</v>
      </c>
      <c r="I2325">
        <f>VLOOKUP(C2325,[1]products!$A:$D,4,FALSE)</f>
        <v>3</v>
      </c>
      <c r="J2325" t="str">
        <f>VLOOKUP(I2325,[2]categories!$A$1:$B$8,2,FALSE)</f>
        <v>Cruisers Bicycles</v>
      </c>
    </row>
    <row r="2326" customHeight="1" spans="1:10">
      <c r="A2326" s="1">
        <v>814</v>
      </c>
      <c r="B2326" s="1">
        <v>4</v>
      </c>
      <c r="C2326" s="1">
        <v>83</v>
      </c>
      <c r="D2326" s="1">
        <v>2</v>
      </c>
      <c r="E2326" s="1">
        <v>149.99</v>
      </c>
      <c r="F2326" s="1">
        <v>0.05</v>
      </c>
      <c r="G2326">
        <f t="shared" si="36"/>
        <v>299.93</v>
      </c>
      <c r="H2326" t="str">
        <f>VLOOKUP(C2326,[1]products!$A:$B,2,FALSE)</f>
        <v>Trek Boy's Kickster - 2015/2017</v>
      </c>
      <c r="I2326">
        <f>VLOOKUP(C2326,[1]products!$A:$D,4,FALSE)</f>
        <v>1</v>
      </c>
      <c r="J2326" t="str">
        <f>VLOOKUP(I2326,[2]categories!$A$1:$B$8,2,FALSE)</f>
        <v>Children Bicycles</v>
      </c>
    </row>
    <row r="2327" customHeight="1" spans="1:10">
      <c r="A2327" s="1">
        <v>815</v>
      </c>
      <c r="B2327" s="1">
        <v>1</v>
      </c>
      <c r="C2327" s="1">
        <v>105</v>
      </c>
      <c r="D2327" s="1">
        <v>2</v>
      </c>
      <c r="E2327" s="1">
        <v>533.99</v>
      </c>
      <c r="F2327" s="1">
        <v>0.2</v>
      </c>
      <c r="G2327">
        <f t="shared" si="36"/>
        <v>1067.78</v>
      </c>
      <c r="H2327" t="str">
        <f>VLOOKUP(C2327,[1]products!$A:$B,2,FALSE)</f>
        <v>Sun Bicycles Streamway 7 - 2017</v>
      </c>
      <c r="I2327">
        <f>VLOOKUP(C2327,[1]products!$A:$D,4,FALSE)</f>
        <v>2</v>
      </c>
      <c r="J2327" t="str">
        <f>VLOOKUP(I2327,[2]categories!$A$1:$B$8,2,FALSE)</f>
        <v>Comfort Bicycles</v>
      </c>
    </row>
    <row r="2328" customHeight="1" spans="1:10">
      <c r="A2328" s="1">
        <v>815</v>
      </c>
      <c r="B2328" s="1">
        <v>2</v>
      </c>
      <c r="C2328" s="1">
        <v>102</v>
      </c>
      <c r="D2328" s="1">
        <v>2</v>
      </c>
      <c r="E2328" s="1">
        <v>489.99</v>
      </c>
      <c r="F2328" s="1">
        <v>0.2</v>
      </c>
      <c r="G2328">
        <f t="shared" si="36"/>
        <v>979.78</v>
      </c>
      <c r="H2328" t="str">
        <f>VLOOKUP(C2328,[1]products!$A:$B,2,FALSE)</f>
        <v>Electra Townie Original 7D - 2017</v>
      </c>
      <c r="I2328">
        <f>VLOOKUP(C2328,[1]products!$A:$D,4,FALSE)</f>
        <v>2</v>
      </c>
      <c r="J2328" t="str">
        <f>VLOOKUP(I2328,[2]categories!$A$1:$B$8,2,FALSE)</f>
        <v>Comfort Bicycles</v>
      </c>
    </row>
    <row r="2329" customHeight="1" spans="1:10">
      <c r="A2329" s="1">
        <v>815</v>
      </c>
      <c r="B2329" s="1">
        <v>3</v>
      </c>
      <c r="C2329" s="1">
        <v>87</v>
      </c>
      <c r="D2329" s="1">
        <v>2</v>
      </c>
      <c r="E2329" s="1">
        <v>189.99</v>
      </c>
      <c r="F2329" s="1">
        <v>0.1</v>
      </c>
      <c r="G2329">
        <f t="shared" si="36"/>
        <v>379.88</v>
      </c>
      <c r="H2329" t="str">
        <f>VLOOKUP(C2329,[1]products!$A:$B,2,FALSE)</f>
        <v>Trek Precaliber 12 Boys - 2017</v>
      </c>
      <c r="I2329">
        <f>VLOOKUP(C2329,[1]products!$A:$D,4,FALSE)</f>
        <v>1</v>
      </c>
      <c r="J2329" t="str">
        <f>VLOOKUP(I2329,[2]categories!$A$1:$B$8,2,FALSE)</f>
        <v>Children Bicycles</v>
      </c>
    </row>
    <row r="2330" customHeight="1" spans="1:10">
      <c r="A2330" s="1">
        <v>815</v>
      </c>
      <c r="B2330" s="1">
        <v>4</v>
      </c>
      <c r="C2330" s="1">
        <v>23</v>
      </c>
      <c r="D2330" s="1">
        <v>1</v>
      </c>
      <c r="E2330" s="1">
        <v>299.99</v>
      </c>
      <c r="F2330" s="1">
        <v>0.07</v>
      </c>
      <c r="G2330">
        <f t="shared" si="36"/>
        <v>299.92</v>
      </c>
      <c r="H2330" t="str">
        <f>VLOOKUP(C2330,[1]products!$A:$B,2,FALSE)</f>
        <v>Electra Girl's Hawaii 1 (20-inch) - 2015/2016</v>
      </c>
      <c r="I2330">
        <f>VLOOKUP(C2330,[1]products!$A:$D,4,FALSE)</f>
        <v>1</v>
      </c>
      <c r="J2330" t="str">
        <f>VLOOKUP(I2330,[2]categories!$A$1:$B$8,2,FALSE)</f>
        <v>Children Bicycles</v>
      </c>
    </row>
    <row r="2331" customHeight="1" spans="1:10">
      <c r="A2331" s="1">
        <v>816</v>
      </c>
      <c r="B2331" s="1">
        <v>1</v>
      </c>
      <c r="C2331" s="1">
        <v>75</v>
      </c>
      <c r="D2331" s="1">
        <v>2</v>
      </c>
      <c r="E2331" s="1">
        <v>599.99</v>
      </c>
      <c r="F2331" s="1">
        <v>0.1</v>
      </c>
      <c r="G2331">
        <f t="shared" si="36"/>
        <v>1199.88</v>
      </c>
      <c r="H2331" t="str">
        <f>VLOOKUP(C2331,[1]products!$A:$B,2,FALSE)</f>
        <v>Electra Cruiser Lux Fat Tire 1 Ladies - 2017</v>
      </c>
      <c r="I2331">
        <f>VLOOKUP(C2331,[1]products!$A:$D,4,FALSE)</f>
        <v>3</v>
      </c>
      <c r="J2331" t="str">
        <f>VLOOKUP(I2331,[2]categories!$A$1:$B$8,2,FALSE)</f>
        <v>Cruisers Bicycles</v>
      </c>
    </row>
    <row r="2332" customHeight="1" spans="1:10">
      <c r="A2332" s="1">
        <v>816</v>
      </c>
      <c r="B2332" s="1">
        <v>2</v>
      </c>
      <c r="C2332" s="1">
        <v>64</v>
      </c>
      <c r="D2332" s="1">
        <v>2</v>
      </c>
      <c r="E2332" s="1">
        <v>489.99</v>
      </c>
      <c r="F2332" s="1">
        <v>0.2</v>
      </c>
      <c r="G2332">
        <f t="shared" si="36"/>
        <v>979.78</v>
      </c>
      <c r="H2332" t="str">
        <f>VLOOKUP(C2332,[1]products!$A:$B,2,FALSE)</f>
        <v>Electra Townie Original 7D - 2017</v>
      </c>
      <c r="I2332">
        <f>VLOOKUP(C2332,[1]products!$A:$D,4,FALSE)</f>
        <v>3</v>
      </c>
      <c r="J2332" t="str">
        <f>VLOOKUP(I2332,[2]categories!$A$1:$B$8,2,FALSE)</f>
        <v>Cruisers Bicycles</v>
      </c>
    </row>
    <row r="2333" customHeight="1" spans="1:10">
      <c r="A2333" s="1">
        <v>817</v>
      </c>
      <c r="B2333" s="1">
        <v>1</v>
      </c>
      <c r="C2333" s="1">
        <v>85</v>
      </c>
      <c r="D2333" s="1">
        <v>1</v>
      </c>
      <c r="E2333" s="1">
        <v>329.99</v>
      </c>
      <c r="F2333" s="1">
        <v>0.05</v>
      </c>
      <c r="G2333">
        <f t="shared" si="36"/>
        <v>329.94</v>
      </c>
      <c r="H2333" t="str">
        <f>VLOOKUP(C2333,[1]products!$A:$B,2,FALSE)</f>
        <v>Haro Downtown 16 - 2017</v>
      </c>
      <c r="I2333">
        <f>VLOOKUP(C2333,[1]products!$A:$D,4,FALSE)</f>
        <v>1</v>
      </c>
      <c r="J2333" t="str">
        <f>VLOOKUP(I2333,[2]categories!$A$1:$B$8,2,FALSE)</f>
        <v>Children Bicycles</v>
      </c>
    </row>
    <row r="2334" customHeight="1" spans="1:10">
      <c r="A2334" s="1">
        <v>817</v>
      </c>
      <c r="B2334" s="1">
        <v>2</v>
      </c>
      <c r="C2334" s="1">
        <v>105</v>
      </c>
      <c r="D2334" s="1">
        <v>2</v>
      </c>
      <c r="E2334" s="1">
        <v>533.99</v>
      </c>
      <c r="F2334" s="1">
        <v>0.07</v>
      </c>
      <c r="G2334">
        <f t="shared" si="36"/>
        <v>1067.91</v>
      </c>
      <c r="H2334" t="str">
        <f>VLOOKUP(C2334,[1]products!$A:$B,2,FALSE)</f>
        <v>Sun Bicycles Streamway 7 - 2017</v>
      </c>
      <c r="I2334">
        <f>VLOOKUP(C2334,[1]products!$A:$D,4,FALSE)</f>
        <v>2</v>
      </c>
      <c r="J2334" t="str">
        <f>VLOOKUP(I2334,[2]categories!$A$1:$B$8,2,FALSE)</f>
        <v>Comfort Bicycles</v>
      </c>
    </row>
    <row r="2335" customHeight="1" spans="1:10">
      <c r="A2335" s="1">
        <v>817</v>
      </c>
      <c r="B2335" s="1">
        <v>3</v>
      </c>
      <c r="C2335" s="1">
        <v>48</v>
      </c>
      <c r="D2335" s="1">
        <v>2</v>
      </c>
      <c r="E2335" s="1">
        <v>1499.99</v>
      </c>
      <c r="F2335" s="1">
        <v>0.05</v>
      </c>
      <c r="G2335">
        <f t="shared" si="36"/>
        <v>2999.93</v>
      </c>
      <c r="H2335" t="str">
        <f>VLOOKUP(C2335,[1]products!$A:$B,2,FALSE)</f>
        <v>Trek Emonda S 4 - 2017</v>
      </c>
      <c r="I2335">
        <f>VLOOKUP(C2335,[1]products!$A:$D,4,FALSE)</f>
        <v>7</v>
      </c>
      <c r="J2335" t="str">
        <f>VLOOKUP(I2335,[2]categories!$A$1:$B$8,2,FALSE)</f>
        <v>Road Bikes</v>
      </c>
    </row>
    <row r="2336" customHeight="1" spans="1:10">
      <c r="A2336" s="1">
        <v>818</v>
      </c>
      <c r="B2336" s="1">
        <v>1</v>
      </c>
      <c r="C2336" s="1">
        <v>103</v>
      </c>
      <c r="D2336" s="1">
        <v>1</v>
      </c>
      <c r="E2336" s="1">
        <v>551.99</v>
      </c>
      <c r="F2336" s="1">
        <v>0.05</v>
      </c>
      <c r="G2336">
        <f t="shared" si="36"/>
        <v>551.94</v>
      </c>
      <c r="H2336" t="str">
        <f>VLOOKUP(C2336,[1]products!$A:$B,2,FALSE)</f>
        <v>Sun Bicycles Streamway 3 - 2017</v>
      </c>
      <c r="I2336">
        <f>VLOOKUP(C2336,[1]products!$A:$D,4,FALSE)</f>
        <v>2</v>
      </c>
      <c r="J2336" t="str">
        <f>VLOOKUP(I2336,[2]categories!$A$1:$B$8,2,FALSE)</f>
        <v>Comfort Bicycles</v>
      </c>
    </row>
    <row r="2337" customHeight="1" spans="1:10">
      <c r="A2337" s="1">
        <v>818</v>
      </c>
      <c r="B2337" s="1">
        <v>2</v>
      </c>
      <c r="C2337" s="1">
        <v>44</v>
      </c>
      <c r="D2337" s="1">
        <v>2</v>
      </c>
      <c r="E2337" s="1">
        <v>539.99</v>
      </c>
      <c r="F2337" s="1">
        <v>0.07</v>
      </c>
      <c r="G2337">
        <f t="shared" si="36"/>
        <v>1079.91</v>
      </c>
      <c r="H2337" t="str">
        <f>VLOOKUP(C2337,[1]products!$A:$B,2,FALSE)</f>
        <v>Haro SR 1.1 - 2017</v>
      </c>
      <c r="I2337">
        <f>VLOOKUP(C2337,[1]products!$A:$D,4,FALSE)</f>
        <v>6</v>
      </c>
      <c r="J2337" t="str">
        <f>VLOOKUP(I2337,[2]categories!$A$1:$B$8,2,FALSE)</f>
        <v>Mountain Bikes</v>
      </c>
    </row>
    <row r="2338" customHeight="1" spans="1:10">
      <c r="A2338" s="1">
        <v>818</v>
      </c>
      <c r="B2338" s="1">
        <v>3</v>
      </c>
      <c r="C2338" s="1">
        <v>19</v>
      </c>
      <c r="D2338" s="1">
        <v>2</v>
      </c>
      <c r="E2338" s="1">
        <v>449</v>
      </c>
      <c r="F2338" s="1">
        <v>0.05</v>
      </c>
      <c r="G2338">
        <f t="shared" si="36"/>
        <v>897.95</v>
      </c>
      <c r="H2338" t="str">
        <f>VLOOKUP(C2338,[1]products!$A:$B,2,FALSE)</f>
        <v>Pure Cycles William 3-Speed - 2016</v>
      </c>
      <c r="I2338">
        <f>VLOOKUP(C2338,[1]products!$A:$D,4,FALSE)</f>
        <v>3</v>
      </c>
      <c r="J2338" t="str">
        <f>VLOOKUP(I2338,[2]categories!$A$1:$B$8,2,FALSE)</f>
        <v>Cruisers Bicycles</v>
      </c>
    </row>
    <row r="2339" customHeight="1" spans="1:10">
      <c r="A2339" s="1">
        <v>818</v>
      </c>
      <c r="B2339" s="1">
        <v>4</v>
      </c>
      <c r="C2339" s="1">
        <v>48</v>
      </c>
      <c r="D2339" s="1">
        <v>2</v>
      </c>
      <c r="E2339" s="1">
        <v>1499.99</v>
      </c>
      <c r="F2339" s="1">
        <v>0.05</v>
      </c>
      <c r="G2339">
        <f t="shared" si="36"/>
        <v>2999.93</v>
      </c>
      <c r="H2339" t="str">
        <f>VLOOKUP(C2339,[1]products!$A:$B,2,FALSE)</f>
        <v>Trek Emonda S 4 - 2017</v>
      </c>
      <c r="I2339">
        <f>VLOOKUP(C2339,[1]products!$A:$D,4,FALSE)</f>
        <v>7</v>
      </c>
      <c r="J2339" t="str">
        <f>VLOOKUP(I2339,[2]categories!$A$1:$B$8,2,FALSE)</f>
        <v>Road Bikes</v>
      </c>
    </row>
    <row r="2340" customHeight="1" spans="1:10">
      <c r="A2340" s="1">
        <v>819</v>
      </c>
      <c r="B2340" s="1">
        <v>1</v>
      </c>
      <c r="C2340" s="1">
        <v>94</v>
      </c>
      <c r="D2340" s="1">
        <v>1</v>
      </c>
      <c r="E2340" s="1">
        <v>249.99</v>
      </c>
      <c r="F2340" s="1">
        <v>0.2</v>
      </c>
      <c r="G2340">
        <f t="shared" si="36"/>
        <v>249.79</v>
      </c>
      <c r="H2340" t="str">
        <f>VLOOKUP(C2340,[1]products!$A:$B,2,FALSE)</f>
        <v>Haro Shredder Pro 20 - 2017</v>
      </c>
      <c r="I2340">
        <f>VLOOKUP(C2340,[1]products!$A:$D,4,FALSE)</f>
        <v>1</v>
      </c>
      <c r="J2340" t="str">
        <f>VLOOKUP(I2340,[2]categories!$A$1:$B$8,2,FALSE)</f>
        <v>Children Bicycles</v>
      </c>
    </row>
    <row r="2341" customHeight="1" spans="1:10">
      <c r="A2341" s="1">
        <v>820</v>
      </c>
      <c r="B2341" s="1">
        <v>1</v>
      </c>
      <c r="C2341" s="1">
        <v>107</v>
      </c>
      <c r="D2341" s="1">
        <v>1</v>
      </c>
      <c r="E2341" s="1">
        <v>416.99</v>
      </c>
      <c r="F2341" s="1">
        <v>0.05</v>
      </c>
      <c r="G2341">
        <f t="shared" si="36"/>
        <v>416.94</v>
      </c>
      <c r="H2341" t="str">
        <f>VLOOKUP(C2341,[1]products!$A:$B,2,FALSE)</f>
        <v>Sun Bicycles Cruz 7 - 2017</v>
      </c>
      <c r="I2341">
        <f>VLOOKUP(C2341,[1]products!$A:$D,4,FALSE)</f>
        <v>2</v>
      </c>
      <c r="J2341" t="str">
        <f>VLOOKUP(I2341,[2]categories!$A$1:$B$8,2,FALSE)</f>
        <v>Comfort Bicycles</v>
      </c>
    </row>
    <row r="2342" customHeight="1" spans="1:10">
      <c r="A2342" s="1">
        <v>821</v>
      </c>
      <c r="B2342" s="1">
        <v>1</v>
      </c>
      <c r="C2342" s="1">
        <v>102</v>
      </c>
      <c r="D2342" s="1">
        <v>1</v>
      </c>
      <c r="E2342" s="1">
        <v>489.99</v>
      </c>
      <c r="F2342" s="1">
        <v>0.07</v>
      </c>
      <c r="G2342">
        <f t="shared" si="36"/>
        <v>489.92</v>
      </c>
      <c r="H2342" t="str">
        <f>VLOOKUP(C2342,[1]products!$A:$B,2,FALSE)</f>
        <v>Electra Townie Original 7D - 2017</v>
      </c>
      <c r="I2342">
        <f>VLOOKUP(C2342,[1]products!$A:$D,4,FALSE)</f>
        <v>2</v>
      </c>
      <c r="J2342" t="str">
        <f>VLOOKUP(I2342,[2]categories!$A$1:$B$8,2,FALSE)</f>
        <v>Comfort Bicycles</v>
      </c>
    </row>
    <row r="2343" customHeight="1" spans="1:10">
      <c r="A2343" s="1">
        <v>821</v>
      </c>
      <c r="B2343" s="1">
        <v>2</v>
      </c>
      <c r="C2343" s="1">
        <v>70</v>
      </c>
      <c r="D2343" s="1">
        <v>2</v>
      </c>
      <c r="E2343" s="1">
        <v>659.99</v>
      </c>
      <c r="F2343" s="1">
        <v>0.2</v>
      </c>
      <c r="G2343">
        <f t="shared" si="36"/>
        <v>1319.78</v>
      </c>
      <c r="H2343" t="str">
        <f>VLOOKUP(C2343,[1]products!$A:$B,2,FALSE)</f>
        <v>Electra Amsterdam Original 3i - 2015/2017</v>
      </c>
      <c r="I2343">
        <f>VLOOKUP(C2343,[1]products!$A:$D,4,FALSE)</f>
        <v>3</v>
      </c>
      <c r="J2343" t="str">
        <f>VLOOKUP(I2343,[2]categories!$A$1:$B$8,2,FALSE)</f>
        <v>Cruisers Bicycles</v>
      </c>
    </row>
    <row r="2344" customHeight="1" spans="1:10">
      <c r="A2344" s="1">
        <v>821</v>
      </c>
      <c r="B2344" s="1">
        <v>3</v>
      </c>
      <c r="C2344" s="1">
        <v>6</v>
      </c>
      <c r="D2344" s="1">
        <v>1</v>
      </c>
      <c r="E2344" s="1">
        <v>469.99</v>
      </c>
      <c r="F2344" s="1">
        <v>0.2</v>
      </c>
      <c r="G2344">
        <f t="shared" si="36"/>
        <v>469.79</v>
      </c>
      <c r="H2344" t="str">
        <f>VLOOKUP(C2344,[1]products!$A:$B,2,FALSE)</f>
        <v>Surly Ice Cream Truck Frameset - 2016</v>
      </c>
      <c r="I2344">
        <f>VLOOKUP(C2344,[1]products!$A:$D,4,FALSE)</f>
        <v>6</v>
      </c>
      <c r="J2344" t="str">
        <f>VLOOKUP(I2344,[2]categories!$A$1:$B$8,2,FALSE)</f>
        <v>Mountain Bikes</v>
      </c>
    </row>
    <row r="2345" customHeight="1" spans="1:10">
      <c r="A2345" s="1">
        <v>821</v>
      </c>
      <c r="B2345" s="1">
        <v>4</v>
      </c>
      <c r="C2345" s="1">
        <v>107</v>
      </c>
      <c r="D2345" s="1">
        <v>1</v>
      </c>
      <c r="E2345" s="1">
        <v>416.99</v>
      </c>
      <c r="F2345" s="1">
        <v>0.05</v>
      </c>
      <c r="G2345">
        <f t="shared" si="36"/>
        <v>416.94</v>
      </c>
      <c r="H2345" t="str">
        <f>VLOOKUP(C2345,[1]products!$A:$B,2,FALSE)</f>
        <v>Sun Bicycles Cruz 7 - 2017</v>
      </c>
      <c r="I2345">
        <f>VLOOKUP(C2345,[1]products!$A:$D,4,FALSE)</f>
        <v>2</v>
      </c>
      <c r="J2345" t="str">
        <f>VLOOKUP(I2345,[2]categories!$A$1:$B$8,2,FALSE)</f>
        <v>Comfort Bicycles</v>
      </c>
    </row>
    <row r="2346" customHeight="1" spans="1:10">
      <c r="A2346" s="1">
        <v>822</v>
      </c>
      <c r="B2346" s="1">
        <v>1</v>
      </c>
      <c r="C2346" s="1">
        <v>53</v>
      </c>
      <c r="D2346" s="1">
        <v>1</v>
      </c>
      <c r="E2346" s="1">
        <v>749.99</v>
      </c>
      <c r="F2346" s="1">
        <v>0.05</v>
      </c>
      <c r="G2346">
        <f t="shared" si="36"/>
        <v>749.94</v>
      </c>
      <c r="H2346" t="str">
        <f>VLOOKUP(C2346,[1]products!$A:$B,2,FALSE)</f>
        <v>Surly Ogre Frameset - 2017</v>
      </c>
      <c r="I2346">
        <f>VLOOKUP(C2346,[1]products!$A:$D,4,FALSE)</f>
        <v>7</v>
      </c>
      <c r="J2346" t="str">
        <f>VLOOKUP(I2346,[2]categories!$A$1:$B$8,2,FALSE)</f>
        <v>Road Bikes</v>
      </c>
    </row>
    <row r="2347" customHeight="1" spans="1:10">
      <c r="A2347" s="1">
        <v>822</v>
      </c>
      <c r="B2347" s="1">
        <v>2</v>
      </c>
      <c r="C2347" s="1">
        <v>72</v>
      </c>
      <c r="D2347" s="1">
        <v>1</v>
      </c>
      <c r="E2347" s="1">
        <v>619.99</v>
      </c>
      <c r="F2347" s="1">
        <v>0.2</v>
      </c>
      <c r="G2347">
        <f t="shared" si="36"/>
        <v>619.79</v>
      </c>
      <c r="H2347" t="str">
        <f>VLOOKUP(C2347,[1]products!$A:$B,2,FALSE)</f>
        <v>Sun Bicycles Biscayne Tandem 7 - 2017</v>
      </c>
      <c r="I2347">
        <f>VLOOKUP(C2347,[1]products!$A:$D,4,FALSE)</f>
        <v>3</v>
      </c>
      <c r="J2347" t="str">
        <f>VLOOKUP(I2347,[2]categories!$A$1:$B$8,2,FALSE)</f>
        <v>Cruisers Bicycles</v>
      </c>
    </row>
    <row r="2348" customHeight="1" spans="1:10">
      <c r="A2348" s="1">
        <v>823</v>
      </c>
      <c r="B2348" s="1">
        <v>1</v>
      </c>
      <c r="C2348" s="1">
        <v>56</v>
      </c>
      <c r="D2348" s="1">
        <v>2</v>
      </c>
      <c r="E2348" s="1">
        <v>5499.99</v>
      </c>
      <c r="F2348" s="1">
        <v>0.07</v>
      </c>
      <c r="G2348">
        <f t="shared" si="36"/>
        <v>10999.91</v>
      </c>
      <c r="H2348" t="str">
        <f>VLOOKUP(C2348,[1]products!$A:$B,2,FALSE)</f>
        <v>Trek Domane SLR 6 Disc - 2017</v>
      </c>
      <c r="I2348">
        <f>VLOOKUP(C2348,[1]products!$A:$D,4,FALSE)</f>
        <v>7</v>
      </c>
      <c r="J2348" t="str">
        <f>VLOOKUP(I2348,[2]categories!$A$1:$B$8,2,FALSE)</f>
        <v>Road Bikes</v>
      </c>
    </row>
    <row r="2349" customHeight="1" spans="1:10">
      <c r="A2349" s="1">
        <v>823</v>
      </c>
      <c r="B2349" s="1">
        <v>2</v>
      </c>
      <c r="C2349" s="1">
        <v>86</v>
      </c>
      <c r="D2349" s="1">
        <v>2</v>
      </c>
      <c r="E2349" s="1">
        <v>149.99</v>
      </c>
      <c r="F2349" s="1">
        <v>0.2</v>
      </c>
      <c r="G2349">
        <f t="shared" si="36"/>
        <v>299.78</v>
      </c>
      <c r="H2349" t="str">
        <f>VLOOKUP(C2349,[1]products!$A:$B,2,FALSE)</f>
        <v>Trek Girl's Kickster - 2017</v>
      </c>
      <c r="I2349">
        <f>VLOOKUP(C2349,[1]products!$A:$D,4,FALSE)</f>
        <v>1</v>
      </c>
      <c r="J2349" t="str">
        <f>VLOOKUP(I2349,[2]categories!$A$1:$B$8,2,FALSE)</f>
        <v>Children Bicycles</v>
      </c>
    </row>
    <row r="2350" customHeight="1" spans="1:10">
      <c r="A2350" s="1">
        <v>823</v>
      </c>
      <c r="B2350" s="1">
        <v>3</v>
      </c>
      <c r="C2350" s="1">
        <v>81</v>
      </c>
      <c r="D2350" s="1">
        <v>1</v>
      </c>
      <c r="E2350" s="1">
        <v>1099.99</v>
      </c>
      <c r="F2350" s="1">
        <v>0.2</v>
      </c>
      <c r="G2350">
        <f t="shared" si="36"/>
        <v>1099.79</v>
      </c>
      <c r="H2350" t="str">
        <f>VLOOKUP(C2350,[1]products!$A:$B,2,FALSE)</f>
        <v>Electra Amsterdam Fashion 7i Ladies' - 2017</v>
      </c>
      <c r="I2350">
        <f>VLOOKUP(C2350,[1]products!$A:$D,4,FALSE)</f>
        <v>3</v>
      </c>
      <c r="J2350" t="str">
        <f>VLOOKUP(I2350,[2]categories!$A$1:$B$8,2,FALSE)</f>
        <v>Cruisers Bicycles</v>
      </c>
    </row>
    <row r="2351" customHeight="1" spans="1:10">
      <c r="A2351" s="1">
        <v>824</v>
      </c>
      <c r="B2351" s="1">
        <v>1</v>
      </c>
      <c r="C2351" s="1">
        <v>92</v>
      </c>
      <c r="D2351" s="1">
        <v>2</v>
      </c>
      <c r="E2351" s="1">
        <v>209.99</v>
      </c>
      <c r="F2351" s="1">
        <v>0.1</v>
      </c>
      <c r="G2351">
        <f t="shared" si="36"/>
        <v>419.88</v>
      </c>
      <c r="H2351" t="str">
        <f>VLOOKUP(C2351,[1]products!$A:$B,2,FALSE)</f>
        <v>Haro Shredder 20 - 2017</v>
      </c>
      <c r="I2351">
        <f>VLOOKUP(C2351,[1]products!$A:$D,4,FALSE)</f>
        <v>1</v>
      </c>
      <c r="J2351" t="str">
        <f>VLOOKUP(I2351,[2]categories!$A$1:$B$8,2,FALSE)</f>
        <v>Children Bicycles</v>
      </c>
    </row>
    <row r="2352" customHeight="1" spans="1:10">
      <c r="A2352" s="1">
        <v>825</v>
      </c>
      <c r="B2352" s="1">
        <v>1</v>
      </c>
      <c r="C2352" s="1">
        <v>19</v>
      </c>
      <c r="D2352" s="1">
        <v>1</v>
      </c>
      <c r="E2352" s="1">
        <v>449</v>
      </c>
      <c r="F2352" s="1">
        <v>0.1</v>
      </c>
      <c r="G2352">
        <f t="shared" si="36"/>
        <v>448.9</v>
      </c>
      <c r="H2352" t="str">
        <f>VLOOKUP(C2352,[1]products!$A:$B,2,FALSE)</f>
        <v>Pure Cycles William 3-Speed - 2016</v>
      </c>
      <c r="I2352">
        <f>VLOOKUP(C2352,[1]products!$A:$D,4,FALSE)</f>
        <v>3</v>
      </c>
      <c r="J2352" t="str">
        <f>VLOOKUP(I2352,[2]categories!$A$1:$B$8,2,FALSE)</f>
        <v>Cruisers Bicycles</v>
      </c>
    </row>
    <row r="2353" customHeight="1" spans="1:10">
      <c r="A2353" s="1">
        <v>825</v>
      </c>
      <c r="B2353" s="1">
        <v>2</v>
      </c>
      <c r="C2353" s="1">
        <v>30</v>
      </c>
      <c r="D2353" s="1">
        <v>2</v>
      </c>
      <c r="E2353" s="1">
        <v>999.99</v>
      </c>
      <c r="F2353" s="1">
        <v>0.2</v>
      </c>
      <c r="G2353">
        <f t="shared" si="36"/>
        <v>1999.78</v>
      </c>
      <c r="H2353" t="str">
        <f>VLOOKUP(C2353,[1]products!$A:$B,2,FALSE)</f>
        <v>Surly Ice Cream Truck Frameset - 2017</v>
      </c>
      <c r="I2353">
        <f>VLOOKUP(C2353,[1]products!$A:$D,4,FALSE)</f>
        <v>6</v>
      </c>
      <c r="J2353" t="str">
        <f>VLOOKUP(I2353,[2]categories!$A$1:$B$8,2,FALSE)</f>
        <v>Mountain Bikes</v>
      </c>
    </row>
    <row r="2354" customHeight="1" spans="1:10">
      <c r="A2354" s="1">
        <v>826</v>
      </c>
      <c r="B2354" s="1">
        <v>1</v>
      </c>
      <c r="C2354" s="1">
        <v>45</v>
      </c>
      <c r="D2354" s="1">
        <v>2</v>
      </c>
      <c r="E2354" s="1">
        <v>869.99</v>
      </c>
      <c r="F2354" s="1">
        <v>0.2</v>
      </c>
      <c r="G2354">
        <f t="shared" si="36"/>
        <v>1739.78</v>
      </c>
      <c r="H2354" t="str">
        <f>VLOOKUP(C2354,[1]products!$A:$B,2,FALSE)</f>
        <v>Haro SR 1.2 - 2017</v>
      </c>
      <c r="I2354">
        <f>VLOOKUP(C2354,[1]products!$A:$D,4,FALSE)</f>
        <v>6</v>
      </c>
      <c r="J2354" t="str">
        <f>VLOOKUP(I2354,[2]categories!$A$1:$B$8,2,FALSE)</f>
        <v>Mountain Bikes</v>
      </c>
    </row>
    <row r="2355" customHeight="1" spans="1:10">
      <c r="A2355" s="1">
        <v>826</v>
      </c>
      <c r="B2355" s="1">
        <v>2</v>
      </c>
      <c r="C2355" s="1">
        <v>36</v>
      </c>
      <c r="D2355" s="1">
        <v>1</v>
      </c>
      <c r="E2355" s="1">
        <v>832.99</v>
      </c>
      <c r="F2355" s="1">
        <v>0.1</v>
      </c>
      <c r="G2355">
        <f t="shared" si="36"/>
        <v>832.89</v>
      </c>
      <c r="H2355" t="str">
        <f>VLOOKUP(C2355,[1]products!$A:$B,2,FALSE)</f>
        <v>Surly Troll Frameset - 2017</v>
      </c>
      <c r="I2355">
        <f>VLOOKUP(C2355,[1]products!$A:$D,4,FALSE)</f>
        <v>6</v>
      </c>
      <c r="J2355" t="str">
        <f>VLOOKUP(I2355,[2]categories!$A$1:$B$8,2,FALSE)</f>
        <v>Mountain Bikes</v>
      </c>
    </row>
    <row r="2356" customHeight="1" spans="1:10">
      <c r="A2356" s="1">
        <v>827</v>
      </c>
      <c r="B2356" s="1">
        <v>1</v>
      </c>
      <c r="C2356" s="1">
        <v>43</v>
      </c>
      <c r="D2356" s="1">
        <v>1</v>
      </c>
      <c r="E2356" s="1">
        <v>5299.99</v>
      </c>
      <c r="F2356" s="1">
        <v>0.05</v>
      </c>
      <c r="G2356">
        <f t="shared" si="36"/>
        <v>5299.94</v>
      </c>
      <c r="H2356" t="str">
        <f>VLOOKUP(C2356,[1]products!$A:$B,2,FALSE)</f>
        <v>Trek Fuel EX 9.8 27.5 Plus - 2017</v>
      </c>
      <c r="I2356">
        <f>VLOOKUP(C2356,[1]products!$A:$D,4,FALSE)</f>
        <v>6</v>
      </c>
      <c r="J2356" t="str">
        <f>VLOOKUP(I2356,[2]categories!$A$1:$B$8,2,FALSE)</f>
        <v>Mountain Bikes</v>
      </c>
    </row>
    <row r="2357" customHeight="1" spans="1:10">
      <c r="A2357" s="1">
        <v>827</v>
      </c>
      <c r="B2357" s="1">
        <v>2</v>
      </c>
      <c r="C2357" s="1">
        <v>41</v>
      </c>
      <c r="D2357" s="1">
        <v>1</v>
      </c>
      <c r="E2357" s="1">
        <v>1469.99</v>
      </c>
      <c r="F2357" s="1">
        <v>0.2</v>
      </c>
      <c r="G2357">
        <f t="shared" si="36"/>
        <v>1469.79</v>
      </c>
      <c r="H2357" t="str">
        <f>VLOOKUP(C2357,[1]products!$A:$B,2,FALSE)</f>
        <v>Haro Shift R3 - 2017</v>
      </c>
      <c r="I2357">
        <f>VLOOKUP(C2357,[1]products!$A:$D,4,FALSE)</f>
        <v>6</v>
      </c>
      <c r="J2357" t="str">
        <f>VLOOKUP(I2357,[2]categories!$A$1:$B$8,2,FALSE)</f>
        <v>Mountain Bikes</v>
      </c>
    </row>
    <row r="2358" customHeight="1" spans="1:10">
      <c r="A2358" s="1">
        <v>827</v>
      </c>
      <c r="B2358" s="1">
        <v>3</v>
      </c>
      <c r="C2358" s="1">
        <v>28</v>
      </c>
      <c r="D2358" s="1">
        <v>1</v>
      </c>
      <c r="E2358" s="1">
        <v>2499.99</v>
      </c>
      <c r="F2358" s="1">
        <v>0.2</v>
      </c>
      <c r="G2358">
        <f t="shared" si="36"/>
        <v>2499.79</v>
      </c>
      <c r="H2358" t="str">
        <f>VLOOKUP(C2358,[1]products!$A:$B,2,FALSE)</f>
        <v>Surly Karate Monkey 27.5+ Frameset - 2017</v>
      </c>
      <c r="I2358">
        <f>VLOOKUP(C2358,[1]products!$A:$D,4,FALSE)</f>
        <v>6</v>
      </c>
      <c r="J2358" t="str">
        <f>VLOOKUP(I2358,[2]categories!$A$1:$B$8,2,FALSE)</f>
        <v>Mountain Bikes</v>
      </c>
    </row>
    <row r="2359" customHeight="1" spans="1:10">
      <c r="A2359" s="1">
        <v>827</v>
      </c>
      <c r="B2359" s="1">
        <v>4</v>
      </c>
      <c r="C2359" s="1">
        <v>108</v>
      </c>
      <c r="D2359" s="1">
        <v>1</v>
      </c>
      <c r="E2359" s="1">
        <v>449.99</v>
      </c>
      <c r="F2359" s="1">
        <v>0.2</v>
      </c>
      <c r="G2359">
        <f t="shared" si="36"/>
        <v>449.79</v>
      </c>
      <c r="H2359" t="str">
        <f>VLOOKUP(C2359,[1]products!$A:$B,2,FALSE)</f>
        <v>Sun Bicycles Cruz 3 - Women's - 2017</v>
      </c>
      <c r="I2359">
        <f>VLOOKUP(C2359,[1]products!$A:$D,4,FALSE)</f>
        <v>2</v>
      </c>
      <c r="J2359" t="str">
        <f>VLOOKUP(I2359,[2]categories!$A$1:$B$8,2,FALSE)</f>
        <v>Comfort Bicycles</v>
      </c>
    </row>
    <row r="2360" customHeight="1" spans="1:10">
      <c r="A2360" s="1">
        <v>828</v>
      </c>
      <c r="B2360" s="1">
        <v>1</v>
      </c>
      <c r="C2360" s="1">
        <v>25</v>
      </c>
      <c r="D2360" s="1">
        <v>2</v>
      </c>
      <c r="E2360" s="1">
        <v>499.99</v>
      </c>
      <c r="F2360" s="1">
        <v>0.2</v>
      </c>
      <c r="G2360">
        <f t="shared" si="36"/>
        <v>999.78</v>
      </c>
      <c r="H2360" t="str">
        <f>VLOOKUP(C2360,[1]products!$A:$B,2,FALSE)</f>
        <v>Electra Townie Original 7D - 2015/2016</v>
      </c>
      <c r="I2360">
        <f>VLOOKUP(C2360,[1]products!$A:$D,4,FALSE)</f>
        <v>2</v>
      </c>
      <c r="J2360" t="str">
        <f>VLOOKUP(I2360,[2]categories!$A$1:$B$8,2,FALSE)</f>
        <v>Comfort Bicycles</v>
      </c>
    </row>
    <row r="2361" customHeight="1" spans="1:10">
      <c r="A2361" s="1">
        <v>828</v>
      </c>
      <c r="B2361" s="1">
        <v>2</v>
      </c>
      <c r="C2361" s="1">
        <v>24</v>
      </c>
      <c r="D2361" s="1">
        <v>1</v>
      </c>
      <c r="E2361" s="1">
        <v>549.99</v>
      </c>
      <c r="F2361" s="1">
        <v>0.2</v>
      </c>
      <c r="G2361">
        <f t="shared" si="36"/>
        <v>549.79</v>
      </c>
      <c r="H2361" t="str">
        <f>VLOOKUP(C2361,[1]products!$A:$B,2,FALSE)</f>
        <v>Electra Townie Original 21D - 2016</v>
      </c>
      <c r="I2361">
        <f>VLOOKUP(C2361,[1]products!$A:$D,4,FALSE)</f>
        <v>2</v>
      </c>
      <c r="J2361" t="str">
        <f>VLOOKUP(I2361,[2]categories!$A$1:$B$8,2,FALSE)</f>
        <v>Comfort Bicycles</v>
      </c>
    </row>
    <row r="2362" customHeight="1" spans="1:10">
      <c r="A2362" s="1">
        <v>828</v>
      </c>
      <c r="B2362" s="1">
        <v>3</v>
      </c>
      <c r="C2362" s="1">
        <v>55</v>
      </c>
      <c r="D2362" s="1">
        <v>2</v>
      </c>
      <c r="E2362" s="1">
        <v>2699.99</v>
      </c>
      <c r="F2362" s="1">
        <v>0.07</v>
      </c>
      <c r="G2362">
        <f t="shared" si="36"/>
        <v>5399.91</v>
      </c>
      <c r="H2362" t="str">
        <f>VLOOKUP(C2362,[1]products!$A:$B,2,FALSE)</f>
        <v>Trek Domane S 6 - 2017</v>
      </c>
      <c r="I2362">
        <f>VLOOKUP(C2362,[1]products!$A:$D,4,FALSE)</f>
        <v>7</v>
      </c>
      <c r="J2362" t="str">
        <f>VLOOKUP(I2362,[2]categories!$A$1:$B$8,2,FALSE)</f>
        <v>Road Bikes</v>
      </c>
    </row>
    <row r="2363" customHeight="1" spans="1:10">
      <c r="A2363" s="1">
        <v>829</v>
      </c>
      <c r="B2363" s="1">
        <v>1</v>
      </c>
      <c r="C2363" s="1">
        <v>103</v>
      </c>
      <c r="D2363" s="1">
        <v>1</v>
      </c>
      <c r="E2363" s="1">
        <v>551.99</v>
      </c>
      <c r="F2363" s="1">
        <v>0.2</v>
      </c>
      <c r="G2363">
        <f t="shared" si="36"/>
        <v>551.79</v>
      </c>
      <c r="H2363" t="str">
        <f>VLOOKUP(C2363,[1]products!$A:$B,2,FALSE)</f>
        <v>Sun Bicycles Streamway 3 - 2017</v>
      </c>
      <c r="I2363">
        <f>VLOOKUP(C2363,[1]products!$A:$D,4,FALSE)</f>
        <v>2</v>
      </c>
      <c r="J2363" t="str">
        <f>VLOOKUP(I2363,[2]categories!$A$1:$B$8,2,FALSE)</f>
        <v>Comfort Bicycles</v>
      </c>
    </row>
    <row r="2364" customHeight="1" spans="1:10">
      <c r="A2364" s="1">
        <v>829</v>
      </c>
      <c r="B2364" s="1">
        <v>2</v>
      </c>
      <c r="C2364" s="1">
        <v>105</v>
      </c>
      <c r="D2364" s="1">
        <v>2</v>
      </c>
      <c r="E2364" s="1">
        <v>533.99</v>
      </c>
      <c r="F2364" s="1">
        <v>0.1</v>
      </c>
      <c r="G2364">
        <f t="shared" si="36"/>
        <v>1067.88</v>
      </c>
      <c r="H2364" t="str">
        <f>VLOOKUP(C2364,[1]products!$A:$B,2,FALSE)</f>
        <v>Sun Bicycles Streamway 7 - 2017</v>
      </c>
      <c r="I2364">
        <f>VLOOKUP(C2364,[1]products!$A:$D,4,FALSE)</f>
        <v>2</v>
      </c>
      <c r="J2364" t="str">
        <f>VLOOKUP(I2364,[2]categories!$A$1:$B$8,2,FALSE)</f>
        <v>Comfort Bicycles</v>
      </c>
    </row>
    <row r="2365" customHeight="1" spans="1:10">
      <c r="A2365" s="1">
        <v>830</v>
      </c>
      <c r="B2365" s="1">
        <v>1</v>
      </c>
      <c r="C2365" s="1">
        <v>85</v>
      </c>
      <c r="D2365" s="1">
        <v>2</v>
      </c>
      <c r="E2365" s="1">
        <v>329.99</v>
      </c>
      <c r="F2365" s="1">
        <v>0.2</v>
      </c>
      <c r="G2365">
        <f t="shared" si="36"/>
        <v>659.78</v>
      </c>
      <c r="H2365" t="str">
        <f>VLOOKUP(C2365,[1]products!$A:$B,2,FALSE)</f>
        <v>Haro Downtown 16 - 2017</v>
      </c>
      <c r="I2365">
        <f>VLOOKUP(C2365,[1]products!$A:$D,4,FALSE)</f>
        <v>1</v>
      </c>
      <c r="J2365" t="str">
        <f>VLOOKUP(I2365,[2]categories!$A$1:$B$8,2,FALSE)</f>
        <v>Children Bicycles</v>
      </c>
    </row>
    <row r="2366" customHeight="1" spans="1:10">
      <c r="A2366" s="1">
        <v>830</v>
      </c>
      <c r="B2366" s="1">
        <v>2</v>
      </c>
      <c r="C2366" s="1">
        <v>100</v>
      </c>
      <c r="D2366" s="1">
        <v>2</v>
      </c>
      <c r="E2366" s="1">
        <v>489.99</v>
      </c>
      <c r="F2366" s="1">
        <v>0.07</v>
      </c>
      <c r="G2366">
        <f t="shared" si="36"/>
        <v>979.91</v>
      </c>
      <c r="H2366" t="str">
        <f>VLOOKUP(C2366,[1]products!$A:$B,2,FALSE)</f>
        <v>Electra Townie 3i EQ (20-inch) - Boys' - 2017</v>
      </c>
      <c r="I2366">
        <f>VLOOKUP(C2366,[1]products!$A:$D,4,FALSE)</f>
        <v>1</v>
      </c>
      <c r="J2366" t="str">
        <f>VLOOKUP(I2366,[2]categories!$A$1:$B$8,2,FALSE)</f>
        <v>Children Bicycles</v>
      </c>
    </row>
    <row r="2367" customHeight="1" spans="1:10">
      <c r="A2367" s="1">
        <v>830</v>
      </c>
      <c r="B2367" s="1">
        <v>3</v>
      </c>
      <c r="C2367" s="1">
        <v>96</v>
      </c>
      <c r="D2367" s="1">
        <v>2</v>
      </c>
      <c r="E2367" s="1">
        <v>349.99</v>
      </c>
      <c r="F2367" s="1">
        <v>0.2</v>
      </c>
      <c r="G2367">
        <f t="shared" si="36"/>
        <v>699.78</v>
      </c>
      <c r="H2367" t="str">
        <f>VLOOKUP(C2367,[1]products!$A:$B,2,FALSE)</f>
        <v>Electra Moto 3i (20-inch) - Boy's - 2017</v>
      </c>
      <c r="I2367">
        <f>VLOOKUP(C2367,[1]products!$A:$D,4,FALSE)</f>
        <v>1</v>
      </c>
      <c r="J2367" t="str">
        <f>VLOOKUP(I2367,[2]categories!$A$1:$B$8,2,FALSE)</f>
        <v>Children Bicycles</v>
      </c>
    </row>
    <row r="2368" customHeight="1" spans="1:10">
      <c r="A2368" s="1">
        <v>831</v>
      </c>
      <c r="B2368" s="1">
        <v>1</v>
      </c>
      <c r="C2368" s="1">
        <v>67</v>
      </c>
      <c r="D2368" s="1">
        <v>1</v>
      </c>
      <c r="E2368" s="1">
        <v>250.99</v>
      </c>
      <c r="F2368" s="1">
        <v>0.2</v>
      </c>
      <c r="G2368">
        <f t="shared" si="36"/>
        <v>250.79</v>
      </c>
      <c r="H2368" t="str">
        <f>VLOOKUP(C2368,[1]products!$A:$B,2,FALSE)</f>
        <v>Sun Bicycles Revolutions 24 - Girl's - 2017</v>
      </c>
      <c r="I2368">
        <f>VLOOKUP(C2368,[1]products!$A:$D,4,FALSE)</f>
        <v>3</v>
      </c>
      <c r="J2368" t="str">
        <f>VLOOKUP(I2368,[2]categories!$A$1:$B$8,2,FALSE)</f>
        <v>Cruisers Bicycles</v>
      </c>
    </row>
    <row r="2369" customHeight="1" spans="1:10">
      <c r="A2369" s="1">
        <v>831</v>
      </c>
      <c r="B2369" s="1">
        <v>2</v>
      </c>
      <c r="C2369" s="1">
        <v>11</v>
      </c>
      <c r="D2369" s="1">
        <v>1</v>
      </c>
      <c r="E2369" s="1">
        <v>1680.99</v>
      </c>
      <c r="F2369" s="1">
        <v>0.2</v>
      </c>
      <c r="G2369">
        <f t="shared" si="36"/>
        <v>1680.79</v>
      </c>
      <c r="H2369" t="str">
        <f>VLOOKUP(C2369,[1]products!$A:$B,2,FALSE)</f>
        <v>Surly Straggler 650b - 2016</v>
      </c>
      <c r="I2369">
        <f>VLOOKUP(C2369,[1]products!$A:$D,4,FALSE)</f>
        <v>4</v>
      </c>
      <c r="J2369" t="str">
        <f>VLOOKUP(I2369,[2]categories!$A$1:$B$8,2,FALSE)</f>
        <v>Cyclocross Bicycles</v>
      </c>
    </row>
    <row r="2370" customHeight="1" spans="1:10">
      <c r="A2370" s="1">
        <v>831</v>
      </c>
      <c r="B2370" s="1">
        <v>3</v>
      </c>
      <c r="C2370" s="1">
        <v>68</v>
      </c>
      <c r="D2370" s="1">
        <v>1</v>
      </c>
      <c r="E2370" s="1">
        <v>449.99</v>
      </c>
      <c r="F2370" s="1">
        <v>0.1</v>
      </c>
      <c r="G2370">
        <f t="shared" si="36"/>
        <v>449.89</v>
      </c>
      <c r="H2370" t="str">
        <f>VLOOKUP(C2370,[1]products!$A:$B,2,FALSE)</f>
        <v>Sun Bicycles Cruz 3 - 2017</v>
      </c>
      <c r="I2370">
        <f>VLOOKUP(C2370,[1]products!$A:$D,4,FALSE)</f>
        <v>3</v>
      </c>
      <c r="J2370" t="str">
        <f>VLOOKUP(I2370,[2]categories!$A$1:$B$8,2,FALSE)</f>
        <v>Cruisers Bicycles</v>
      </c>
    </row>
    <row r="2371" customHeight="1" spans="1:10">
      <c r="A2371" s="1">
        <v>832</v>
      </c>
      <c r="B2371" s="1">
        <v>1</v>
      </c>
      <c r="C2371" s="1">
        <v>54</v>
      </c>
      <c r="D2371" s="1">
        <v>1</v>
      </c>
      <c r="E2371" s="1">
        <v>3199.99</v>
      </c>
      <c r="F2371" s="1">
        <v>0.05</v>
      </c>
      <c r="G2371">
        <f t="shared" ref="G2371:G2434" si="37">(E2371*D2371)-F2371</f>
        <v>3199.94</v>
      </c>
      <c r="H2371" t="str">
        <f>VLOOKUP(C2371,[1]products!$A:$B,2,FALSE)</f>
        <v>Trek Domane SL Disc Frameset - 2017</v>
      </c>
      <c r="I2371">
        <f>VLOOKUP(C2371,[1]products!$A:$D,4,FALSE)</f>
        <v>7</v>
      </c>
      <c r="J2371" t="str">
        <f>VLOOKUP(I2371,[2]categories!$A$1:$B$8,2,FALSE)</f>
        <v>Road Bikes</v>
      </c>
    </row>
    <row r="2372" customHeight="1" spans="1:10">
      <c r="A2372" s="1">
        <v>832</v>
      </c>
      <c r="B2372" s="1">
        <v>2</v>
      </c>
      <c r="C2372" s="1">
        <v>45</v>
      </c>
      <c r="D2372" s="1">
        <v>1</v>
      </c>
      <c r="E2372" s="1">
        <v>869.99</v>
      </c>
      <c r="F2372" s="1">
        <v>0.2</v>
      </c>
      <c r="G2372">
        <f t="shared" si="37"/>
        <v>869.79</v>
      </c>
      <c r="H2372" t="str">
        <f>VLOOKUP(C2372,[1]products!$A:$B,2,FALSE)</f>
        <v>Haro SR 1.2 - 2017</v>
      </c>
      <c r="I2372">
        <f>VLOOKUP(C2372,[1]products!$A:$D,4,FALSE)</f>
        <v>6</v>
      </c>
      <c r="J2372" t="str">
        <f>VLOOKUP(I2372,[2]categories!$A$1:$B$8,2,FALSE)</f>
        <v>Mountain Bikes</v>
      </c>
    </row>
    <row r="2373" customHeight="1" spans="1:10">
      <c r="A2373" s="1">
        <v>832</v>
      </c>
      <c r="B2373" s="1">
        <v>3</v>
      </c>
      <c r="C2373" s="1">
        <v>27</v>
      </c>
      <c r="D2373" s="1">
        <v>1</v>
      </c>
      <c r="E2373" s="1">
        <v>999.99</v>
      </c>
      <c r="F2373" s="1">
        <v>0.07</v>
      </c>
      <c r="G2373">
        <f t="shared" si="37"/>
        <v>999.92</v>
      </c>
      <c r="H2373" t="str">
        <f>VLOOKUP(C2373,[1]products!$A:$B,2,FALSE)</f>
        <v>Surly Big Dummy Frameset - 2017</v>
      </c>
      <c r="I2373">
        <f>VLOOKUP(C2373,[1]products!$A:$D,4,FALSE)</f>
        <v>6</v>
      </c>
      <c r="J2373" t="str">
        <f>VLOOKUP(I2373,[2]categories!$A$1:$B$8,2,FALSE)</f>
        <v>Mountain Bikes</v>
      </c>
    </row>
    <row r="2374" customHeight="1" spans="1:10">
      <c r="A2374" s="1">
        <v>832</v>
      </c>
      <c r="B2374" s="1">
        <v>4</v>
      </c>
      <c r="C2374" s="1">
        <v>16</v>
      </c>
      <c r="D2374" s="1">
        <v>2</v>
      </c>
      <c r="E2374" s="1">
        <v>599.99</v>
      </c>
      <c r="F2374" s="1">
        <v>0.1</v>
      </c>
      <c r="G2374">
        <f t="shared" si="37"/>
        <v>1199.88</v>
      </c>
      <c r="H2374" t="str">
        <f>VLOOKUP(C2374,[1]products!$A:$B,2,FALSE)</f>
        <v>Electra Townie Original 7D EQ - 2016</v>
      </c>
      <c r="I2374">
        <f>VLOOKUP(C2374,[1]products!$A:$D,4,FALSE)</f>
        <v>3</v>
      </c>
      <c r="J2374" t="str">
        <f>VLOOKUP(I2374,[2]categories!$A$1:$B$8,2,FALSE)</f>
        <v>Cruisers Bicycles</v>
      </c>
    </row>
    <row r="2375" customHeight="1" spans="1:10">
      <c r="A2375" s="1">
        <v>833</v>
      </c>
      <c r="B2375" s="1">
        <v>1</v>
      </c>
      <c r="C2375" s="1">
        <v>20</v>
      </c>
      <c r="D2375" s="1">
        <v>2</v>
      </c>
      <c r="E2375" s="1">
        <v>599.99</v>
      </c>
      <c r="F2375" s="1">
        <v>0.05</v>
      </c>
      <c r="G2375">
        <f t="shared" si="37"/>
        <v>1199.93</v>
      </c>
      <c r="H2375" t="str">
        <f>VLOOKUP(C2375,[1]products!$A:$B,2,FALSE)</f>
        <v>Electra Townie Original 7D EQ - Women's - 2016</v>
      </c>
      <c r="I2375">
        <f>VLOOKUP(C2375,[1]products!$A:$D,4,FALSE)</f>
        <v>3</v>
      </c>
      <c r="J2375" t="str">
        <f>VLOOKUP(I2375,[2]categories!$A$1:$B$8,2,FALSE)</f>
        <v>Cruisers Bicycles</v>
      </c>
    </row>
    <row r="2376" customHeight="1" spans="1:10">
      <c r="A2376" s="1">
        <v>834</v>
      </c>
      <c r="B2376" s="1">
        <v>1</v>
      </c>
      <c r="C2376" s="1">
        <v>54</v>
      </c>
      <c r="D2376" s="1">
        <v>1</v>
      </c>
      <c r="E2376" s="1">
        <v>3199.99</v>
      </c>
      <c r="F2376" s="1">
        <v>0.07</v>
      </c>
      <c r="G2376">
        <f t="shared" si="37"/>
        <v>3199.92</v>
      </c>
      <c r="H2376" t="str">
        <f>VLOOKUP(C2376,[1]products!$A:$B,2,FALSE)</f>
        <v>Trek Domane SL Disc Frameset - 2017</v>
      </c>
      <c r="I2376">
        <f>VLOOKUP(C2376,[1]products!$A:$D,4,FALSE)</f>
        <v>7</v>
      </c>
      <c r="J2376" t="str">
        <f>VLOOKUP(I2376,[2]categories!$A$1:$B$8,2,FALSE)</f>
        <v>Road Bikes</v>
      </c>
    </row>
    <row r="2377" customHeight="1" spans="1:10">
      <c r="A2377" s="1">
        <v>834</v>
      </c>
      <c r="B2377" s="1">
        <v>2</v>
      </c>
      <c r="C2377" s="1">
        <v>21</v>
      </c>
      <c r="D2377" s="1">
        <v>1</v>
      </c>
      <c r="E2377" s="1">
        <v>269.99</v>
      </c>
      <c r="F2377" s="1">
        <v>0.05</v>
      </c>
      <c r="G2377">
        <f t="shared" si="37"/>
        <v>269.94</v>
      </c>
      <c r="H2377" t="str">
        <f>VLOOKUP(C2377,[1]products!$A:$B,2,FALSE)</f>
        <v>Electra Cruiser 1 (24-Inch) - 2016</v>
      </c>
      <c r="I2377">
        <f>VLOOKUP(C2377,[1]products!$A:$D,4,FALSE)</f>
        <v>1</v>
      </c>
      <c r="J2377" t="str">
        <f>VLOOKUP(I2377,[2]categories!$A$1:$B$8,2,FALSE)</f>
        <v>Children Bicycles</v>
      </c>
    </row>
    <row r="2378" customHeight="1" spans="1:10">
      <c r="A2378" s="1">
        <v>834</v>
      </c>
      <c r="B2378" s="1">
        <v>3</v>
      </c>
      <c r="C2378" s="1">
        <v>78</v>
      </c>
      <c r="D2378" s="1">
        <v>1</v>
      </c>
      <c r="E2378" s="1">
        <v>647.99</v>
      </c>
      <c r="F2378" s="1">
        <v>0.2</v>
      </c>
      <c r="G2378">
        <f t="shared" si="37"/>
        <v>647.79</v>
      </c>
      <c r="H2378" t="str">
        <f>VLOOKUP(C2378,[1]products!$A:$B,2,FALSE)</f>
        <v>Sun Bicycles Biscayne Tandem CB - 2017</v>
      </c>
      <c r="I2378">
        <f>VLOOKUP(C2378,[1]products!$A:$D,4,FALSE)</f>
        <v>3</v>
      </c>
      <c r="J2378" t="str">
        <f>VLOOKUP(I2378,[2]categories!$A$1:$B$8,2,FALSE)</f>
        <v>Cruisers Bicycles</v>
      </c>
    </row>
    <row r="2379" customHeight="1" spans="1:10">
      <c r="A2379" s="1">
        <v>835</v>
      </c>
      <c r="B2379" s="1">
        <v>1</v>
      </c>
      <c r="C2379" s="1">
        <v>65</v>
      </c>
      <c r="D2379" s="1">
        <v>2</v>
      </c>
      <c r="E2379" s="1">
        <v>346.99</v>
      </c>
      <c r="F2379" s="1">
        <v>0.07</v>
      </c>
      <c r="G2379">
        <f t="shared" si="37"/>
        <v>693.91</v>
      </c>
      <c r="H2379" t="str">
        <f>VLOOKUP(C2379,[1]products!$A:$B,2,FALSE)</f>
        <v>Sun Bicycles Lil Bolt Type-R - 2017</v>
      </c>
      <c r="I2379">
        <f>VLOOKUP(C2379,[1]products!$A:$D,4,FALSE)</f>
        <v>3</v>
      </c>
      <c r="J2379" t="str">
        <f>VLOOKUP(I2379,[2]categories!$A$1:$B$8,2,FALSE)</f>
        <v>Cruisers Bicycles</v>
      </c>
    </row>
    <row r="2380" customHeight="1" spans="1:10">
      <c r="A2380" s="1">
        <v>835</v>
      </c>
      <c r="B2380" s="1">
        <v>2</v>
      </c>
      <c r="C2380" s="1">
        <v>82</v>
      </c>
      <c r="D2380" s="1">
        <v>1</v>
      </c>
      <c r="E2380" s="1">
        <v>659.99</v>
      </c>
      <c r="F2380" s="1">
        <v>0.2</v>
      </c>
      <c r="G2380">
        <f t="shared" si="37"/>
        <v>659.79</v>
      </c>
      <c r="H2380" t="str">
        <f>VLOOKUP(C2380,[1]products!$A:$B,2,FALSE)</f>
        <v>Electra Amsterdam Original 3i Ladies' - 2017</v>
      </c>
      <c r="I2380">
        <f>VLOOKUP(C2380,[1]products!$A:$D,4,FALSE)</f>
        <v>3</v>
      </c>
      <c r="J2380" t="str">
        <f>VLOOKUP(I2380,[2]categories!$A$1:$B$8,2,FALSE)</f>
        <v>Cruisers Bicycles</v>
      </c>
    </row>
    <row r="2381" customHeight="1" spans="1:10">
      <c r="A2381" s="1">
        <v>835</v>
      </c>
      <c r="B2381" s="1">
        <v>3</v>
      </c>
      <c r="C2381" s="1">
        <v>2</v>
      </c>
      <c r="D2381" s="1">
        <v>1</v>
      </c>
      <c r="E2381" s="1">
        <v>749.99</v>
      </c>
      <c r="F2381" s="1">
        <v>0.05</v>
      </c>
      <c r="G2381">
        <f t="shared" si="37"/>
        <v>749.94</v>
      </c>
      <c r="H2381" t="str">
        <f>VLOOKUP(C2381,[1]products!$A:$B,2,FALSE)</f>
        <v>Ritchey Timberwolf Frameset - 2016</v>
      </c>
      <c r="I2381">
        <f>VLOOKUP(C2381,[1]products!$A:$D,4,FALSE)</f>
        <v>6</v>
      </c>
      <c r="J2381" t="str">
        <f>VLOOKUP(I2381,[2]categories!$A$1:$B$8,2,FALSE)</f>
        <v>Mountain Bikes</v>
      </c>
    </row>
    <row r="2382" customHeight="1" spans="1:10">
      <c r="A2382" s="1">
        <v>836</v>
      </c>
      <c r="B2382" s="1">
        <v>1</v>
      </c>
      <c r="C2382" s="1">
        <v>108</v>
      </c>
      <c r="D2382" s="1">
        <v>2</v>
      </c>
      <c r="E2382" s="1">
        <v>449.99</v>
      </c>
      <c r="F2382" s="1">
        <v>0.2</v>
      </c>
      <c r="G2382">
        <f t="shared" si="37"/>
        <v>899.78</v>
      </c>
      <c r="H2382" t="str">
        <f>VLOOKUP(C2382,[1]products!$A:$B,2,FALSE)</f>
        <v>Sun Bicycles Cruz 3 - Women's - 2017</v>
      </c>
      <c r="I2382">
        <f>VLOOKUP(C2382,[1]products!$A:$D,4,FALSE)</f>
        <v>2</v>
      </c>
      <c r="J2382" t="str">
        <f>VLOOKUP(I2382,[2]categories!$A$1:$B$8,2,FALSE)</f>
        <v>Comfort Bicycles</v>
      </c>
    </row>
    <row r="2383" customHeight="1" spans="1:10">
      <c r="A2383" s="1">
        <v>837</v>
      </c>
      <c r="B2383" s="1">
        <v>1</v>
      </c>
      <c r="C2383" s="1">
        <v>51</v>
      </c>
      <c r="D2383" s="1">
        <v>1</v>
      </c>
      <c r="E2383" s="1">
        <v>6499.99</v>
      </c>
      <c r="F2383" s="1">
        <v>0.05</v>
      </c>
      <c r="G2383">
        <f t="shared" si="37"/>
        <v>6499.94</v>
      </c>
      <c r="H2383" t="str">
        <f>VLOOKUP(C2383,[1]products!$A:$B,2,FALSE)</f>
        <v>Trek Silque SLR 8 Women's - 2017</v>
      </c>
      <c r="I2383">
        <f>VLOOKUP(C2383,[1]products!$A:$D,4,FALSE)</f>
        <v>7</v>
      </c>
      <c r="J2383" t="str">
        <f>VLOOKUP(I2383,[2]categories!$A$1:$B$8,2,FALSE)</f>
        <v>Road Bikes</v>
      </c>
    </row>
    <row r="2384" customHeight="1" spans="1:10">
      <c r="A2384" s="1">
        <v>837</v>
      </c>
      <c r="B2384" s="1">
        <v>2</v>
      </c>
      <c r="C2384" s="1">
        <v>97</v>
      </c>
      <c r="D2384" s="1">
        <v>1</v>
      </c>
      <c r="E2384" s="1">
        <v>349.99</v>
      </c>
      <c r="F2384" s="1">
        <v>0.1</v>
      </c>
      <c r="G2384">
        <f t="shared" si="37"/>
        <v>349.89</v>
      </c>
      <c r="H2384" t="str">
        <f>VLOOKUP(C2384,[1]products!$A:$B,2,FALSE)</f>
        <v>Electra Savannah 3i (20-inch) - Girl's - 2017</v>
      </c>
      <c r="I2384">
        <f>VLOOKUP(C2384,[1]products!$A:$D,4,FALSE)</f>
        <v>1</v>
      </c>
      <c r="J2384" t="str">
        <f>VLOOKUP(I2384,[2]categories!$A$1:$B$8,2,FALSE)</f>
        <v>Children Bicycles</v>
      </c>
    </row>
    <row r="2385" customHeight="1" spans="1:10">
      <c r="A2385" s="1">
        <v>837</v>
      </c>
      <c r="B2385" s="1">
        <v>3</v>
      </c>
      <c r="C2385" s="1">
        <v>87</v>
      </c>
      <c r="D2385" s="1">
        <v>2</v>
      </c>
      <c r="E2385" s="1">
        <v>189.99</v>
      </c>
      <c r="F2385" s="1">
        <v>0.2</v>
      </c>
      <c r="G2385">
        <f t="shared" si="37"/>
        <v>379.78</v>
      </c>
      <c r="H2385" t="str">
        <f>VLOOKUP(C2385,[1]products!$A:$B,2,FALSE)</f>
        <v>Trek Precaliber 12 Boys - 2017</v>
      </c>
      <c r="I2385">
        <f>VLOOKUP(C2385,[1]products!$A:$D,4,FALSE)</f>
        <v>1</v>
      </c>
      <c r="J2385" t="str">
        <f>VLOOKUP(I2385,[2]categories!$A$1:$B$8,2,FALSE)</f>
        <v>Children Bicycles</v>
      </c>
    </row>
    <row r="2386" customHeight="1" spans="1:10">
      <c r="A2386" s="1">
        <v>838</v>
      </c>
      <c r="B2386" s="1">
        <v>1</v>
      </c>
      <c r="C2386" s="1">
        <v>28</v>
      </c>
      <c r="D2386" s="1">
        <v>1</v>
      </c>
      <c r="E2386" s="1">
        <v>2499.99</v>
      </c>
      <c r="F2386" s="1">
        <v>0.1</v>
      </c>
      <c r="G2386">
        <f t="shared" si="37"/>
        <v>2499.89</v>
      </c>
      <c r="H2386" t="str">
        <f>VLOOKUP(C2386,[1]products!$A:$B,2,FALSE)</f>
        <v>Surly Karate Monkey 27.5+ Frameset - 2017</v>
      </c>
      <c r="I2386">
        <f>VLOOKUP(C2386,[1]products!$A:$D,4,FALSE)</f>
        <v>6</v>
      </c>
      <c r="J2386" t="str">
        <f>VLOOKUP(I2386,[2]categories!$A$1:$B$8,2,FALSE)</f>
        <v>Mountain Bikes</v>
      </c>
    </row>
    <row r="2387" customHeight="1" spans="1:10">
      <c r="A2387" s="1">
        <v>838</v>
      </c>
      <c r="B2387" s="1">
        <v>2</v>
      </c>
      <c r="C2387" s="1">
        <v>10</v>
      </c>
      <c r="D2387" s="1">
        <v>1</v>
      </c>
      <c r="E2387" s="1">
        <v>1549</v>
      </c>
      <c r="F2387" s="1">
        <v>0.1</v>
      </c>
      <c r="G2387">
        <f t="shared" si="37"/>
        <v>1548.9</v>
      </c>
      <c r="H2387" t="str">
        <f>VLOOKUP(C2387,[1]products!$A:$B,2,FALSE)</f>
        <v>Surly Straggler - 2016</v>
      </c>
      <c r="I2387">
        <f>VLOOKUP(C2387,[1]products!$A:$D,4,FALSE)</f>
        <v>4</v>
      </c>
      <c r="J2387" t="str">
        <f>VLOOKUP(I2387,[2]categories!$A$1:$B$8,2,FALSE)</f>
        <v>Cyclocross Bicycles</v>
      </c>
    </row>
    <row r="2388" customHeight="1" spans="1:10">
      <c r="A2388" s="1">
        <v>838</v>
      </c>
      <c r="B2388" s="1">
        <v>3</v>
      </c>
      <c r="C2388" s="1">
        <v>100</v>
      </c>
      <c r="D2388" s="1">
        <v>2</v>
      </c>
      <c r="E2388" s="1">
        <v>489.99</v>
      </c>
      <c r="F2388" s="1">
        <v>0.05</v>
      </c>
      <c r="G2388">
        <f t="shared" si="37"/>
        <v>979.93</v>
      </c>
      <c r="H2388" t="str">
        <f>VLOOKUP(C2388,[1]products!$A:$B,2,FALSE)</f>
        <v>Electra Townie 3i EQ (20-inch) - Boys' - 2017</v>
      </c>
      <c r="I2388">
        <f>VLOOKUP(C2388,[1]products!$A:$D,4,FALSE)</f>
        <v>1</v>
      </c>
      <c r="J2388" t="str">
        <f>VLOOKUP(I2388,[2]categories!$A$1:$B$8,2,FALSE)</f>
        <v>Children Bicycles</v>
      </c>
    </row>
    <row r="2389" customHeight="1" spans="1:10">
      <c r="A2389" s="1">
        <v>838</v>
      </c>
      <c r="B2389" s="1">
        <v>4</v>
      </c>
      <c r="C2389" s="1">
        <v>65</v>
      </c>
      <c r="D2389" s="1">
        <v>2</v>
      </c>
      <c r="E2389" s="1">
        <v>346.99</v>
      </c>
      <c r="F2389" s="1">
        <v>0.07</v>
      </c>
      <c r="G2389">
        <f t="shared" si="37"/>
        <v>693.91</v>
      </c>
      <c r="H2389" t="str">
        <f>VLOOKUP(C2389,[1]products!$A:$B,2,FALSE)</f>
        <v>Sun Bicycles Lil Bolt Type-R - 2017</v>
      </c>
      <c r="I2389">
        <f>VLOOKUP(C2389,[1]products!$A:$D,4,FALSE)</f>
        <v>3</v>
      </c>
      <c r="J2389" t="str">
        <f>VLOOKUP(I2389,[2]categories!$A$1:$B$8,2,FALSE)</f>
        <v>Cruisers Bicycles</v>
      </c>
    </row>
    <row r="2390" customHeight="1" spans="1:10">
      <c r="A2390" s="1">
        <v>839</v>
      </c>
      <c r="B2390" s="1">
        <v>1</v>
      </c>
      <c r="C2390" s="1">
        <v>55</v>
      </c>
      <c r="D2390" s="1">
        <v>1</v>
      </c>
      <c r="E2390" s="1">
        <v>2699.99</v>
      </c>
      <c r="F2390" s="1">
        <v>0.07</v>
      </c>
      <c r="G2390">
        <f t="shared" si="37"/>
        <v>2699.92</v>
      </c>
      <c r="H2390" t="str">
        <f>VLOOKUP(C2390,[1]products!$A:$B,2,FALSE)</f>
        <v>Trek Domane S 6 - 2017</v>
      </c>
      <c r="I2390">
        <f>VLOOKUP(C2390,[1]products!$A:$D,4,FALSE)</f>
        <v>7</v>
      </c>
      <c r="J2390" t="str">
        <f>VLOOKUP(I2390,[2]categories!$A$1:$B$8,2,FALSE)</f>
        <v>Road Bikes</v>
      </c>
    </row>
    <row r="2391" customHeight="1" spans="1:10">
      <c r="A2391" s="1">
        <v>839</v>
      </c>
      <c r="B2391" s="1">
        <v>2</v>
      </c>
      <c r="C2391" s="1">
        <v>85</v>
      </c>
      <c r="D2391" s="1">
        <v>1</v>
      </c>
      <c r="E2391" s="1">
        <v>329.99</v>
      </c>
      <c r="F2391" s="1">
        <v>0.1</v>
      </c>
      <c r="G2391">
        <f t="shared" si="37"/>
        <v>329.89</v>
      </c>
      <c r="H2391" t="str">
        <f>VLOOKUP(C2391,[1]products!$A:$B,2,FALSE)</f>
        <v>Haro Downtown 16 - 2017</v>
      </c>
      <c r="I2391">
        <f>VLOOKUP(C2391,[1]products!$A:$D,4,FALSE)</f>
        <v>1</v>
      </c>
      <c r="J2391" t="str">
        <f>VLOOKUP(I2391,[2]categories!$A$1:$B$8,2,FALSE)</f>
        <v>Children Bicycles</v>
      </c>
    </row>
    <row r="2392" customHeight="1" spans="1:10">
      <c r="A2392" s="1">
        <v>839</v>
      </c>
      <c r="B2392" s="1">
        <v>3</v>
      </c>
      <c r="C2392" s="1">
        <v>58</v>
      </c>
      <c r="D2392" s="1">
        <v>2</v>
      </c>
      <c r="E2392" s="1">
        <v>4999.99</v>
      </c>
      <c r="F2392" s="1">
        <v>0.05</v>
      </c>
      <c r="G2392">
        <f t="shared" si="37"/>
        <v>9999.93</v>
      </c>
      <c r="H2392" t="str">
        <f>VLOOKUP(C2392,[1]products!$A:$B,2,FALSE)</f>
        <v>Trek Madone 9.2 - 2017</v>
      </c>
      <c r="I2392">
        <f>VLOOKUP(C2392,[1]products!$A:$D,4,FALSE)</f>
        <v>7</v>
      </c>
      <c r="J2392" t="str">
        <f>VLOOKUP(I2392,[2]categories!$A$1:$B$8,2,FALSE)</f>
        <v>Road Bikes</v>
      </c>
    </row>
    <row r="2393" customHeight="1" spans="1:10">
      <c r="A2393" s="1">
        <v>840</v>
      </c>
      <c r="B2393" s="1">
        <v>1</v>
      </c>
      <c r="C2393" s="1">
        <v>27</v>
      </c>
      <c r="D2393" s="1">
        <v>1</v>
      </c>
      <c r="E2393" s="1">
        <v>999.99</v>
      </c>
      <c r="F2393" s="1">
        <v>0.07</v>
      </c>
      <c r="G2393">
        <f t="shared" si="37"/>
        <v>999.92</v>
      </c>
      <c r="H2393" t="str">
        <f>VLOOKUP(C2393,[1]products!$A:$B,2,FALSE)</f>
        <v>Surly Big Dummy Frameset - 2017</v>
      </c>
      <c r="I2393">
        <f>VLOOKUP(C2393,[1]products!$A:$D,4,FALSE)</f>
        <v>6</v>
      </c>
      <c r="J2393" t="str">
        <f>VLOOKUP(I2393,[2]categories!$A$1:$B$8,2,FALSE)</f>
        <v>Mountain Bikes</v>
      </c>
    </row>
    <row r="2394" customHeight="1" spans="1:10">
      <c r="A2394" s="1">
        <v>840</v>
      </c>
      <c r="B2394" s="1">
        <v>2</v>
      </c>
      <c r="C2394" s="1">
        <v>43</v>
      </c>
      <c r="D2394" s="1">
        <v>1</v>
      </c>
      <c r="E2394" s="1">
        <v>5299.99</v>
      </c>
      <c r="F2394" s="1">
        <v>0.07</v>
      </c>
      <c r="G2394">
        <f t="shared" si="37"/>
        <v>5299.92</v>
      </c>
      <c r="H2394" t="str">
        <f>VLOOKUP(C2394,[1]products!$A:$B,2,FALSE)</f>
        <v>Trek Fuel EX 9.8 27.5 Plus - 2017</v>
      </c>
      <c r="I2394">
        <f>VLOOKUP(C2394,[1]products!$A:$D,4,FALSE)</f>
        <v>6</v>
      </c>
      <c r="J2394" t="str">
        <f>VLOOKUP(I2394,[2]categories!$A$1:$B$8,2,FALSE)</f>
        <v>Mountain Bikes</v>
      </c>
    </row>
    <row r="2395" customHeight="1" spans="1:10">
      <c r="A2395" s="1">
        <v>840</v>
      </c>
      <c r="B2395" s="1">
        <v>3</v>
      </c>
      <c r="C2395" s="1">
        <v>106</v>
      </c>
      <c r="D2395" s="1">
        <v>2</v>
      </c>
      <c r="E2395" s="1">
        <v>449.99</v>
      </c>
      <c r="F2395" s="1">
        <v>0.2</v>
      </c>
      <c r="G2395">
        <f t="shared" si="37"/>
        <v>899.78</v>
      </c>
      <c r="H2395" t="str">
        <f>VLOOKUP(C2395,[1]products!$A:$B,2,FALSE)</f>
        <v>Sun Bicycles Cruz 3 - 2017</v>
      </c>
      <c r="I2395">
        <f>VLOOKUP(C2395,[1]products!$A:$D,4,FALSE)</f>
        <v>2</v>
      </c>
      <c r="J2395" t="str">
        <f>VLOOKUP(I2395,[2]categories!$A$1:$B$8,2,FALSE)</f>
        <v>Comfort Bicycles</v>
      </c>
    </row>
    <row r="2396" customHeight="1" spans="1:10">
      <c r="A2396" s="1">
        <v>841</v>
      </c>
      <c r="B2396" s="1">
        <v>1</v>
      </c>
      <c r="C2396" s="1">
        <v>22</v>
      </c>
      <c r="D2396" s="1">
        <v>2</v>
      </c>
      <c r="E2396" s="1">
        <v>269.99</v>
      </c>
      <c r="F2396" s="1">
        <v>0.1</v>
      </c>
      <c r="G2396">
        <f t="shared" si="37"/>
        <v>539.88</v>
      </c>
      <c r="H2396" t="str">
        <f>VLOOKUP(C2396,[1]products!$A:$B,2,FALSE)</f>
        <v>Electra Girl's Hawaii 1 (16-inch) - 2015/2016</v>
      </c>
      <c r="I2396">
        <f>VLOOKUP(C2396,[1]products!$A:$D,4,FALSE)</f>
        <v>1</v>
      </c>
      <c r="J2396" t="str">
        <f>VLOOKUP(I2396,[2]categories!$A$1:$B$8,2,FALSE)</f>
        <v>Children Bicycles</v>
      </c>
    </row>
    <row r="2397" customHeight="1" spans="1:10">
      <c r="A2397" s="1">
        <v>841</v>
      </c>
      <c r="B2397" s="1">
        <v>2</v>
      </c>
      <c r="C2397" s="1">
        <v>9</v>
      </c>
      <c r="D2397" s="1">
        <v>1</v>
      </c>
      <c r="E2397" s="1">
        <v>2999.99</v>
      </c>
      <c r="F2397" s="1">
        <v>0.2</v>
      </c>
      <c r="G2397">
        <f t="shared" si="37"/>
        <v>2999.79</v>
      </c>
      <c r="H2397" t="str">
        <f>VLOOKUP(C2397,[1]products!$A:$B,2,FALSE)</f>
        <v>Trek Conduit+ - 2016</v>
      </c>
      <c r="I2397">
        <f>VLOOKUP(C2397,[1]products!$A:$D,4,FALSE)</f>
        <v>5</v>
      </c>
      <c r="J2397" t="str">
        <f>VLOOKUP(I2397,[2]categories!$A$1:$B$8,2,FALSE)</f>
        <v>Electric Bikes</v>
      </c>
    </row>
    <row r="2398" customHeight="1" spans="1:10">
      <c r="A2398" s="1">
        <v>841</v>
      </c>
      <c r="B2398" s="1">
        <v>3</v>
      </c>
      <c r="C2398" s="1">
        <v>11</v>
      </c>
      <c r="D2398" s="1">
        <v>1</v>
      </c>
      <c r="E2398" s="1">
        <v>1680.99</v>
      </c>
      <c r="F2398" s="1">
        <v>0.2</v>
      </c>
      <c r="G2398">
        <f t="shared" si="37"/>
        <v>1680.79</v>
      </c>
      <c r="H2398" t="str">
        <f>VLOOKUP(C2398,[1]products!$A:$B,2,FALSE)</f>
        <v>Surly Straggler 650b - 2016</v>
      </c>
      <c r="I2398">
        <f>VLOOKUP(C2398,[1]products!$A:$D,4,FALSE)</f>
        <v>4</v>
      </c>
      <c r="J2398" t="str">
        <f>VLOOKUP(I2398,[2]categories!$A$1:$B$8,2,FALSE)</f>
        <v>Cyclocross Bicycles</v>
      </c>
    </row>
    <row r="2399" customHeight="1" spans="1:10">
      <c r="A2399" s="1">
        <v>841</v>
      </c>
      <c r="B2399" s="1">
        <v>4</v>
      </c>
      <c r="C2399" s="1">
        <v>90</v>
      </c>
      <c r="D2399" s="1">
        <v>2</v>
      </c>
      <c r="E2399" s="1">
        <v>209.99</v>
      </c>
      <c r="F2399" s="1">
        <v>0.07</v>
      </c>
      <c r="G2399">
        <f t="shared" si="37"/>
        <v>419.91</v>
      </c>
      <c r="H2399" t="str">
        <f>VLOOKUP(C2399,[1]products!$A:$B,2,FALSE)</f>
        <v>Trek Precaliber 16 Girls - 2017</v>
      </c>
      <c r="I2399">
        <f>VLOOKUP(C2399,[1]products!$A:$D,4,FALSE)</f>
        <v>1</v>
      </c>
      <c r="J2399" t="str">
        <f>VLOOKUP(I2399,[2]categories!$A$1:$B$8,2,FALSE)</f>
        <v>Children Bicycles</v>
      </c>
    </row>
    <row r="2400" customHeight="1" spans="1:10">
      <c r="A2400" s="1">
        <v>841</v>
      </c>
      <c r="B2400" s="1">
        <v>5</v>
      </c>
      <c r="C2400" s="1">
        <v>100</v>
      </c>
      <c r="D2400" s="1">
        <v>1</v>
      </c>
      <c r="E2400" s="1">
        <v>489.99</v>
      </c>
      <c r="F2400" s="1">
        <v>0.1</v>
      </c>
      <c r="G2400">
        <f t="shared" si="37"/>
        <v>489.89</v>
      </c>
      <c r="H2400" t="str">
        <f>VLOOKUP(C2400,[1]products!$A:$B,2,FALSE)</f>
        <v>Electra Townie 3i EQ (20-inch) - Boys' - 2017</v>
      </c>
      <c r="I2400">
        <f>VLOOKUP(C2400,[1]products!$A:$D,4,FALSE)</f>
        <v>1</v>
      </c>
      <c r="J2400" t="str">
        <f>VLOOKUP(I2400,[2]categories!$A$1:$B$8,2,FALSE)</f>
        <v>Children Bicycles</v>
      </c>
    </row>
    <row r="2401" customHeight="1" spans="1:10">
      <c r="A2401" s="1">
        <v>842</v>
      </c>
      <c r="B2401" s="1">
        <v>1</v>
      </c>
      <c r="C2401" s="1">
        <v>81</v>
      </c>
      <c r="D2401" s="1">
        <v>2</v>
      </c>
      <c r="E2401" s="1">
        <v>1099.99</v>
      </c>
      <c r="F2401" s="1">
        <v>0.07</v>
      </c>
      <c r="G2401">
        <f t="shared" si="37"/>
        <v>2199.91</v>
      </c>
      <c r="H2401" t="str">
        <f>VLOOKUP(C2401,[1]products!$A:$B,2,FALSE)</f>
        <v>Electra Amsterdam Fashion 7i Ladies' - 2017</v>
      </c>
      <c r="I2401">
        <f>VLOOKUP(C2401,[1]products!$A:$D,4,FALSE)</f>
        <v>3</v>
      </c>
      <c r="J2401" t="str">
        <f>VLOOKUP(I2401,[2]categories!$A$1:$B$8,2,FALSE)</f>
        <v>Cruisers Bicycles</v>
      </c>
    </row>
    <row r="2402" customHeight="1" spans="1:10">
      <c r="A2402" s="1">
        <v>842</v>
      </c>
      <c r="B2402" s="1">
        <v>2</v>
      </c>
      <c r="C2402" s="1">
        <v>42</v>
      </c>
      <c r="D2402" s="1">
        <v>1</v>
      </c>
      <c r="E2402" s="1">
        <v>2299.99</v>
      </c>
      <c r="F2402" s="1">
        <v>0.1</v>
      </c>
      <c r="G2402">
        <f t="shared" si="37"/>
        <v>2299.89</v>
      </c>
      <c r="H2402" t="str">
        <f>VLOOKUP(C2402,[1]products!$A:$B,2,FALSE)</f>
        <v>Trek Fuel EX 5 27.5 Plus - 2017</v>
      </c>
      <c r="I2402">
        <f>VLOOKUP(C2402,[1]products!$A:$D,4,FALSE)</f>
        <v>6</v>
      </c>
      <c r="J2402" t="str">
        <f>VLOOKUP(I2402,[2]categories!$A$1:$B$8,2,FALSE)</f>
        <v>Mountain Bikes</v>
      </c>
    </row>
    <row r="2403" customHeight="1" spans="1:10">
      <c r="A2403" s="1">
        <v>843</v>
      </c>
      <c r="B2403" s="1">
        <v>1</v>
      </c>
      <c r="C2403" s="1">
        <v>72</v>
      </c>
      <c r="D2403" s="1">
        <v>1</v>
      </c>
      <c r="E2403" s="1">
        <v>619.99</v>
      </c>
      <c r="F2403" s="1">
        <v>0.1</v>
      </c>
      <c r="G2403">
        <f t="shared" si="37"/>
        <v>619.89</v>
      </c>
      <c r="H2403" t="str">
        <f>VLOOKUP(C2403,[1]products!$A:$B,2,FALSE)</f>
        <v>Sun Bicycles Biscayne Tandem 7 - 2017</v>
      </c>
      <c r="I2403">
        <f>VLOOKUP(C2403,[1]products!$A:$D,4,FALSE)</f>
        <v>3</v>
      </c>
      <c r="J2403" t="str">
        <f>VLOOKUP(I2403,[2]categories!$A$1:$B$8,2,FALSE)</f>
        <v>Cruisers Bicycles</v>
      </c>
    </row>
    <row r="2404" customHeight="1" spans="1:10">
      <c r="A2404" s="1">
        <v>843</v>
      </c>
      <c r="B2404" s="1">
        <v>2</v>
      </c>
      <c r="C2404" s="1">
        <v>75</v>
      </c>
      <c r="D2404" s="1">
        <v>2</v>
      </c>
      <c r="E2404" s="1">
        <v>599.99</v>
      </c>
      <c r="F2404" s="1">
        <v>0.1</v>
      </c>
      <c r="G2404">
        <f t="shared" si="37"/>
        <v>1199.88</v>
      </c>
      <c r="H2404" t="str">
        <f>VLOOKUP(C2404,[1]products!$A:$B,2,FALSE)</f>
        <v>Electra Cruiser Lux Fat Tire 1 Ladies - 2017</v>
      </c>
      <c r="I2404">
        <f>VLOOKUP(C2404,[1]products!$A:$D,4,FALSE)</f>
        <v>3</v>
      </c>
      <c r="J2404" t="str">
        <f>VLOOKUP(I2404,[2]categories!$A$1:$B$8,2,FALSE)</f>
        <v>Cruisers Bicycles</v>
      </c>
    </row>
    <row r="2405" customHeight="1" spans="1:10">
      <c r="A2405" s="1">
        <v>843</v>
      </c>
      <c r="B2405" s="1">
        <v>3</v>
      </c>
      <c r="C2405" s="1">
        <v>81</v>
      </c>
      <c r="D2405" s="1">
        <v>1</v>
      </c>
      <c r="E2405" s="1">
        <v>1099.99</v>
      </c>
      <c r="F2405" s="1">
        <v>0.1</v>
      </c>
      <c r="G2405">
        <f t="shared" si="37"/>
        <v>1099.89</v>
      </c>
      <c r="H2405" t="str">
        <f>VLOOKUP(C2405,[1]products!$A:$B,2,FALSE)</f>
        <v>Electra Amsterdam Fashion 7i Ladies' - 2017</v>
      </c>
      <c r="I2405">
        <f>VLOOKUP(C2405,[1]products!$A:$D,4,FALSE)</f>
        <v>3</v>
      </c>
      <c r="J2405" t="str">
        <f>VLOOKUP(I2405,[2]categories!$A$1:$B$8,2,FALSE)</f>
        <v>Cruisers Bicycles</v>
      </c>
    </row>
    <row r="2406" customHeight="1" spans="1:10">
      <c r="A2406" s="1">
        <v>843</v>
      </c>
      <c r="B2406" s="1">
        <v>4</v>
      </c>
      <c r="C2406" s="1">
        <v>23</v>
      </c>
      <c r="D2406" s="1">
        <v>2</v>
      </c>
      <c r="E2406" s="1">
        <v>299.99</v>
      </c>
      <c r="F2406" s="1">
        <v>0.07</v>
      </c>
      <c r="G2406">
        <f t="shared" si="37"/>
        <v>599.91</v>
      </c>
      <c r="H2406" t="str">
        <f>VLOOKUP(C2406,[1]products!$A:$B,2,FALSE)</f>
        <v>Electra Girl's Hawaii 1 (20-inch) - 2015/2016</v>
      </c>
      <c r="I2406">
        <f>VLOOKUP(C2406,[1]products!$A:$D,4,FALSE)</f>
        <v>1</v>
      </c>
      <c r="J2406" t="str">
        <f>VLOOKUP(I2406,[2]categories!$A$1:$B$8,2,FALSE)</f>
        <v>Children Bicycles</v>
      </c>
    </row>
    <row r="2407" customHeight="1" spans="1:10">
      <c r="A2407" s="1">
        <v>844</v>
      </c>
      <c r="B2407" s="1">
        <v>1</v>
      </c>
      <c r="C2407" s="1">
        <v>79</v>
      </c>
      <c r="D2407" s="1">
        <v>2</v>
      </c>
      <c r="E2407" s="1">
        <v>402.99</v>
      </c>
      <c r="F2407" s="1">
        <v>0.07</v>
      </c>
      <c r="G2407">
        <f t="shared" si="37"/>
        <v>805.91</v>
      </c>
      <c r="H2407" t="str">
        <f>VLOOKUP(C2407,[1]products!$A:$B,2,FALSE)</f>
        <v>Sun Bicycles Boardwalk (24-inch Wheels) - 2017</v>
      </c>
      <c r="I2407">
        <f>VLOOKUP(C2407,[1]products!$A:$D,4,FALSE)</f>
        <v>3</v>
      </c>
      <c r="J2407" t="str">
        <f>VLOOKUP(I2407,[2]categories!$A$1:$B$8,2,FALSE)</f>
        <v>Cruisers Bicycles</v>
      </c>
    </row>
    <row r="2408" customHeight="1" spans="1:10">
      <c r="A2408" s="1">
        <v>844</v>
      </c>
      <c r="B2408" s="1">
        <v>2</v>
      </c>
      <c r="C2408" s="1">
        <v>12</v>
      </c>
      <c r="D2408" s="1">
        <v>1</v>
      </c>
      <c r="E2408" s="1">
        <v>549.99</v>
      </c>
      <c r="F2408" s="1">
        <v>0.1</v>
      </c>
      <c r="G2408">
        <f t="shared" si="37"/>
        <v>549.89</v>
      </c>
      <c r="H2408" t="str">
        <f>VLOOKUP(C2408,[1]products!$A:$B,2,FALSE)</f>
        <v>Electra Townie Original 21D - 2016</v>
      </c>
      <c r="I2408">
        <f>VLOOKUP(C2408,[1]products!$A:$D,4,FALSE)</f>
        <v>3</v>
      </c>
      <c r="J2408" t="str">
        <f>VLOOKUP(I2408,[2]categories!$A$1:$B$8,2,FALSE)</f>
        <v>Cruisers Bicycles</v>
      </c>
    </row>
    <row r="2409" customHeight="1" spans="1:10">
      <c r="A2409" s="1">
        <v>844</v>
      </c>
      <c r="B2409" s="1">
        <v>3</v>
      </c>
      <c r="C2409" s="1">
        <v>83</v>
      </c>
      <c r="D2409" s="1">
        <v>2</v>
      </c>
      <c r="E2409" s="1">
        <v>149.99</v>
      </c>
      <c r="F2409" s="1">
        <v>0.2</v>
      </c>
      <c r="G2409">
        <f t="shared" si="37"/>
        <v>299.78</v>
      </c>
      <c r="H2409" t="str">
        <f>VLOOKUP(C2409,[1]products!$A:$B,2,FALSE)</f>
        <v>Trek Boy's Kickster - 2015/2017</v>
      </c>
      <c r="I2409">
        <f>VLOOKUP(C2409,[1]products!$A:$D,4,FALSE)</f>
        <v>1</v>
      </c>
      <c r="J2409" t="str">
        <f>VLOOKUP(I2409,[2]categories!$A$1:$B$8,2,FALSE)</f>
        <v>Children Bicycles</v>
      </c>
    </row>
    <row r="2410" customHeight="1" spans="1:10">
      <c r="A2410" s="1">
        <v>844</v>
      </c>
      <c r="B2410" s="1">
        <v>4</v>
      </c>
      <c r="C2410" s="1">
        <v>48</v>
      </c>
      <c r="D2410" s="1">
        <v>1</v>
      </c>
      <c r="E2410" s="1">
        <v>1499.99</v>
      </c>
      <c r="F2410" s="1">
        <v>0.2</v>
      </c>
      <c r="G2410">
        <f t="shared" si="37"/>
        <v>1499.79</v>
      </c>
      <c r="H2410" t="str">
        <f>VLOOKUP(C2410,[1]products!$A:$B,2,FALSE)</f>
        <v>Trek Emonda S 4 - 2017</v>
      </c>
      <c r="I2410">
        <f>VLOOKUP(C2410,[1]products!$A:$D,4,FALSE)</f>
        <v>7</v>
      </c>
      <c r="J2410" t="str">
        <f>VLOOKUP(I2410,[2]categories!$A$1:$B$8,2,FALSE)</f>
        <v>Road Bikes</v>
      </c>
    </row>
    <row r="2411" customHeight="1" spans="1:10">
      <c r="A2411" s="1">
        <v>844</v>
      </c>
      <c r="B2411" s="1">
        <v>5</v>
      </c>
      <c r="C2411" s="1">
        <v>63</v>
      </c>
      <c r="D2411" s="1">
        <v>2</v>
      </c>
      <c r="E2411" s="1">
        <v>3499.99</v>
      </c>
      <c r="F2411" s="1">
        <v>0.05</v>
      </c>
      <c r="G2411">
        <f t="shared" si="37"/>
        <v>6999.93</v>
      </c>
      <c r="H2411" t="str">
        <f>VLOOKUP(C2411,[1]products!$A:$B,2,FALSE)</f>
        <v>Trek Boone Race Shop Limited - 2017</v>
      </c>
      <c r="I2411">
        <f>VLOOKUP(C2411,[1]products!$A:$D,4,FALSE)</f>
        <v>4</v>
      </c>
      <c r="J2411" t="str">
        <f>VLOOKUP(I2411,[2]categories!$A$1:$B$8,2,FALSE)</f>
        <v>Cyclocross Bicycles</v>
      </c>
    </row>
    <row r="2412" customHeight="1" spans="1:10">
      <c r="A2412" s="1">
        <v>845</v>
      </c>
      <c r="B2412" s="1">
        <v>1</v>
      </c>
      <c r="C2412" s="1">
        <v>16</v>
      </c>
      <c r="D2412" s="1">
        <v>2</v>
      </c>
      <c r="E2412" s="1">
        <v>599.99</v>
      </c>
      <c r="F2412" s="1">
        <v>0.2</v>
      </c>
      <c r="G2412">
        <f t="shared" si="37"/>
        <v>1199.78</v>
      </c>
      <c r="H2412" t="str">
        <f>VLOOKUP(C2412,[1]products!$A:$B,2,FALSE)</f>
        <v>Electra Townie Original 7D EQ - 2016</v>
      </c>
      <c r="I2412">
        <f>VLOOKUP(C2412,[1]products!$A:$D,4,FALSE)</f>
        <v>3</v>
      </c>
      <c r="J2412" t="str">
        <f>VLOOKUP(I2412,[2]categories!$A$1:$B$8,2,FALSE)</f>
        <v>Cruisers Bicycles</v>
      </c>
    </row>
    <row r="2413" customHeight="1" spans="1:10">
      <c r="A2413" s="1">
        <v>845</v>
      </c>
      <c r="B2413" s="1">
        <v>2</v>
      </c>
      <c r="C2413" s="1">
        <v>75</v>
      </c>
      <c r="D2413" s="1">
        <v>1</v>
      </c>
      <c r="E2413" s="1">
        <v>599.99</v>
      </c>
      <c r="F2413" s="1">
        <v>0.2</v>
      </c>
      <c r="G2413">
        <f t="shared" si="37"/>
        <v>599.79</v>
      </c>
      <c r="H2413" t="str">
        <f>VLOOKUP(C2413,[1]products!$A:$B,2,FALSE)</f>
        <v>Electra Cruiser Lux Fat Tire 1 Ladies - 2017</v>
      </c>
      <c r="I2413">
        <f>VLOOKUP(C2413,[1]products!$A:$D,4,FALSE)</f>
        <v>3</v>
      </c>
      <c r="J2413" t="str">
        <f>VLOOKUP(I2413,[2]categories!$A$1:$B$8,2,FALSE)</f>
        <v>Cruisers Bicycles</v>
      </c>
    </row>
    <row r="2414" customHeight="1" spans="1:10">
      <c r="A2414" s="1">
        <v>845</v>
      </c>
      <c r="B2414" s="1">
        <v>3</v>
      </c>
      <c r="C2414" s="1">
        <v>26</v>
      </c>
      <c r="D2414" s="1">
        <v>2</v>
      </c>
      <c r="E2414" s="1">
        <v>599.99</v>
      </c>
      <c r="F2414" s="1">
        <v>0.05</v>
      </c>
      <c r="G2414">
        <f t="shared" si="37"/>
        <v>1199.93</v>
      </c>
      <c r="H2414" t="str">
        <f>VLOOKUP(C2414,[1]products!$A:$B,2,FALSE)</f>
        <v>Electra Townie Original 7D EQ - 2016</v>
      </c>
      <c r="I2414">
        <f>VLOOKUP(C2414,[1]products!$A:$D,4,FALSE)</f>
        <v>2</v>
      </c>
      <c r="J2414" t="str">
        <f>VLOOKUP(I2414,[2]categories!$A$1:$B$8,2,FALSE)</f>
        <v>Comfort Bicycles</v>
      </c>
    </row>
    <row r="2415" customHeight="1" spans="1:10">
      <c r="A2415" s="1">
        <v>845</v>
      </c>
      <c r="B2415" s="1">
        <v>4</v>
      </c>
      <c r="C2415" s="1">
        <v>73</v>
      </c>
      <c r="D2415" s="1">
        <v>2</v>
      </c>
      <c r="E2415" s="1">
        <v>749.99</v>
      </c>
      <c r="F2415" s="1">
        <v>0.2</v>
      </c>
      <c r="G2415">
        <f t="shared" si="37"/>
        <v>1499.78</v>
      </c>
      <c r="H2415" t="str">
        <f>VLOOKUP(C2415,[1]products!$A:$B,2,FALSE)</f>
        <v>Sun Bicycles Brickell Tandem 7 - 2017</v>
      </c>
      <c r="I2415">
        <f>VLOOKUP(C2415,[1]products!$A:$D,4,FALSE)</f>
        <v>3</v>
      </c>
      <c r="J2415" t="str">
        <f>VLOOKUP(I2415,[2]categories!$A$1:$B$8,2,FALSE)</f>
        <v>Cruisers Bicycles</v>
      </c>
    </row>
    <row r="2416" customHeight="1" spans="1:10">
      <c r="A2416" s="1">
        <v>845</v>
      </c>
      <c r="B2416" s="1">
        <v>5</v>
      </c>
      <c r="C2416" s="1">
        <v>88</v>
      </c>
      <c r="D2416" s="1">
        <v>1</v>
      </c>
      <c r="E2416" s="1">
        <v>189.99</v>
      </c>
      <c r="F2416" s="1">
        <v>0.05</v>
      </c>
      <c r="G2416">
        <f t="shared" si="37"/>
        <v>189.94</v>
      </c>
      <c r="H2416" t="str">
        <f>VLOOKUP(C2416,[1]products!$A:$B,2,FALSE)</f>
        <v>Trek Precaliber 12 Girls - 2017</v>
      </c>
      <c r="I2416">
        <f>VLOOKUP(C2416,[1]products!$A:$D,4,FALSE)</f>
        <v>1</v>
      </c>
      <c r="J2416" t="str">
        <f>VLOOKUP(I2416,[2]categories!$A$1:$B$8,2,FALSE)</f>
        <v>Children Bicycles</v>
      </c>
    </row>
    <row r="2417" customHeight="1" spans="1:10">
      <c r="A2417" s="1">
        <v>846</v>
      </c>
      <c r="B2417" s="1">
        <v>1</v>
      </c>
      <c r="C2417" s="1">
        <v>46</v>
      </c>
      <c r="D2417" s="1">
        <v>2</v>
      </c>
      <c r="E2417" s="1">
        <v>1409.99</v>
      </c>
      <c r="F2417" s="1">
        <v>0.05</v>
      </c>
      <c r="G2417">
        <f t="shared" si="37"/>
        <v>2819.93</v>
      </c>
      <c r="H2417" t="str">
        <f>VLOOKUP(C2417,[1]products!$A:$B,2,FALSE)</f>
        <v>Haro SR 1.3 - 2017</v>
      </c>
      <c r="I2417">
        <f>VLOOKUP(C2417,[1]products!$A:$D,4,FALSE)</f>
        <v>6</v>
      </c>
      <c r="J2417" t="str">
        <f>VLOOKUP(I2417,[2]categories!$A$1:$B$8,2,FALSE)</f>
        <v>Mountain Bikes</v>
      </c>
    </row>
    <row r="2418" customHeight="1" spans="1:10">
      <c r="A2418" s="1">
        <v>846</v>
      </c>
      <c r="B2418" s="1">
        <v>2</v>
      </c>
      <c r="C2418" s="1">
        <v>47</v>
      </c>
      <c r="D2418" s="1">
        <v>1</v>
      </c>
      <c r="E2418" s="1">
        <v>5299.99</v>
      </c>
      <c r="F2418" s="1">
        <v>0.07</v>
      </c>
      <c r="G2418">
        <f t="shared" si="37"/>
        <v>5299.92</v>
      </c>
      <c r="H2418" t="str">
        <f>VLOOKUP(C2418,[1]products!$A:$B,2,FALSE)</f>
        <v>Trek Remedy 9.8 - 2017</v>
      </c>
      <c r="I2418">
        <f>VLOOKUP(C2418,[1]products!$A:$D,4,FALSE)</f>
        <v>6</v>
      </c>
      <c r="J2418" t="str">
        <f>VLOOKUP(I2418,[2]categories!$A$1:$B$8,2,FALSE)</f>
        <v>Mountain Bikes</v>
      </c>
    </row>
    <row r="2419" customHeight="1" spans="1:10">
      <c r="A2419" s="1">
        <v>846</v>
      </c>
      <c r="B2419" s="1">
        <v>3</v>
      </c>
      <c r="C2419" s="1">
        <v>71</v>
      </c>
      <c r="D2419" s="1">
        <v>1</v>
      </c>
      <c r="E2419" s="1">
        <v>416.99</v>
      </c>
      <c r="F2419" s="1">
        <v>0.1</v>
      </c>
      <c r="G2419">
        <f t="shared" si="37"/>
        <v>416.89</v>
      </c>
      <c r="H2419" t="str">
        <f>VLOOKUP(C2419,[1]products!$A:$B,2,FALSE)</f>
        <v>Sun Bicycles Atlas X-Type - 2017</v>
      </c>
      <c r="I2419">
        <f>VLOOKUP(C2419,[1]products!$A:$D,4,FALSE)</f>
        <v>3</v>
      </c>
      <c r="J2419" t="str">
        <f>VLOOKUP(I2419,[2]categories!$A$1:$B$8,2,FALSE)</f>
        <v>Cruisers Bicycles</v>
      </c>
    </row>
    <row r="2420" customHeight="1" spans="1:10">
      <c r="A2420" s="1">
        <v>846</v>
      </c>
      <c r="B2420" s="1">
        <v>4</v>
      </c>
      <c r="C2420" s="1">
        <v>72</v>
      </c>
      <c r="D2420" s="1">
        <v>2</v>
      </c>
      <c r="E2420" s="1">
        <v>619.99</v>
      </c>
      <c r="F2420" s="1">
        <v>0.05</v>
      </c>
      <c r="G2420">
        <f t="shared" si="37"/>
        <v>1239.93</v>
      </c>
      <c r="H2420" t="str">
        <f>VLOOKUP(C2420,[1]products!$A:$B,2,FALSE)</f>
        <v>Sun Bicycles Biscayne Tandem 7 - 2017</v>
      </c>
      <c r="I2420">
        <f>VLOOKUP(C2420,[1]products!$A:$D,4,FALSE)</f>
        <v>3</v>
      </c>
      <c r="J2420" t="str">
        <f>VLOOKUP(I2420,[2]categories!$A$1:$B$8,2,FALSE)</f>
        <v>Cruisers Bicycles</v>
      </c>
    </row>
    <row r="2421" customHeight="1" spans="1:10">
      <c r="A2421" s="1">
        <v>846</v>
      </c>
      <c r="B2421" s="1">
        <v>5</v>
      </c>
      <c r="C2421" s="1">
        <v>103</v>
      </c>
      <c r="D2421" s="1">
        <v>2</v>
      </c>
      <c r="E2421" s="1">
        <v>551.99</v>
      </c>
      <c r="F2421" s="1">
        <v>0.07</v>
      </c>
      <c r="G2421">
        <f t="shared" si="37"/>
        <v>1103.91</v>
      </c>
      <c r="H2421" t="str">
        <f>VLOOKUP(C2421,[1]products!$A:$B,2,FALSE)</f>
        <v>Sun Bicycles Streamway 3 - 2017</v>
      </c>
      <c r="I2421">
        <f>VLOOKUP(C2421,[1]products!$A:$D,4,FALSE)</f>
        <v>2</v>
      </c>
      <c r="J2421" t="str">
        <f>VLOOKUP(I2421,[2]categories!$A$1:$B$8,2,FALSE)</f>
        <v>Comfort Bicycles</v>
      </c>
    </row>
    <row r="2422" customHeight="1" spans="1:10">
      <c r="A2422" s="1">
        <v>847</v>
      </c>
      <c r="B2422" s="1">
        <v>1</v>
      </c>
      <c r="C2422" s="1">
        <v>61</v>
      </c>
      <c r="D2422" s="1">
        <v>2</v>
      </c>
      <c r="E2422" s="1">
        <v>4999.99</v>
      </c>
      <c r="F2422" s="1">
        <v>0.05</v>
      </c>
      <c r="G2422">
        <f t="shared" si="37"/>
        <v>9999.93</v>
      </c>
      <c r="H2422" t="str">
        <f>VLOOKUP(C2422,[1]products!$A:$B,2,FALSE)</f>
        <v>Trek Powerfly 8 FS Plus - 2017</v>
      </c>
      <c r="I2422">
        <f>VLOOKUP(C2422,[1]products!$A:$D,4,FALSE)</f>
        <v>5</v>
      </c>
      <c r="J2422" t="str">
        <f>VLOOKUP(I2422,[2]categories!$A$1:$B$8,2,FALSE)</f>
        <v>Electric Bikes</v>
      </c>
    </row>
    <row r="2423" customHeight="1" spans="1:10">
      <c r="A2423" s="1">
        <v>848</v>
      </c>
      <c r="B2423" s="1">
        <v>1</v>
      </c>
      <c r="C2423" s="1">
        <v>93</v>
      </c>
      <c r="D2423" s="1">
        <v>1</v>
      </c>
      <c r="E2423" s="1">
        <v>209.99</v>
      </c>
      <c r="F2423" s="1">
        <v>0.07</v>
      </c>
      <c r="G2423">
        <f t="shared" si="37"/>
        <v>209.92</v>
      </c>
      <c r="H2423" t="str">
        <f>VLOOKUP(C2423,[1]products!$A:$B,2,FALSE)</f>
        <v>Haro Shredder 20 Girls - 2017</v>
      </c>
      <c r="I2423">
        <f>VLOOKUP(C2423,[1]products!$A:$D,4,FALSE)</f>
        <v>1</v>
      </c>
      <c r="J2423" t="str">
        <f>VLOOKUP(I2423,[2]categories!$A$1:$B$8,2,FALSE)</f>
        <v>Children Bicycles</v>
      </c>
    </row>
    <row r="2424" customHeight="1" spans="1:10">
      <c r="A2424" s="1">
        <v>848</v>
      </c>
      <c r="B2424" s="1">
        <v>2</v>
      </c>
      <c r="C2424" s="1">
        <v>100</v>
      </c>
      <c r="D2424" s="1">
        <v>2</v>
      </c>
      <c r="E2424" s="1">
        <v>489.99</v>
      </c>
      <c r="F2424" s="1">
        <v>0.2</v>
      </c>
      <c r="G2424">
        <f t="shared" si="37"/>
        <v>979.78</v>
      </c>
      <c r="H2424" t="str">
        <f>VLOOKUP(C2424,[1]products!$A:$B,2,FALSE)</f>
        <v>Electra Townie 3i EQ (20-inch) - Boys' - 2017</v>
      </c>
      <c r="I2424">
        <f>VLOOKUP(C2424,[1]products!$A:$D,4,FALSE)</f>
        <v>1</v>
      </c>
      <c r="J2424" t="str">
        <f>VLOOKUP(I2424,[2]categories!$A$1:$B$8,2,FALSE)</f>
        <v>Children Bicycles</v>
      </c>
    </row>
    <row r="2425" customHeight="1" spans="1:10">
      <c r="A2425" s="1">
        <v>848</v>
      </c>
      <c r="B2425" s="1">
        <v>3</v>
      </c>
      <c r="C2425" s="1">
        <v>88</v>
      </c>
      <c r="D2425" s="1">
        <v>2</v>
      </c>
      <c r="E2425" s="1">
        <v>189.99</v>
      </c>
      <c r="F2425" s="1">
        <v>0.2</v>
      </c>
      <c r="G2425">
        <f t="shared" si="37"/>
        <v>379.78</v>
      </c>
      <c r="H2425" t="str">
        <f>VLOOKUP(C2425,[1]products!$A:$B,2,FALSE)</f>
        <v>Trek Precaliber 12 Girls - 2017</v>
      </c>
      <c r="I2425">
        <f>VLOOKUP(C2425,[1]products!$A:$D,4,FALSE)</f>
        <v>1</v>
      </c>
      <c r="J2425" t="str">
        <f>VLOOKUP(I2425,[2]categories!$A$1:$B$8,2,FALSE)</f>
        <v>Children Bicycles</v>
      </c>
    </row>
    <row r="2426" customHeight="1" spans="1:10">
      <c r="A2426" s="1">
        <v>848</v>
      </c>
      <c r="B2426" s="1">
        <v>4</v>
      </c>
      <c r="C2426" s="1">
        <v>41</v>
      </c>
      <c r="D2426" s="1">
        <v>2</v>
      </c>
      <c r="E2426" s="1">
        <v>1469.99</v>
      </c>
      <c r="F2426" s="1">
        <v>0.07</v>
      </c>
      <c r="G2426">
        <f t="shared" si="37"/>
        <v>2939.91</v>
      </c>
      <c r="H2426" t="str">
        <f>VLOOKUP(C2426,[1]products!$A:$B,2,FALSE)</f>
        <v>Haro Shift R3 - 2017</v>
      </c>
      <c r="I2426">
        <f>VLOOKUP(C2426,[1]products!$A:$D,4,FALSE)</f>
        <v>6</v>
      </c>
      <c r="J2426" t="str">
        <f>VLOOKUP(I2426,[2]categories!$A$1:$B$8,2,FALSE)</f>
        <v>Mountain Bikes</v>
      </c>
    </row>
    <row r="2427" customHeight="1" spans="1:10">
      <c r="A2427" s="1">
        <v>849</v>
      </c>
      <c r="B2427" s="1">
        <v>1</v>
      </c>
      <c r="C2427" s="1">
        <v>109</v>
      </c>
      <c r="D2427" s="1">
        <v>1</v>
      </c>
      <c r="E2427" s="1">
        <v>416.99</v>
      </c>
      <c r="F2427" s="1">
        <v>0.2</v>
      </c>
      <c r="G2427">
        <f t="shared" si="37"/>
        <v>416.79</v>
      </c>
      <c r="H2427" t="str">
        <f>VLOOKUP(C2427,[1]products!$A:$B,2,FALSE)</f>
        <v>Sun Bicycles Cruz 7 - Women's - 2017</v>
      </c>
      <c r="I2427">
        <f>VLOOKUP(C2427,[1]products!$A:$D,4,FALSE)</f>
        <v>2</v>
      </c>
      <c r="J2427" t="str">
        <f>VLOOKUP(I2427,[2]categories!$A$1:$B$8,2,FALSE)</f>
        <v>Comfort Bicycles</v>
      </c>
    </row>
    <row r="2428" customHeight="1" spans="1:10">
      <c r="A2428" s="1">
        <v>850</v>
      </c>
      <c r="B2428" s="1">
        <v>1</v>
      </c>
      <c r="C2428" s="1">
        <v>101</v>
      </c>
      <c r="D2428" s="1">
        <v>2</v>
      </c>
      <c r="E2428" s="1">
        <v>339.99</v>
      </c>
      <c r="F2428" s="1">
        <v>0.07</v>
      </c>
      <c r="G2428">
        <f t="shared" si="37"/>
        <v>679.91</v>
      </c>
      <c r="H2428" t="str">
        <f>VLOOKUP(C2428,[1]products!$A:$B,2,FALSE)</f>
        <v>Electra Townie 7D (20-inch) - Boys' - 2017</v>
      </c>
      <c r="I2428">
        <f>VLOOKUP(C2428,[1]products!$A:$D,4,FALSE)</f>
        <v>1</v>
      </c>
      <c r="J2428" t="str">
        <f>VLOOKUP(I2428,[2]categories!$A$1:$B$8,2,FALSE)</f>
        <v>Children Bicycles</v>
      </c>
    </row>
    <row r="2429" customHeight="1" spans="1:10">
      <c r="A2429" s="1">
        <v>850</v>
      </c>
      <c r="B2429" s="1">
        <v>2</v>
      </c>
      <c r="C2429" s="1">
        <v>5</v>
      </c>
      <c r="D2429" s="1">
        <v>2</v>
      </c>
      <c r="E2429" s="1">
        <v>1320.99</v>
      </c>
      <c r="F2429" s="1">
        <v>0.07</v>
      </c>
      <c r="G2429">
        <f t="shared" si="37"/>
        <v>2641.91</v>
      </c>
      <c r="H2429" t="str">
        <f>VLOOKUP(C2429,[1]products!$A:$B,2,FALSE)</f>
        <v>Heller Shagamaw Frame - 2016</v>
      </c>
      <c r="I2429">
        <f>VLOOKUP(C2429,[1]products!$A:$D,4,FALSE)</f>
        <v>6</v>
      </c>
      <c r="J2429" t="str">
        <f>VLOOKUP(I2429,[2]categories!$A$1:$B$8,2,FALSE)</f>
        <v>Mountain Bikes</v>
      </c>
    </row>
    <row r="2430" customHeight="1" spans="1:10">
      <c r="A2430" s="1">
        <v>850</v>
      </c>
      <c r="B2430" s="1">
        <v>3</v>
      </c>
      <c r="C2430" s="1">
        <v>37</v>
      </c>
      <c r="D2430" s="1">
        <v>1</v>
      </c>
      <c r="E2430" s="1">
        <v>379.99</v>
      </c>
      <c r="F2430" s="1">
        <v>0.07</v>
      </c>
      <c r="G2430">
        <f t="shared" si="37"/>
        <v>379.92</v>
      </c>
      <c r="H2430" t="str">
        <f>VLOOKUP(C2430,[1]products!$A:$B,2,FALSE)</f>
        <v>Haro Flightline One ST - 2017</v>
      </c>
      <c r="I2430">
        <f>VLOOKUP(C2430,[1]products!$A:$D,4,FALSE)</f>
        <v>6</v>
      </c>
      <c r="J2430" t="str">
        <f>VLOOKUP(I2430,[2]categories!$A$1:$B$8,2,FALSE)</f>
        <v>Mountain Bikes</v>
      </c>
    </row>
    <row r="2431" customHeight="1" spans="1:10">
      <c r="A2431" s="1">
        <v>851</v>
      </c>
      <c r="B2431" s="1">
        <v>1</v>
      </c>
      <c r="C2431" s="1">
        <v>30</v>
      </c>
      <c r="D2431" s="1">
        <v>1</v>
      </c>
      <c r="E2431" s="1">
        <v>999.99</v>
      </c>
      <c r="F2431" s="1">
        <v>0.2</v>
      </c>
      <c r="G2431">
        <f t="shared" si="37"/>
        <v>999.79</v>
      </c>
      <c r="H2431" t="str">
        <f>VLOOKUP(C2431,[1]products!$A:$B,2,FALSE)</f>
        <v>Surly Ice Cream Truck Frameset - 2017</v>
      </c>
      <c r="I2431">
        <f>VLOOKUP(C2431,[1]products!$A:$D,4,FALSE)</f>
        <v>6</v>
      </c>
      <c r="J2431" t="str">
        <f>VLOOKUP(I2431,[2]categories!$A$1:$B$8,2,FALSE)</f>
        <v>Mountain Bikes</v>
      </c>
    </row>
    <row r="2432" customHeight="1" spans="1:10">
      <c r="A2432" s="1">
        <v>851</v>
      </c>
      <c r="B2432" s="1">
        <v>2</v>
      </c>
      <c r="C2432" s="1">
        <v>93</v>
      </c>
      <c r="D2432" s="1">
        <v>1</v>
      </c>
      <c r="E2432" s="1">
        <v>209.99</v>
      </c>
      <c r="F2432" s="1">
        <v>0.05</v>
      </c>
      <c r="G2432">
        <f t="shared" si="37"/>
        <v>209.94</v>
      </c>
      <c r="H2432" t="str">
        <f>VLOOKUP(C2432,[1]products!$A:$B,2,FALSE)</f>
        <v>Haro Shredder 20 Girls - 2017</v>
      </c>
      <c r="I2432">
        <f>VLOOKUP(C2432,[1]products!$A:$D,4,FALSE)</f>
        <v>1</v>
      </c>
      <c r="J2432" t="str">
        <f>VLOOKUP(I2432,[2]categories!$A$1:$B$8,2,FALSE)</f>
        <v>Children Bicycles</v>
      </c>
    </row>
    <row r="2433" customHeight="1" spans="1:10">
      <c r="A2433" s="1">
        <v>852</v>
      </c>
      <c r="B2433" s="1">
        <v>1</v>
      </c>
      <c r="C2433" s="1">
        <v>46</v>
      </c>
      <c r="D2433" s="1">
        <v>2</v>
      </c>
      <c r="E2433" s="1">
        <v>1409.99</v>
      </c>
      <c r="F2433" s="1">
        <v>0.07</v>
      </c>
      <c r="G2433">
        <f t="shared" si="37"/>
        <v>2819.91</v>
      </c>
      <c r="H2433" t="str">
        <f>VLOOKUP(C2433,[1]products!$A:$B,2,FALSE)</f>
        <v>Haro SR 1.3 - 2017</v>
      </c>
      <c r="I2433">
        <f>VLOOKUP(C2433,[1]products!$A:$D,4,FALSE)</f>
        <v>6</v>
      </c>
      <c r="J2433" t="str">
        <f>VLOOKUP(I2433,[2]categories!$A$1:$B$8,2,FALSE)</f>
        <v>Mountain Bikes</v>
      </c>
    </row>
    <row r="2434" customHeight="1" spans="1:10">
      <c r="A2434" s="1">
        <v>853</v>
      </c>
      <c r="B2434" s="1">
        <v>1</v>
      </c>
      <c r="C2434" s="1">
        <v>99</v>
      </c>
      <c r="D2434" s="1">
        <v>1</v>
      </c>
      <c r="E2434" s="1">
        <v>299.99</v>
      </c>
      <c r="F2434" s="1">
        <v>0.05</v>
      </c>
      <c r="G2434">
        <f t="shared" si="37"/>
        <v>299.94</v>
      </c>
      <c r="H2434" t="str">
        <f>VLOOKUP(C2434,[1]products!$A:$B,2,FALSE)</f>
        <v>Electra Sugar Skulls 1 (20-inch) - Girl's - 2017</v>
      </c>
      <c r="I2434">
        <f>VLOOKUP(C2434,[1]products!$A:$D,4,FALSE)</f>
        <v>1</v>
      </c>
      <c r="J2434" t="str">
        <f>VLOOKUP(I2434,[2]categories!$A$1:$B$8,2,FALSE)</f>
        <v>Children Bicycles</v>
      </c>
    </row>
    <row r="2435" customHeight="1" spans="1:10">
      <c r="A2435" s="1">
        <v>853</v>
      </c>
      <c r="B2435" s="1">
        <v>2</v>
      </c>
      <c r="C2435" s="1">
        <v>58</v>
      </c>
      <c r="D2435" s="1">
        <v>2</v>
      </c>
      <c r="E2435" s="1">
        <v>4999.99</v>
      </c>
      <c r="F2435" s="1">
        <v>0.2</v>
      </c>
      <c r="G2435">
        <f t="shared" ref="G2435:G2498" si="38">(E2435*D2435)-F2435</f>
        <v>9999.78</v>
      </c>
      <c r="H2435" t="str">
        <f>VLOOKUP(C2435,[1]products!$A:$B,2,FALSE)</f>
        <v>Trek Madone 9.2 - 2017</v>
      </c>
      <c r="I2435">
        <f>VLOOKUP(C2435,[1]products!$A:$D,4,FALSE)</f>
        <v>7</v>
      </c>
      <c r="J2435" t="str">
        <f>VLOOKUP(I2435,[2]categories!$A$1:$B$8,2,FALSE)</f>
        <v>Road Bikes</v>
      </c>
    </row>
    <row r="2436" customHeight="1" spans="1:10">
      <c r="A2436" s="1">
        <v>853</v>
      </c>
      <c r="B2436" s="1">
        <v>3</v>
      </c>
      <c r="C2436" s="1">
        <v>42</v>
      </c>
      <c r="D2436" s="1">
        <v>2</v>
      </c>
      <c r="E2436" s="1">
        <v>2299.99</v>
      </c>
      <c r="F2436" s="1">
        <v>0.2</v>
      </c>
      <c r="G2436">
        <f t="shared" si="38"/>
        <v>4599.78</v>
      </c>
      <c r="H2436" t="str">
        <f>VLOOKUP(C2436,[1]products!$A:$B,2,FALSE)</f>
        <v>Trek Fuel EX 5 27.5 Plus - 2017</v>
      </c>
      <c r="I2436">
        <f>VLOOKUP(C2436,[1]products!$A:$D,4,FALSE)</f>
        <v>6</v>
      </c>
      <c r="J2436" t="str">
        <f>VLOOKUP(I2436,[2]categories!$A$1:$B$8,2,FALSE)</f>
        <v>Mountain Bikes</v>
      </c>
    </row>
    <row r="2437" customHeight="1" spans="1:10">
      <c r="A2437" s="1">
        <v>853</v>
      </c>
      <c r="B2437" s="1">
        <v>4</v>
      </c>
      <c r="C2437" s="1">
        <v>45</v>
      </c>
      <c r="D2437" s="1">
        <v>1</v>
      </c>
      <c r="E2437" s="1">
        <v>869.99</v>
      </c>
      <c r="F2437" s="1">
        <v>0.2</v>
      </c>
      <c r="G2437">
        <f t="shared" si="38"/>
        <v>869.79</v>
      </c>
      <c r="H2437" t="str">
        <f>VLOOKUP(C2437,[1]products!$A:$B,2,FALSE)</f>
        <v>Haro SR 1.2 - 2017</v>
      </c>
      <c r="I2437">
        <f>VLOOKUP(C2437,[1]products!$A:$D,4,FALSE)</f>
        <v>6</v>
      </c>
      <c r="J2437" t="str">
        <f>VLOOKUP(I2437,[2]categories!$A$1:$B$8,2,FALSE)</f>
        <v>Mountain Bikes</v>
      </c>
    </row>
    <row r="2438" customHeight="1" spans="1:10">
      <c r="A2438" s="1">
        <v>853</v>
      </c>
      <c r="B2438" s="1">
        <v>5</v>
      </c>
      <c r="C2438" s="1">
        <v>6</v>
      </c>
      <c r="D2438" s="1">
        <v>1</v>
      </c>
      <c r="E2438" s="1">
        <v>469.99</v>
      </c>
      <c r="F2438" s="1">
        <v>0.05</v>
      </c>
      <c r="G2438">
        <f t="shared" si="38"/>
        <v>469.94</v>
      </c>
      <c r="H2438" t="str">
        <f>VLOOKUP(C2438,[1]products!$A:$B,2,FALSE)</f>
        <v>Surly Ice Cream Truck Frameset - 2016</v>
      </c>
      <c r="I2438">
        <f>VLOOKUP(C2438,[1]products!$A:$D,4,FALSE)</f>
        <v>6</v>
      </c>
      <c r="J2438" t="str">
        <f>VLOOKUP(I2438,[2]categories!$A$1:$B$8,2,FALSE)</f>
        <v>Mountain Bikes</v>
      </c>
    </row>
    <row r="2439" customHeight="1" spans="1:10">
      <c r="A2439" s="1">
        <v>854</v>
      </c>
      <c r="B2439" s="1">
        <v>1</v>
      </c>
      <c r="C2439" s="1">
        <v>87</v>
      </c>
      <c r="D2439" s="1">
        <v>1</v>
      </c>
      <c r="E2439" s="1">
        <v>189.99</v>
      </c>
      <c r="F2439" s="1">
        <v>0.1</v>
      </c>
      <c r="G2439">
        <f t="shared" si="38"/>
        <v>189.89</v>
      </c>
      <c r="H2439" t="str">
        <f>VLOOKUP(C2439,[1]products!$A:$B,2,FALSE)</f>
        <v>Trek Precaliber 12 Boys - 2017</v>
      </c>
      <c r="I2439">
        <f>VLOOKUP(C2439,[1]products!$A:$D,4,FALSE)</f>
        <v>1</v>
      </c>
      <c r="J2439" t="str">
        <f>VLOOKUP(I2439,[2]categories!$A$1:$B$8,2,FALSE)</f>
        <v>Children Bicycles</v>
      </c>
    </row>
    <row r="2440" customHeight="1" spans="1:10">
      <c r="A2440" s="1">
        <v>855</v>
      </c>
      <c r="B2440" s="1">
        <v>1</v>
      </c>
      <c r="C2440" s="1">
        <v>18</v>
      </c>
      <c r="D2440" s="1">
        <v>1</v>
      </c>
      <c r="E2440" s="1">
        <v>449</v>
      </c>
      <c r="F2440" s="1">
        <v>0.1</v>
      </c>
      <c r="G2440">
        <f t="shared" si="38"/>
        <v>448.9</v>
      </c>
      <c r="H2440" t="str">
        <f>VLOOKUP(C2440,[1]products!$A:$B,2,FALSE)</f>
        <v>Pure Cycles Western 3-Speed - Women's - 2015/2016</v>
      </c>
      <c r="I2440">
        <f>VLOOKUP(C2440,[1]products!$A:$D,4,FALSE)</f>
        <v>3</v>
      </c>
      <c r="J2440" t="str">
        <f>VLOOKUP(I2440,[2]categories!$A$1:$B$8,2,FALSE)</f>
        <v>Cruisers Bicycles</v>
      </c>
    </row>
    <row r="2441" customHeight="1" spans="1:10">
      <c r="A2441" s="1">
        <v>855</v>
      </c>
      <c r="B2441" s="1">
        <v>2</v>
      </c>
      <c r="C2441" s="1">
        <v>93</v>
      </c>
      <c r="D2441" s="1">
        <v>2</v>
      </c>
      <c r="E2441" s="1">
        <v>209.99</v>
      </c>
      <c r="F2441" s="1">
        <v>0.2</v>
      </c>
      <c r="G2441">
        <f t="shared" si="38"/>
        <v>419.78</v>
      </c>
      <c r="H2441" t="str">
        <f>VLOOKUP(C2441,[1]products!$A:$B,2,FALSE)</f>
        <v>Haro Shredder 20 Girls - 2017</v>
      </c>
      <c r="I2441">
        <f>VLOOKUP(C2441,[1]products!$A:$D,4,FALSE)</f>
        <v>1</v>
      </c>
      <c r="J2441" t="str">
        <f>VLOOKUP(I2441,[2]categories!$A$1:$B$8,2,FALSE)</f>
        <v>Children Bicycles</v>
      </c>
    </row>
    <row r="2442" customHeight="1" spans="1:10">
      <c r="A2442" s="1">
        <v>855</v>
      </c>
      <c r="B2442" s="1">
        <v>3</v>
      </c>
      <c r="C2442" s="1">
        <v>89</v>
      </c>
      <c r="D2442" s="1">
        <v>1</v>
      </c>
      <c r="E2442" s="1">
        <v>209.99</v>
      </c>
      <c r="F2442" s="1">
        <v>0.2</v>
      </c>
      <c r="G2442">
        <f t="shared" si="38"/>
        <v>209.79</v>
      </c>
      <c r="H2442" t="str">
        <f>VLOOKUP(C2442,[1]products!$A:$B,2,FALSE)</f>
        <v>Trek Precaliber 16 Boys - 2017</v>
      </c>
      <c r="I2442">
        <f>VLOOKUP(C2442,[1]products!$A:$D,4,FALSE)</f>
        <v>1</v>
      </c>
      <c r="J2442" t="str">
        <f>VLOOKUP(I2442,[2]categories!$A$1:$B$8,2,FALSE)</f>
        <v>Children Bicycles</v>
      </c>
    </row>
    <row r="2443" customHeight="1" spans="1:10">
      <c r="A2443" s="1">
        <v>856</v>
      </c>
      <c r="B2443" s="1">
        <v>1</v>
      </c>
      <c r="C2443" s="1">
        <v>38</v>
      </c>
      <c r="D2443" s="1">
        <v>2</v>
      </c>
      <c r="E2443" s="1">
        <v>549.99</v>
      </c>
      <c r="F2443" s="1">
        <v>0.05</v>
      </c>
      <c r="G2443">
        <f t="shared" si="38"/>
        <v>1099.93</v>
      </c>
      <c r="H2443" t="str">
        <f>VLOOKUP(C2443,[1]products!$A:$B,2,FALSE)</f>
        <v>Haro Flightline Two 26 Plus - 2017</v>
      </c>
      <c r="I2443">
        <f>VLOOKUP(C2443,[1]products!$A:$D,4,FALSE)</f>
        <v>6</v>
      </c>
      <c r="J2443" t="str">
        <f>VLOOKUP(I2443,[2]categories!$A$1:$B$8,2,FALSE)</f>
        <v>Mountain Bikes</v>
      </c>
    </row>
    <row r="2444" customHeight="1" spans="1:10">
      <c r="A2444" s="1">
        <v>857</v>
      </c>
      <c r="B2444" s="1">
        <v>1</v>
      </c>
      <c r="C2444" s="1">
        <v>29</v>
      </c>
      <c r="D2444" s="1">
        <v>1</v>
      </c>
      <c r="E2444" s="1">
        <v>999.99</v>
      </c>
      <c r="F2444" s="1">
        <v>0.2</v>
      </c>
      <c r="G2444">
        <f t="shared" si="38"/>
        <v>999.79</v>
      </c>
      <c r="H2444" t="str">
        <f>VLOOKUP(C2444,[1]products!$A:$B,2,FALSE)</f>
        <v>Trek X-Caliber 8 - 2017</v>
      </c>
      <c r="I2444">
        <f>VLOOKUP(C2444,[1]products!$A:$D,4,FALSE)</f>
        <v>6</v>
      </c>
      <c r="J2444" t="str">
        <f>VLOOKUP(I2444,[2]categories!$A$1:$B$8,2,FALSE)</f>
        <v>Mountain Bikes</v>
      </c>
    </row>
    <row r="2445" customHeight="1" spans="1:10">
      <c r="A2445" s="1">
        <v>858</v>
      </c>
      <c r="B2445" s="1">
        <v>1</v>
      </c>
      <c r="C2445" s="1">
        <v>45</v>
      </c>
      <c r="D2445" s="1">
        <v>2</v>
      </c>
      <c r="E2445" s="1">
        <v>869.99</v>
      </c>
      <c r="F2445" s="1">
        <v>0.2</v>
      </c>
      <c r="G2445">
        <f t="shared" si="38"/>
        <v>1739.78</v>
      </c>
      <c r="H2445" t="str">
        <f>VLOOKUP(C2445,[1]products!$A:$B,2,FALSE)</f>
        <v>Haro SR 1.2 - 2017</v>
      </c>
      <c r="I2445">
        <f>VLOOKUP(C2445,[1]products!$A:$D,4,FALSE)</f>
        <v>6</v>
      </c>
      <c r="J2445" t="str">
        <f>VLOOKUP(I2445,[2]categories!$A$1:$B$8,2,FALSE)</f>
        <v>Mountain Bikes</v>
      </c>
    </row>
    <row r="2446" customHeight="1" spans="1:10">
      <c r="A2446" s="1">
        <v>858</v>
      </c>
      <c r="B2446" s="1">
        <v>2</v>
      </c>
      <c r="C2446" s="1">
        <v>5</v>
      </c>
      <c r="D2446" s="1">
        <v>1</v>
      </c>
      <c r="E2446" s="1">
        <v>1320.99</v>
      </c>
      <c r="F2446" s="1">
        <v>0.2</v>
      </c>
      <c r="G2446">
        <f t="shared" si="38"/>
        <v>1320.79</v>
      </c>
      <c r="H2446" t="str">
        <f>VLOOKUP(C2446,[1]products!$A:$B,2,FALSE)</f>
        <v>Heller Shagamaw Frame - 2016</v>
      </c>
      <c r="I2446">
        <f>VLOOKUP(C2446,[1]products!$A:$D,4,FALSE)</f>
        <v>6</v>
      </c>
      <c r="J2446" t="str">
        <f>VLOOKUP(I2446,[2]categories!$A$1:$B$8,2,FALSE)</f>
        <v>Mountain Bikes</v>
      </c>
    </row>
    <row r="2447" customHeight="1" spans="1:10">
      <c r="A2447" s="1">
        <v>858</v>
      </c>
      <c r="B2447" s="1">
        <v>3</v>
      </c>
      <c r="C2447" s="1">
        <v>14</v>
      </c>
      <c r="D2447" s="1">
        <v>1</v>
      </c>
      <c r="E2447" s="1">
        <v>269.99</v>
      </c>
      <c r="F2447" s="1">
        <v>0.07</v>
      </c>
      <c r="G2447">
        <f t="shared" si="38"/>
        <v>269.92</v>
      </c>
      <c r="H2447" t="str">
        <f>VLOOKUP(C2447,[1]products!$A:$B,2,FALSE)</f>
        <v>Electra Girl's Hawaii 1 (16-inch) - 2015/2016</v>
      </c>
      <c r="I2447">
        <f>VLOOKUP(C2447,[1]products!$A:$D,4,FALSE)</f>
        <v>3</v>
      </c>
      <c r="J2447" t="str">
        <f>VLOOKUP(I2447,[2]categories!$A$1:$B$8,2,FALSE)</f>
        <v>Cruisers Bicycles</v>
      </c>
    </row>
    <row r="2448" customHeight="1" spans="1:10">
      <c r="A2448" s="1">
        <v>858</v>
      </c>
      <c r="B2448" s="1">
        <v>4</v>
      </c>
      <c r="C2448" s="1">
        <v>73</v>
      </c>
      <c r="D2448" s="1">
        <v>2</v>
      </c>
      <c r="E2448" s="1">
        <v>749.99</v>
      </c>
      <c r="F2448" s="1">
        <v>0.07</v>
      </c>
      <c r="G2448">
        <f t="shared" si="38"/>
        <v>1499.91</v>
      </c>
      <c r="H2448" t="str">
        <f>VLOOKUP(C2448,[1]products!$A:$B,2,FALSE)</f>
        <v>Sun Bicycles Brickell Tandem 7 - 2017</v>
      </c>
      <c r="I2448">
        <f>VLOOKUP(C2448,[1]products!$A:$D,4,FALSE)</f>
        <v>3</v>
      </c>
      <c r="J2448" t="str">
        <f>VLOOKUP(I2448,[2]categories!$A$1:$B$8,2,FALSE)</f>
        <v>Cruisers Bicycles</v>
      </c>
    </row>
    <row r="2449" customHeight="1" spans="1:10">
      <c r="A2449" s="1">
        <v>859</v>
      </c>
      <c r="B2449" s="1">
        <v>1</v>
      </c>
      <c r="C2449" s="1">
        <v>38</v>
      </c>
      <c r="D2449" s="1">
        <v>2</v>
      </c>
      <c r="E2449" s="1">
        <v>549.99</v>
      </c>
      <c r="F2449" s="1">
        <v>0.07</v>
      </c>
      <c r="G2449">
        <f t="shared" si="38"/>
        <v>1099.91</v>
      </c>
      <c r="H2449" t="str">
        <f>VLOOKUP(C2449,[1]products!$A:$B,2,FALSE)</f>
        <v>Haro Flightline Two 26 Plus - 2017</v>
      </c>
      <c r="I2449">
        <f>VLOOKUP(C2449,[1]products!$A:$D,4,FALSE)</f>
        <v>6</v>
      </c>
      <c r="J2449" t="str">
        <f>VLOOKUP(I2449,[2]categories!$A$1:$B$8,2,FALSE)</f>
        <v>Mountain Bikes</v>
      </c>
    </row>
    <row r="2450" customHeight="1" spans="1:10">
      <c r="A2450" s="1">
        <v>859</v>
      </c>
      <c r="B2450" s="1">
        <v>2</v>
      </c>
      <c r="C2450" s="1">
        <v>13</v>
      </c>
      <c r="D2450" s="1">
        <v>1</v>
      </c>
      <c r="E2450" s="1">
        <v>269.99</v>
      </c>
      <c r="F2450" s="1">
        <v>0.1</v>
      </c>
      <c r="G2450">
        <f t="shared" si="38"/>
        <v>269.89</v>
      </c>
      <c r="H2450" t="str">
        <f>VLOOKUP(C2450,[1]products!$A:$B,2,FALSE)</f>
        <v>Electra Cruiser 1 (24-Inch) - 2016</v>
      </c>
      <c r="I2450">
        <f>VLOOKUP(C2450,[1]products!$A:$D,4,FALSE)</f>
        <v>3</v>
      </c>
      <c r="J2450" t="str">
        <f>VLOOKUP(I2450,[2]categories!$A$1:$B$8,2,FALSE)</f>
        <v>Cruisers Bicycles</v>
      </c>
    </row>
    <row r="2451" customHeight="1" spans="1:10">
      <c r="A2451" s="1">
        <v>859</v>
      </c>
      <c r="B2451" s="1">
        <v>3</v>
      </c>
      <c r="C2451" s="1">
        <v>14</v>
      </c>
      <c r="D2451" s="1">
        <v>2</v>
      </c>
      <c r="E2451" s="1">
        <v>269.99</v>
      </c>
      <c r="F2451" s="1">
        <v>0.1</v>
      </c>
      <c r="G2451">
        <f t="shared" si="38"/>
        <v>539.88</v>
      </c>
      <c r="H2451" t="str">
        <f>VLOOKUP(C2451,[1]products!$A:$B,2,FALSE)</f>
        <v>Electra Girl's Hawaii 1 (16-inch) - 2015/2016</v>
      </c>
      <c r="I2451">
        <f>VLOOKUP(C2451,[1]products!$A:$D,4,FALSE)</f>
        <v>3</v>
      </c>
      <c r="J2451" t="str">
        <f>VLOOKUP(I2451,[2]categories!$A$1:$B$8,2,FALSE)</f>
        <v>Cruisers Bicycles</v>
      </c>
    </row>
    <row r="2452" customHeight="1" spans="1:10">
      <c r="A2452" s="1">
        <v>859</v>
      </c>
      <c r="B2452" s="1">
        <v>4</v>
      </c>
      <c r="C2452" s="1">
        <v>71</v>
      </c>
      <c r="D2452" s="1">
        <v>2</v>
      </c>
      <c r="E2452" s="1">
        <v>416.99</v>
      </c>
      <c r="F2452" s="1">
        <v>0.1</v>
      </c>
      <c r="G2452">
        <f t="shared" si="38"/>
        <v>833.88</v>
      </c>
      <c r="H2452" t="str">
        <f>VLOOKUP(C2452,[1]products!$A:$B,2,FALSE)</f>
        <v>Sun Bicycles Atlas X-Type - 2017</v>
      </c>
      <c r="I2452">
        <f>VLOOKUP(C2452,[1]products!$A:$D,4,FALSE)</f>
        <v>3</v>
      </c>
      <c r="J2452" t="str">
        <f>VLOOKUP(I2452,[2]categories!$A$1:$B$8,2,FALSE)</f>
        <v>Cruisers Bicycles</v>
      </c>
    </row>
    <row r="2453" customHeight="1" spans="1:10">
      <c r="A2453" s="1">
        <v>859</v>
      </c>
      <c r="B2453" s="1">
        <v>5</v>
      </c>
      <c r="C2453" s="1">
        <v>36</v>
      </c>
      <c r="D2453" s="1">
        <v>2</v>
      </c>
      <c r="E2453" s="1">
        <v>832.99</v>
      </c>
      <c r="F2453" s="1">
        <v>0.1</v>
      </c>
      <c r="G2453">
        <f t="shared" si="38"/>
        <v>1665.88</v>
      </c>
      <c r="H2453" t="str">
        <f>VLOOKUP(C2453,[1]products!$A:$B,2,FALSE)</f>
        <v>Surly Troll Frameset - 2017</v>
      </c>
      <c r="I2453">
        <f>VLOOKUP(C2453,[1]products!$A:$D,4,FALSE)</f>
        <v>6</v>
      </c>
      <c r="J2453" t="str">
        <f>VLOOKUP(I2453,[2]categories!$A$1:$B$8,2,FALSE)</f>
        <v>Mountain Bikes</v>
      </c>
    </row>
    <row r="2454" customHeight="1" spans="1:10">
      <c r="A2454" s="1">
        <v>860</v>
      </c>
      <c r="B2454" s="1">
        <v>1</v>
      </c>
      <c r="C2454" s="1">
        <v>6</v>
      </c>
      <c r="D2454" s="1">
        <v>1</v>
      </c>
      <c r="E2454" s="1">
        <v>469.99</v>
      </c>
      <c r="F2454" s="1">
        <v>0.05</v>
      </c>
      <c r="G2454">
        <f t="shared" si="38"/>
        <v>469.94</v>
      </c>
      <c r="H2454" t="str">
        <f>VLOOKUP(C2454,[1]products!$A:$B,2,FALSE)</f>
        <v>Surly Ice Cream Truck Frameset - 2016</v>
      </c>
      <c r="I2454">
        <f>VLOOKUP(C2454,[1]products!$A:$D,4,FALSE)</f>
        <v>6</v>
      </c>
      <c r="J2454" t="str">
        <f>VLOOKUP(I2454,[2]categories!$A$1:$B$8,2,FALSE)</f>
        <v>Mountain Bikes</v>
      </c>
    </row>
    <row r="2455" customHeight="1" spans="1:10">
      <c r="A2455" s="1">
        <v>860</v>
      </c>
      <c r="B2455" s="1">
        <v>2</v>
      </c>
      <c r="C2455" s="1">
        <v>24</v>
      </c>
      <c r="D2455" s="1">
        <v>2</v>
      </c>
      <c r="E2455" s="1">
        <v>549.99</v>
      </c>
      <c r="F2455" s="1">
        <v>0.2</v>
      </c>
      <c r="G2455">
        <f t="shared" si="38"/>
        <v>1099.78</v>
      </c>
      <c r="H2455" t="str">
        <f>VLOOKUP(C2455,[1]products!$A:$B,2,FALSE)</f>
        <v>Electra Townie Original 21D - 2016</v>
      </c>
      <c r="I2455">
        <f>VLOOKUP(C2455,[1]products!$A:$D,4,FALSE)</f>
        <v>2</v>
      </c>
      <c r="J2455" t="str">
        <f>VLOOKUP(I2455,[2]categories!$A$1:$B$8,2,FALSE)</f>
        <v>Comfort Bicycles</v>
      </c>
    </row>
    <row r="2456" customHeight="1" spans="1:10">
      <c r="A2456" s="1">
        <v>860</v>
      </c>
      <c r="B2456" s="1">
        <v>3</v>
      </c>
      <c r="C2456" s="1">
        <v>25</v>
      </c>
      <c r="D2456" s="1">
        <v>1</v>
      </c>
      <c r="E2456" s="1">
        <v>499.99</v>
      </c>
      <c r="F2456" s="1">
        <v>0.2</v>
      </c>
      <c r="G2456">
        <f t="shared" si="38"/>
        <v>499.79</v>
      </c>
      <c r="H2456" t="str">
        <f>VLOOKUP(C2456,[1]products!$A:$B,2,FALSE)</f>
        <v>Electra Townie Original 7D - 2015/2016</v>
      </c>
      <c r="I2456">
        <f>VLOOKUP(C2456,[1]products!$A:$D,4,FALSE)</f>
        <v>2</v>
      </c>
      <c r="J2456" t="str">
        <f>VLOOKUP(I2456,[2]categories!$A$1:$B$8,2,FALSE)</f>
        <v>Comfort Bicycles</v>
      </c>
    </row>
    <row r="2457" customHeight="1" spans="1:10">
      <c r="A2457" s="1">
        <v>860</v>
      </c>
      <c r="B2457" s="1">
        <v>4</v>
      </c>
      <c r="C2457" s="1">
        <v>58</v>
      </c>
      <c r="D2457" s="1">
        <v>2</v>
      </c>
      <c r="E2457" s="1">
        <v>4999.99</v>
      </c>
      <c r="F2457" s="1">
        <v>0.07</v>
      </c>
      <c r="G2457">
        <f t="shared" si="38"/>
        <v>9999.91</v>
      </c>
      <c r="H2457" t="str">
        <f>VLOOKUP(C2457,[1]products!$A:$B,2,FALSE)</f>
        <v>Trek Madone 9.2 - 2017</v>
      </c>
      <c r="I2457">
        <f>VLOOKUP(C2457,[1]products!$A:$D,4,FALSE)</f>
        <v>7</v>
      </c>
      <c r="J2457" t="str">
        <f>VLOOKUP(I2457,[2]categories!$A$1:$B$8,2,FALSE)</f>
        <v>Road Bikes</v>
      </c>
    </row>
    <row r="2458" customHeight="1" spans="1:10">
      <c r="A2458" s="1">
        <v>860</v>
      </c>
      <c r="B2458" s="1">
        <v>5</v>
      </c>
      <c r="C2458" s="1">
        <v>95</v>
      </c>
      <c r="D2458" s="1">
        <v>2</v>
      </c>
      <c r="E2458" s="1">
        <v>299.99</v>
      </c>
      <c r="F2458" s="1">
        <v>0.05</v>
      </c>
      <c r="G2458">
        <f t="shared" si="38"/>
        <v>599.93</v>
      </c>
      <c r="H2458" t="str">
        <f>VLOOKUP(C2458,[1]products!$A:$B,2,FALSE)</f>
        <v>Electra Girl's Hawaii 1 16" - 2017</v>
      </c>
      <c r="I2458">
        <f>VLOOKUP(C2458,[1]products!$A:$D,4,FALSE)</f>
        <v>1</v>
      </c>
      <c r="J2458" t="str">
        <f>VLOOKUP(I2458,[2]categories!$A$1:$B$8,2,FALSE)</f>
        <v>Children Bicycles</v>
      </c>
    </row>
    <row r="2459" customHeight="1" spans="1:10">
      <c r="A2459" s="1">
        <v>861</v>
      </c>
      <c r="B2459" s="1">
        <v>1</v>
      </c>
      <c r="C2459" s="1">
        <v>14</v>
      </c>
      <c r="D2459" s="1">
        <v>2</v>
      </c>
      <c r="E2459" s="1">
        <v>269.99</v>
      </c>
      <c r="F2459" s="1">
        <v>0.07</v>
      </c>
      <c r="G2459">
        <f t="shared" si="38"/>
        <v>539.91</v>
      </c>
      <c r="H2459" t="str">
        <f>VLOOKUP(C2459,[1]products!$A:$B,2,FALSE)</f>
        <v>Electra Girl's Hawaii 1 (16-inch) - 2015/2016</v>
      </c>
      <c r="I2459">
        <f>VLOOKUP(C2459,[1]products!$A:$D,4,FALSE)</f>
        <v>3</v>
      </c>
      <c r="J2459" t="str">
        <f>VLOOKUP(I2459,[2]categories!$A$1:$B$8,2,FALSE)</f>
        <v>Cruisers Bicycles</v>
      </c>
    </row>
    <row r="2460" customHeight="1" spans="1:10">
      <c r="A2460" s="1">
        <v>861</v>
      </c>
      <c r="B2460" s="1">
        <v>2</v>
      </c>
      <c r="C2460" s="1">
        <v>62</v>
      </c>
      <c r="D2460" s="1">
        <v>1</v>
      </c>
      <c r="E2460" s="1">
        <v>3499.99</v>
      </c>
      <c r="F2460" s="1">
        <v>0.2</v>
      </c>
      <c r="G2460">
        <f t="shared" si="38"/>
        <v>3499.79</v>
      </c>
      <c r="H2460" t="str">
        <f>VLOOKUP(C2460,[1]products!$A:$B,2,FALSE)</f>
        <v>Trek Boone 7 - 2017</v>
      </c>
      <c r="I2460">
        <f>VLOOKUP(C2460,[1]products!$A:$D,4,FALSE)</f>
        <v>4</v>
      </c>
      <c r="J2460" t="str">
        <f>VLOOKUP(I2460,[2]categories!$A$1:$B$8,2,FALSE)</f>
        <v>Cyclocross Bicycles</v>
      </c>
    </row>
    <row r="2461" customHeight="1" spans="1:10">
      <c r="A2461" s="1">
        <v>862</v>
      </c>
      <c r="B2461" s="1">
        <v>1</v>
      </c>
      <c r="C2461" s="1">
        <v>85</v>
      </c>
      <c r="D2461" s="1">
        <v>1</v>
      </c>
      <c r="E2461" s="1">
        <v>329.99</v>
      </c>
      <c r="F2461" s="1">
        <v>0.05</v>
      </c>
      <c r="G2461">
        <f t="shared" si="38"/>
        <v>329.94</v>
      </c>
      <c r="H2461" t="str">
        <f>VLOOKUP(C2461,[1]products!$A:$B,2,FALSE)</f>
        <v>Haro Downtown 16 - 2017</v>
      </c>
      <c r="I2461">
        <f>VLOOKUP(C2461,[1]products!$A:$D,4,FALSE)</f>
        <v>1</v>
      </c>
      <c r="J2461" t="str">
        <f>VLOOKUP(I2461,[2]categories!$A$1:$B$8,2,FALSE)</f>
        <v>Children Bicycles</v>
      </c>
    </row>
    <row r="2462" customHeight="1" spans="1:10">
      <c r="A2462" s="1">
        <v>862</v>
      </c>
      <c r="B2462" s="1">
        <v>2</v>
      </c>
      <c r="C2462" s="1">
        <v>99</v>
      </c>
      <c r="D2462" s="1">
        <v>1</v>
      </c>
      <c r="E2462" s="1">
        <v>299.99</v>
      </c>
      <c r="F2462" s="1">
        <v>0.2</v>
      </c>
      <c r="G2462">
        <f t="shared" si="38"/>
        <v>299.79</v>
      </c>
      <c r="H2462" t="str">
        <f>VLOOKUP(C2462,[1]products!$A:$B,2,FALSE)</f>
        <v>Electra Sugar Skulls 1 (20-inch) - Girl's - 2017</v>
      </c>
      <c r="I2462">
        <f>VLOOKUP(C2462,[1]products!$A:$D,4,FALSE)</f>
        <v>1</v>
      </c>
      <c r="J2462" t="str">
        <f>VLOOKUP(I2462,[2]categories!$A$1:$B$8,2,FALSE)</f>
        <v>Children Bicycles</v>
      </c>
    </row>
    <row r="2463" customHeight="1" spans="1:10">
      <c r="A2463" s="1">
        <v>862</v>
      </c>
      <c r="B2463" s="1">
        <v>3</v>
      </c>
      <c r="C2463" s="1">
        <v>49</v>
      </c>
      <c r="D2463" s="1">
        <v>2</v>
      </c>
      <c r="E2463" s="1">
        <v>3499.99</v>
      </c>
      <c r="F2463" s="1">
        <v>0.07</v>
      </c>
      <c r="G2463">
        <f t="shared" si="38"/>
        <v>6999.91</v>
      </c>
      <c r="H2463" t="str">
        <f>VLOOKUP(C2463,[1]products!$A:$B,2,FALSE)</f>
        <v>Trek Domane SL 6 - 2017</v>
      </c>
      <c r="I2463">
        <f>VLOOKUP(C2463,[1]products!$A:$D,4,FALSE)</f>
        <v>7</v>
      </c>
      <c r="J2463" t="str">
        <f>VLOOKUP(I2463,[2]categories!$A$1:$B$8,2,FALSE)</f>
        <v>Road Bikes</v>
      </c>
    </row>
    <row r="2464" customHeight="1" spans="1:10">
      <c r="A2464" s="1">
        <v>863</v>
      </c>
      <c r="B2464" s="1">
        <v>1</v>
      </c>
      <c r="C2464" s="1">
        <v>93</v>
      </c>
      <c r="D2464" s="1">
        <v>2</v>
      </c>
      <c r="E2464" s="1">
        <v>209.99</v>
      </c>
      <c r="F2464" s="1">
        <v>0.1</v>
      </c>
      <c r="G2464">
        <f t="shared" si="38"/>
        <v>419.88</v>
      </c>
      <c r="H2464" t="str">
        <f>VLOOKUP(C2464,[1]products!$A:$B,2,FALSE)</f>
        <v>Haro Shredder 20 Girls - 2017</v>
      </c>
      <c r="I2464">
        <f>VLOOKUP(C2464,[1]products!$A:$D,4,FALSE)</f>
        <v>1</v>
      </c>
      <c r="J2464" t="str">
        <f>VLOOKUP(I2464,[2]categories!$A$1:$B$8,2,FALSE)</f>
        <v>Children Bicycles</v>
      </c>
    </row>
    <row r="2465" customHeight="1" spans="1:10">
      <c r="A2465" s="1">
        <v>864</v>
      </c>
      <c r="B2465" s="1">
        <v>1</v>
      </c>
      <c r="C2465" s="1">
        <v>37</v>
      </c>
      <c r="D2465" s="1">
        <v>1</v>
      </c>
      <c r="E2465" s="1">
        <v>379.99</v>
      </c>
      <c r="F2465" s="1">
        <v>0.1</v>
      </c>
      <c r="G2465">
        <f t="shared" si="38"/>
        <v>379.89</v>
      </c>
      <c r="H2465" t="str">
        <f>VLOOKUP(C2465,[1]products!$A:$B,2,FALSE)</f>
        <v>Haro Flightline One ST - 2017</v>
      </c>
      <c r="I2465">
        <f>VLOOKUP(C2465,[1]products!$A:$D,4,FALSE)</f>
        <v>6</v>
      </c>
      <c r="J2465" t="str">
        <f>VLOOKUP(I2465,[2]categories!$A$1:$B$8,2,FALSE)</f>
        <v>Mountain Bikes</v>
      </c>
    </row>
    <row r="2466" customHeight="1" spans="1:10">
      <c r="A2466" s="1">
        <v>864</v>
      </c>
      <c r="B2466" s="1">
        <v>2</v>
      </c>
      <c r="C2466" s="1">
        <v>65</v>
      </c>
      <c r="D2466" s="1">
        <v>2</v>
      </c>
      <c r="E2466" s="1">
        <v>346.99</v>
      </c>
      <c r="F2466" s="1">
        <v>0.05</v>
      </c>
      <c r="G2466">
        <f t="shared" si="38"/>
        <v>693.93</v>
      </c>
      <c r="H2466" t="str">
        <f>VLOOKUP(C2466,[1]products!$A:$B,2,FALSE)</f>
        <v>Sun Bicycles Lil Bolt Type-R - 2017</v>
      </c>
      <c r="I2466">
        <f>VLOOKUP(C2466,[1]products!$A:$D,4,FALSE)</f>
        <v>3</v>
      </c>
      <c r="J2466" t="str">
        <f>VLOOKUP(I2466,[2]categories!$A$1:$B$8,2,FALSE)</f>
        <v>Cruisers Bicycles</v>
      </c>
    </row>
    <row r="2467" customHeight="1" spans="1:10">
      <c r="A2467" s="1">
        <v>864</v>
      </c>
      <c r="B2467" s="1">
        <v>3</v>
      </c>
      <c r="C2467" s="1">
        <v>13</v>
      </c>
      <c r="D2467" s="1">
        <v>1</v>
      </c>
      <c r="E2467" s="1">
        <v>269.99</v>
      </c>
      <c r="F2467" s="1">
        <v>0.2</v>
      </c>
      <c r="G2467">
        <f t="shared" si="38"/>
        <v>269.79</v>
      </c>
      <c r="H2467" t="str">
        <f>VLOOKUP(C2467,[1]products!$A:$B,2,FALSE)</f>
        <v>Electra Cruiser 1 (24-Inch) - 2016</v>
      </c>
      <c r="I2467">
        <f>VLOOKUP(C2467,[1]products!$A:$D,4,FALSE)</f>
        <v>3</v>
      </c>
      <c r="J2467" t="str">
        <f>VLOOKUP(I2467,[2]categories!$A$1:$B$8,2,FALSE)</f>
        <v>Cruisers Bicycles</v>
      </c>
    </row>
    <row r="2468" customHeight="1" spans="1:10">
      <c r="A2468" s="1">
        <v>865</v>
      </c>
      <c r="B2468" s="1">
        <v>1</v>
      </c>
      <c r="C2468" s="1">
        <v>109</v>
      </c>
      <c r="D2468" s="1">
        <v>2</v>
      </c>
      <c r="E2468" s="1">
        <v>416.99</v>
      </c>
      <c r="F2468" s="1">
        <v>0.1</v>
      </c>
      <c r="G2468">
        <f t="shared" si="38"/>
        <v>833.88</v>
      </c>
      <c r="H2468" t="str">
        <f>VLOOKUP(C2468,[1]products!$A:$B,2,FALSE)</f>
        <v>Sun Bicycles Cruz 7 - Women's - 2017</v>
      </c>
      <c r="I2468">
        <f>VLOOKUP(C2468,[1]products!$A:$D,4,FALSE)</f>
        <v>2</v>
      </c>
      <c r="J2468" t="str">
        <f>VLOOKUP(I2468,[2]categories!$A$1:$B$8,2,FALSE)</f>
        <v>Comfort Bicycles</v>
      </c>
    </row>
    <row r="2469" customHeight="1" spans="1:10">
      <c r="A2469" s="1">
        <v>865</v>
      </c>
      <c r="B2469" s="1">
        <v>2</v>
      </c>
      <c r="C2469" s="1">
        <v>34</v>
      </c>
      <c r="D2469" s="1">
        <v>1</v>
      </c>
      <c r="E2469" s="1">
        <v>469.99</v>
      </c>
      <c r="F2469" s="1">
        <v>0.05</v>
      </c>
      <c r="G2469">
        <f t="shared" si="38"/>
        <v>469.94</v>
      </c>
      <c r="H2469" t="str">
        <f>VLOOKUP(C2469,[1]products!$A:$B,2,FALSE)</f>
        <v>Trek Session DH 27.5 Carbon Frameset - 2017</v>
      </c>
      <c r="I2469">
        <f>VLOOKUP(C2469,[1]products!$A:$D,4,FALSE)</f>
        <v>6</v>
      </c>
      <c r="J2469" t="str">
        <f>VLOOKUP(I2469,[2]categories!$A$1:$B$8,2,FALSE)</f>
        <v>Mountain Bikes</v>
      </c>
    </row>
    <row r="2470" customHeight="1" spans="1:10">
      <c r="A2470" s="1">
        <v>866</v>
      </c>
      <c r="B2470" s="1">
        <v>1</v>
      </c>
      <c r="C2470" s="1">
        <v>88</v>
      </c>
      <c r="D2470" s="1">
        <v>1</v>
      </c>
      <c r="E2470" s="1">
        <v>189.99</v>
      </c>
      <c r="F2470" s="1">
        <v>0.2</v>
      </c>
      <c r="G2470">
        <f t="shared" si="38"/>
        <v>189.79</v>
      </c>
      <c r="H2470" t="str">
        <f>VLOOKUP(C2470,[1]products!$A:$B,2,FALSE)</f>
        <v>Trek Precaliber 12 Girls - 2017</v>
      </c>
      <c r="I2470">
        <f>VLOOKUP(C2470,[1]products!$A:$D,4,FALSE)</f>
        <v>1</v>
      </c>
      <c r="J2470" t="str">
        <f>VLOOKUP(I2470,[2]categories!$A$1:$B$8,2,FALSE)</f>
        <v>Children Bicycles</v>
      </c>
    </row>
    <row r="2471" customHeight="1" spans="1:10">
      <c r="A2471" s="1">
        <v>866</v>
      </c>
      <c r="B2471" s="1">
        <v>2</v>
      </c>
      <c r="C2471" s="1">
        <v>67</v>
      </c>
      <c r="D2471" s="1">
        <v>2</v>
      </c>
      <c r="E2471" s="1">
        <v>250.99</v>
      </c>
      <c r="F2471" s="1">
        <v>0.07</v>
      </c>
      <c r="G2471">
        <f t="shared" si="38"/>
        <v>501.91</v>
      </c>
      <c r="H2471" t="str">
        <f>VLOOKUP(C2471,[1]products!$A:$B,2,FALSE)</f>
        <v>Sun Bicycles Revolutions 24 - Girl's - 2017</v>
      </c>
      <c r="I2471">
        <f>VLOOKUP(C2471,[1]products!$A:$D,4,FALSE)</f>
        <v>3</v>
      </c>
      <c r="J2471" t="str">
        <f>VLOOKUP(I2471,[2]categories!$A$1:$B$8,2,FALSE)</f>
        <v>Cruisers Bicycles</v>
      </c>
    </row>
    <row r="2472" customHeight="1" spans="1:10">
      <c r="A2472" s="1">
        <v>866</v>
      </c>
      <c r="B2472" s="1">
        <v>3</v>
      </c>
      <c r="C2472" s="1">
        <v>80</v>
      </c>
      <c r="D2472" s="1">
        <v>1</v>
      </c>
      <c r="E2472" s="1">
        <v>761.99</v>
      </c>
      <c r="F2472" s="1">
        <v>0.07</v>
      </c>
      <c r="G2472">
        <f t="shared" si="38"/>
        <v>761.92</v>
      </c>
      <c r="H2472" t="str">
        <f>VLOOKUP(C2472,[1]products!$A:$B,2,FALSE)</f>
        <v>Sun Bicycles Brickell Tandem CB - 2017</v>
      </c>
      <c r="I2472">
        <f>VLOOKUP(C2472,[1]products!$A:$D,4,FALSE)</f>
        <v>3</v>
      </c>
      <c r="J2472" t="str">
        <f>VLOOKUP(I2472,[2]categories!$A$1:$B$8,2,FALSE)</f>
        <v>Cruisers Bicycles</v>
      </c>
    </row>
    <row r="2473" customHeight="1" spans="1:10">
      <c r="A2473" s="1">
        <v>866</v>
      </c>
      <c r="B2473" s="1">
        <v>4</v>
      </c>
      <c r="C2473" s="1">
        <v>13</v>
      </c>
      <c r="D2473" s="1">
        <v>2</v>
      </c>
      <c r="E2473" s="1">
        <v>269.99</v>
      </c>
      <c r="F2473" s="1">
        <v>0.07</v>
      </c>
      <c r="G2473">
        <f t="shared" si="38"/>
        <v>539.91</v>
      </c>
      <c r="H2473" t="str">
        <f>VLOOKUP(C2473,[1]products!$A:$B,2,FALSE)</f>
        <v>Electra Cruiser 1 (24-Inch) - 2016</v>
      </c>
      <c r="I2473">
        <f>VLOOKUP(C2473,[1]products!$A:$D,4,FALSE)</f>
        <v>3</v>
      </c>
      <c r="J2473" t="str">
        <f>VLOOKUP(I2473,[2]categories!$A$1:$B$8,2,FALSE)</f>
        <v>Cruisers Bicycles</v>
      </c>
    </row>
    <row r="2474" customHeight="1" spans="1:10">
      <c r="A2474" s="1">
        <v>867</v>
      </c>
      <c r="B2474" s="1">
        <v>1</v>
      </c>
      <c r="C2474" s="1">
        <v>101</v>
      </c>
      <c r="D2474" s="1">
        <v>1</v>
      </c>
      <c r="E2474" s="1">
        <v>339.99</v>
      </c>
      <c r="F2474" s="1">
        <v>0.05</v>
      </c>
      <c r="G2474">
        <f t="shared" si="38"/>
        <v>339.94</v>
      </c>
      <c r="H2474" t="str">
        <f>VLOOKUP(C2474,[1]products!$A:$B,2,FALSE)</f>
        <v>Electra Townie 7D (20-inch) - Boys' - 2017</v>
      </c>
      <c r="I2474">
        <f>VLOOKUP(C2474,[1]products!$A:$D,4,FALSE)</f>
        <v>1</v>
      </c>
      <c r="J2474" t="str">
        <f>VLOOKUP(I2474,[2]categories!$A$1:$B$8,2,FALSE)</f>
        <v>Children Bicycles</v>
      </c>
    </row>
    <row r="2475" customHeight="1" spans="1:10">
      <c r="A2475" s="1">
        <v>868</v>
      </c>
      <c r="B2475" s="1">
        <v>1</v>
      </c>
      <c r="C2475" s="1">
        <v>46</v>
      </c>
      <c r="D2475" s="1">
        <v>1</v>
      </c>
      <c r="E2475" s="1">
        <v>1409.99</v>
      </c>
      <c r="F2475" s="1">
        <v>0.07</v>
      </c>
      <c r="G2475">
        <f t="shared" si="38"/>
        <v>1409.92</v>
      </c>
      <c r="H2475" t="str">
        <f>VLOOKUP(C2475,[1]products!$A:$B,2,FALSE)</f>
        <v>Haro SR 1.3 - 2017</v>
      </c>
      <c r="I2475">
        <f>VLOOKUP(C2475,[1]products!$A:$D,4,FALSE)</f>
        <v>6</v>
      </c>
      <c r="J2475" t="str">
        <f>VLOOKUP(I2475,[2]categories!$A$1:$B$8,2,FALSE)</f>
        <v>Mountain Bikes</v>
      </c>
    </row>
    <row r="2476" customHeight="1" spans="1:10">
      <c r="A2476" s="1">
        <v>869</v>
      </c>
      <c r="B2476" s="1">
        <v>1</v>
      </c>
      <c r="C2476" s="1">
        <v>7</v>
      </c>
      <c r="D2476" s="1">
        <v>1</v>
      </c>
      <c r="E2476" s="1">
        <v>3999.99</v>
      </c>
      <c r="F2476" s="1">
        <v>0.2</v>
      </c>
      <c r="G2476">
        <f t="shared" si="38"/>
        <v>3999.79</v>
      </c>
      <c r="H2476" t="str">
        <f>VLOOKUP(C2476,[1]products!$A:$B,2,FALSE)</f>
        <v>Trek Slash 8 27.5 - 2016</v>
      </c>
      <c r="I2476">
        <f>VLOOKUP(C2476,[1]products!$A:$D,4,FALSE)</f>
        <v>6</v>
      </c>
      <c r="J2476" t="str">
        <f>VLOOKUP(I2476,[2]categories!$A$1:$B$8,2,FALSE)</f>
        <v>Mountain Bikes</v>
      </c>
    </row>
    <row r="2477" customHeight="1" spans="1:10">
      <c r="A2477" s="1">
        <v>869</v>
      </c>
      <c r="B2477" s="1">
        <v>2</v>
      </c>
      <c r="C2477" s="1">
        <v>106</v>
      </c>
      <c r="D2477" s="1">
        <v>2</v>
      </c>
      <c r="E2477" s="1">
        <v>449.99</v>
      </c>
      <c r="F2477" s="1">
        <v>0.05</v>
      </c>
      <c r="G2477">
        <f t="shared" si="38"/>
        <v>899.93</v>
      </c>
      <c r="H2477" t="str">
        <f>VLOOKUP(C2477,[1]products!$A:$B,2,FALSE)</f>
        <v>Sun Bicycles Cruz 3 - 2017</v>
      </c>
      <c r="I2477">
        <f>VLOOKUP(C2477,[1]products!$A:$D,4,FALSE)</f>
        <v>2</v>
      </c>
      <c r="J2477" t="str">
        <f>VLOOKUP(I2477,[2]categories!$A$1:$B$8,2,FALSE)</f>
        <v>Comfort Bicycles</v>
      </c>
    </row>
    <row r="2478" customHeight="1" spans="1:10">
      <c r="A2478" s="1">
        <v>869</v>
      </c>
      <c r="B2478" s="1">
        <v>3</v>
      </c>
      <c r="C2478" s="1">
        <v>33</v>
      </c>
      <c r="D2478" s="1">
        <v>1</v>
      </c>
      <c r="E2478" s="1">
        <v>469.99</v>
      </c>
      <c r="F2478" s="1">
        <v>0.05</v>
      </c>
      <c r="G2478">
        <f t="shared" si="38"/>
        <v>469.94</v>
      </c>
      <c r="H2478" t="str">
        <f>VLOOKUP(C2478,[1]products!$A:$B,2,FALSE)</f>
        <v>Surly Wednesday Frameset - 2017</v>
      </c>
      <c r="I2478">
        <f>VLOOKUP(C2478,[1]products!$A:$D,4,FALSE)</f>
        <v>6</v>
      </c>
      <c r="J2478" t="str">
        <f>VLOOKUP(I2478,[2]categories!$A$1:$B$8,2,FALSE)</f>
        <v>Mountain Bikes</v>
      </c>
    </row>
    <row r="2479" customHeight="1" spans="1:10">
      <c r="A2479" s="1">
        <v>869</v>
      </c>
      <c r="B2479" s="1">
        <v>4</v>
      </c>
      <c r="C2479" s="1">
        <v>55</v>
      </c>
      <c r="D2479" s="1">
        <v>2</v>
      </c>
      <c r="E2479" s="1">
        <v>2699.99</v>
      </c>
      <c r="F2479" s="1">
        <v>0.05</v>
      </c>
      <c r="G2479">
        <f t="shared" si="38"/>
        <v>5399.93</v>
      </c>
      <c r="H2479" t="str">
        <f>VLOOKUP(C2479,[1]products!$A:$B,2,FALSE)</f>
        <v>Trek Domane S 6 - 2017</v>
      </c>
      <c r="I2479">
        <f>VLOOKUP(C2479,[1]products!$A:$D,4,FALSE)</f>
        <v>7</v>
      </c>
      <c r="J2479" t="str">
        <f>VLOOKUP(I2479,[2]categories!$A$1:$B$8,2,FALSE)</f>
        <v>Road Bikes</v>
      </c>
    </row>
    <row r="2480" customHeight="1" spans="1:10">
      <c r="A2480" s="1">
        <v>869</v>
      </c>
      <c r="B2480" s="1">
        <v>5</v>
      </c>
      <c r="C2480" s="1">
        <v>65</v>
      </c>
      <c r="D2480" s="1">
        <v>2</v>
      </c>
      <c r="E2480" s="1">
        <v>346.99</v>
      </c>
      <c r="F2480" s="1">
        <v>0.2</v>
      </c>
      <c r="G2480">
        <f t="shared" si="38"/>
        <v>693.78</v>
      </c>
      <c r="H2480" t="str">
        <f>VLOOKUP(C2480,[1]products!$A:$B,2,FALSE)</f>
        <v>Sun Bicycles Lil Bolt Type-R - 2017</v>
      </c>
      <c r="I2480">
        <f>VLOOKUP(C2480,[1]products!$A:$D,4,FALSE)</f>
        <v>3</v>
      </c>
      <c r="J2480" t="str">
        <f>VLOOKUP(I2480,[2]categories!$A$1:$B$8,2,FALSE)</f>
        <v>Cruisers Bicycles</v>
      </c>
    </row>
    <row r="2481" customHeight="1" spans="1:10">
      <c r="A2481" s="1">
        <v>870</v>
      </c>
      <c r="B2481" s="1">
        <v>1</v>
      </c>
      <c r="C2481" s="1">
        <v>63</v>
      </c>
      <c r="D2481" s="1">
        <v>1</v>
      </c>
      <c r="E2481" s="1">
        <v>3499.99</v>
      </c>
      <c r="F2481" s="1">
        <v>0.07</v>
      </c>
      <c r="G2481">
        <f t="shared" si="38"/>
        <v>3499.92</v>
      </c>
      <c r="H2481" t="str">
        <f>VLOOKUP(C2481,[1]products!$A:$B,2,FALSE)</f>
        <v>Trek Boone Race Shop Limited - 2017</v>
      </c>
      <c r="I2481">
        <f>VLOOKUP(C2481,[1]products!$A:$D,4,FALSE)</f>
        <v>4</v>
      </c>
      <c r="J2481" t="str">
        <f>VLOOKUP(I2481,[2]categories!$A$1:$B$8,2,FALSE)</f>
        <v>Cyclocross Bicycles</v>
      </c>
    </row>
    <row r="2482" customHeight="1" spans="1:10">
      <c r="A2482" s="1">
        <v>871</v>
      </c>
      <c r="B2482" s="1">
        <v>1</v>
      </c>
      <c r="C2482" s="1">
        <v>106</v>
      </c>
      <c r="D2482" s="1">
        <v>1</v>
      </c>
      <c r="E2482" s="1">
        <v>449.99</v>
      </c>
      <c r="F2482" s="1">
        <v>0.2</v>
      </c>
      <c r="G2482">
        <f t="shared" si="38"/>
        <v>449.79</v>
      </c>
      <c r="H2482" t="str">
        <f>VLOOKUP(C2482,[1]products!$A:$B,2,FALSE)</f>
        <v>Sun Bicycles Cruz 3 - 2017</v>
      </c>
      <c r="I2482">
        <f>VLOOKUP(C2482,[1]products!$A:$D,4,FALSE)</f>
        <v>2</v>
      </c>
      <c r="J2482" t="str">
        <f>VLOOKUP(I2482,[2]categories!$A$1:$B$8,2,FALSE)</f>
        <v>Comfort Bicycles</v>
      </c>
    </row>
    <row r="2483" customHeight="1" spans="1:10">
      <c r="A2483" s="1">
        <v>871</v>
      </c>
      <c r="B2483" s="1">
        <v>2</v>
      </c>
      <c r="C2483" s="1">
        <v>38</v>
      </c>
      <c r="D2483" s="1">
        <v>1</v>
      </c>
      <c r="E2483" s="1">
        <v>549.99</v>
      </c>
      <c r="F2483" s="1">
        <v>0.1</v>
      </c>
      <c r="G2483">
        <f t="shared" si="38"/>
        <v>549.89</v>
      </c>
      <c r="H2483" t="str">
        <f>VLOOKUP(C2483,[1]products!$A:$B,2,FALSE)</f>
        <v>Haro Flightline Two 26 Plus - 2017</v>
      </c>
      <c r="I2483">
        <f>VLOOKUP(C2483,[1]products!$A:$D,4,FALSE)</f>
        <v>6</v>
      </c>
      <c r="J2483" t="str">
        <f>VLOOKUP(I2483,[2]categories!$A$1:$B$8,2,FALSE)</f>
        <v>Mountain Bikes</v>
      </c>
    </row>
    <row r="2484" customHeight="1" spans="1:10">
      <c r="A2484" s="1">
        <v>871</v>
      </c>
      <c r="B2484" s="1">
        <v>3</v>
      </c>
      <c r="C2484" s="1">
        <v>30</v>
      </c>
      <c r="D2484" s="1">
        <v>2</v>
      </c>
      <c r="E2484" s="1">
        <v>999.99</v>
      </c>
      <c r="F2484" s="1">
        <v>0.2</v>
      </c>
      <c r="G2484">
        <f t="shared" si="38"/>
        <v>1999.78</v>
      </c>
      <c r="H2484" t="str">
        <f>VLOOKUP(C2484,[1]products!$A:$B,2,FALSE)</f>
        <v>Surly Ice Cream Truck Frameset - 2017</v>
      </c>
      <c r="I2484">
        <f>VLOOKUP(C2484,[1]products!$A:$D,4,FALSE)</f>
        <v>6</v>
      </c>
      <c r="J2484" t="str">
        <f>VLOOKUP(I2484,[2]categories!$A$1:$B$8,2,FALSE)</f>
        <v>Mountain Bikes</v>
      </c>
    </row>
    <row r="2485" customHeight="1" spans="1:10">
      <c r="A2485" s="1">
        <v>871</v>
      </c>
      <c r="B2485" s="1">
        <v>4</v>
      </c>
      <c r="C2485" s="1">
        <v>107</v>
      </c>
      <c r="D2485" s="1">
        <v>2</v>
      </c>
      <c r="E2485" s="1">
        <v>416.99</v>
      </c>
      <c r="F2485" s="1">
        <v>0.05</v>
      </c>
      <c r="G2485">
        <f t="shared" si="38"/>
        <v>833.93</v>
      </c>
      <c r="H2485" t="str">
        <f>VLOOKUP(C2485,[1]products!$A:$B,2,FALSE)</f>
        <v>Sun Bicycles Cruz 7 - 2017</v>
      </c>
      <c r="I2485">
        <f>VLOOKUP(C2485,[1]products!$A:$D,4,FALSE)</f>
        <v>2</v>
      </c>
      <c r="J2485" t="str">
        <f>VLOOKUP(I2485,[2]categories!$A$1:$B$8,2,FALSE)</f>
        <v>Comfort Bicycles</v>
      </c>
    </row>
    <row r="2486" customHeight="1" spans="1:10">
      <c r="A2486" s="1">
        <v>872</v>
      </c>
      <c r="B2486" s="1">
        <v>1</v>
      </c>
      <c r="C2486" s="1">
        <v>62</v>
      </c>
      <c r="D2486" s="1">
        <v>2</v>
      </c>
      <c r="E2486" s="1">
        <v>3499.99</v>
      </c>
      <c r="F2486" s="1">
        <v>0.07</v>
      </c>
      <c r="G2486">
        <f t="shared" si="38"/>
        <v>6999.91</v>
      </c>
      <c r="H2486" t="str">
        <f>VLOOKUP(C2486,[1]products!$A:$B,2,FALSE)</f>
        <v>Trek Boone 7 - 2017</v>
      </c>
      <c r="I2486">
        <f>VLOOKUP(C2486,[1]products!$A:$D,4,FALSE)</f>
        <v>4</v>
      </c>
      <c r="J2486" t="str">
        <f>VLOOKUP(I2486,[2]categories!$A$1:$B$8,2,FALSE)</f>
        <v>Cyclocross Bicycles</v>
      </c>
    </row>
    <row r="2487" customHeight="1" spans="1:10">
      <c r="A2487" s="1">
        <v>872</v>
      </c>
      <c r="B2487" s="1">
        <v>2</v>
      </c>
      <c r="C2487" s="1">
        <v>53</v>
      </c>
      <c r="D2487" s="1">
        <v>1</v>
      </c>
      <c r="E2487" s="1">
        <v>749.99</v>
      </c>
      <c r="F2487" s="1">
        <v>0.1</v>
      </c>
      <c r="G2487">
        <f t="shared" si="38"/>
        <v>749.89</v>
      </c>
      <c r="H2487" t="str">
        <f>VLOOKUP(C2487,[1]products!$A:$B,2,FALSE)</f>
        <v>Surly Ogre Frameset - 2017</v>
      </c>
      <c r="I2487">
        <f>VLOOKUP(C2487,[1]products!$A:$D,4,FALSE)</f>
        <v>7</v>
      </c>
      <c r="J2487" t="str">
        <f>VLOOKUP(I2487,[2]categories!$A$1:$B$8,2,FALSE)</f>
        <v>Road Bikes</v>
      </c>
    </row>
    <row r="2488" customHeight="1" spans="1:10">
      <c r="A2488" s="1">
        <v>873</v>
      </c>
      <c r="B2488" s="1">
        <v>1</v>
      </c>
      <c r="C2488" s="1">
        <v>32</v>
      </c>
      <c r="D2488" s="1">
        <v>2</v>
      </c>
      <c r="E2488" s="1">
        <v>469.99</v>
      </c>
      <c r="F2488" s="1">
        <v>0.1</v>
      </c>
      <c r="G2488">
        <f t="shared" si="38"/>
        <v>939.88</v>
      </c>
      <c r="H2488" t="str">
        <f>VLOOKUP(C2488,[1]products!$A:$B,2,FALSE)</f>
        <v>Trek Farley Alloy Frameset - 2017</v>
      </c>
      <c r="I2488">
        <f>VLOOKUP(C2488,[1]products!$A:$D,4,FALSE)</f>
        <v>6</v>
      </c>
      <c r="J2488" t="str">
        <f>VLOOKUP(I2488,[2]categories!$A$1:$B$8,2,FALSE)</f>
        <v>Mountain Bikes</v>
      </c>
    </row>
    <row r="2489" customHeight="1" spans="1:10">
      <c r="A2489" s="1">
        <v>874</v>
      </c>
      <c r="B2489" s="1">
        <v>1</v>
      </c>
      <c r="C2489" s="1">
        <v>56</v>
      </c>
      <c r="D2489" s="1">
        <v>1</v>
      </c>
      <c r="E2489" s="1">
        <v>5499.99</v>
      </c>
      <c r="F2489" s="1">
        <v>0.05</v>
      </c>
      <c r="G2489">
        <f t="shared" si="38"/>
        <v>5499.94</v>
      </c>
      <c r="H2489" t="str">
        <f>VLOOKUP(C2489,[1]products!$A:$B,2,FALSE)</f>
        <v>Trek Domane SLR 6 Disc - 2017</v>
      </c>
      <c r="I2489">
        <f>VLOOKUP(C2489,[1]products!$A:$D,4,FALSE)</f>
        <v>7</v>
      </c>
      <c r="J2489" t="str">
        <f>VLOOKUP(I2489,[2]categories!$A$1:$B$8,2,FALSE)</f>
        <v>Road Bikes</v>
      </c>
    </row>
    <row r="2490" customHeight="1" spans="1:10">
      <c r="A2490" s="1">
        <v>874</v>
      </c>
      <c r="B2490" s="1">
        <v>2</v>
      </c>
      <c r="C2490" s="1">
        <v>27</v>
      </c>
      <c r="D2490" s="1">
        <v>2</v>
      </c>
      <c r="E2490" s="1">
        <v>999.99</v>
      </c>
      <c r="F2490" s="1">
        <v>0.05</v>
      </c>
      <c r="G2490">
        <f t="shared" si="38"/>
        <v>1999.93</v>
      </c>
      <c r="H2490" t="str">
        <f>VLOOKUP(C2490,[1]products!$A:$B,2,FALSE)</f>
        <v>Surly Big Dummy Frameset - 2017</v>
      </c>
      <c r="I2490">
        <f>VLOOKUP(C2490,[1]products!$A:$D,4,FALSE)</f>
        <v>6</v>
      </c>
      <c r="J2490" t="str">
        <f>VLOOKUP(I2490,[2]categories!$A$1:$B$8,2,FALSE)</f>
        <v>Mountain Bikes</v>
      </c>
    </row>
    <row r="2491" customHeight="1" spans="1:10">
      <c r="A2491" s="1">
        <v>874</v>
      </c>
      <c r="B2491" s="1">
        <v>3</v>
      </c>
      <c r="C2491" s="1">
        <v>73</v>
      </c>
      <c r="D2491" s="1">
        <v>1</v>
      </c>
      <c r="E2491" s="1">
        <v>749.99</v>
      </c>
      <c r="F2491" s="1">
        <v>0.1</v>
      </c>
      <c r="G2491">
        <f t="shared" si="38"/>
        <v>749.89</v>
      </c>
      <c r="H2491" t="str">
        <f>VLOOKUP(C2491,[1]products!$A:$B,2,FALSE)</f>
        <v>Sun Bicycles Brickell Tandem 7 - 2017</v>
      </c>
      <c r="I2491">
        <f>VLOOKUP(C2491,[1]products!$A:$D,4,FALSE)</f>
        <v>3</v>
      </c>
      <c r="J2491" t="str">
        <f>VLOOKUP(I2491,[2]categories!$A$1:$B$8,2,FALSE)</f>
        <v>Cruisers Bicycles</v>
      </c>
    </row>
    <row r="2492" customHeight="1" spans="1:10">
      <c r="A2492" s="1">
        <v>874</v>
      </c>
      <c r="B2492" s="1">
        <v>4</v>
      </c>
      <c r="C2492" s="1">
        <v>77</v>
      </c>
      <c r="D2492" s="1">
        <v>2</v>
      </c>
      <c r="E2492" s="1">
        <v>799.99</v>
      </c>
      <c r="F2492" s="1">
        <v>0.07</v>
      </c>
      <c r="G2492">
        <f t="shared" si="38"/>
        <v>1599.91</v>
      </c>
      <c r="H2492" t="str">
        <f>VLOOKUP(C2492,[1]products!$A:$B,2,FALSE)</f>
        <v>Electra Glam Punk 3i Ladies' - 2017</v>
      </c>
      <c r="I2492">
        <f>VLOOKUP(C2492,[1]products!$A:$D,4,FALSE)</f>
        <v>3</v>
      </c>
      <c r="J2492" t="str">
        <f>VLOOKUP(I2492,[2]categories!$A$1:$B$8,2,FALSE)</f>
        <v>Cruisers Bicycles</v>
      </c>
    </row>
    <row r="2493" customHeight="1" spans="1:10">
      <c r="A2493" s="1">
        <v>875</v>
      </c>
      <c r="B2493" s="1">
        <v>1</v>
      </c>
      <c r="C2493" s="1">
        <v>5</v>
      </c>
      <c r="D2493" s="1">
        <v>2</v>
      </c>
      <c r="E2493" s="1">
        <v>1320.99</v>
      </c>
      <c r="F2493" s="1">
        <v>0.1</v>
      </c>
      <c r="G2493">
        <f t="shared" si="38"/>
        <v>2641.88</v>
      </c>
      <c r="H2493" t="str">
        <f>VLOOKUP(C2493,[1]products!$A:$B,2,FALSE)</f>
        <v>Heller Shagamaw Frame - 2016</v>
      </c>
      <c r="I2493">
        <f>VLOOKUP(C2493,[1]products!$A:$D,4,FALSE)</f>
        <v>6</v>
      </c>
      <c r="J2493" t="str">
        <f>VLOOKUP(I2493,[2]categories!$A$1:$B$8,2,FALSE)</f>
        <v>Mountain Bikes</v>
      </c>
    </row>
    <row r="2494" customHeight="1" spans="1:10">
      <c r="A2494" s="1">
        <v>875</v>
      </c>
      <c r="B2494" s="1">
        <v>2</v>
      </c>
      <c r="C2494" s="1">
        <v>15</v>
      </c>
      <c r="D2494" s="1">
        <v>2</v>
      </c>
      <c r="E2494" s="1">
        <v>529.99</v>
      </c>
      <c r="F2494" s="1">
        <v>0.05</v>
      </c>
      <c r="G2494">
        <f t="shared" si="38"/>
        <v>1059.93</v>
      </c>
      <c r="H2494" t="str">
        <f>VLOOKUP(C2494,[1]products!$A:$B,2,FALSE)</f>
        <v>Electra Moto 1 - 2016</v>
      </c>
      <c r="I2494">
        <f>VLOOKUP(C2494,[1]products!$A:$D,4,FALSE)</f>
        <v>3</v>
      </c>
      <c r="J2494" t="str">
        <f>VLOOKUP(I2494,[2]categories!$A$1:$B$8,2,FALSE)</f>
        <v>Cruisers Bicycles</v>
      </c>
    </row>
    <row r="2495" customHeight="1" spans="1:10">
      <c r="A2495" s="1">
        <v>875</v>
      </c>
      <c r="B2495" s="1">
        <v>3</v>
      </c>
      <c r="C2495" s="1">
        <v>14</v>
      </c>
      <c r="D2495" s="1">
        <v>1</v>
      </c>
      <c r="E2495" s="1">
        <v>269.99</v>
      </c>
      <c r="F2495" s="1">
        <v>0.07</v>
      </c>
      <c r="G2495">
        <f t="shared" si="38"/>
        <v>269.92</v>
      </c>
      <c r="H2495" t="str">
        <f>VLOOKUP(C2495,[1]products!$A:$B,2,FALSE)</f>
        <v>Electra Girl's Hawaii 1 (16-inch) - 2015/2016</v>
      </c>
      <c r="I2495">
        <f>VLOOKUP(C2495,[1]products!$A:$D,4,FALSE)</f>
        <v>3</v>
      </c>
      <c r="J2495" t="str">
        <f>VLOOKUP(I2495,[2]categories!$A$1:$B$8,2,FALSE)</f>
        <v>Cruisers Bicycles</v>
      </c>
    </row>
    <row r="2496" customHeight="1" spans="1:10">
      <c r="A2496" s="1">
        <v>875</v>
      </c>
      <c r="B2496" s="1">
        <v>4</v>
      </c>
      <c r="C2496" s="1">
        <v>111</v>
      </c>
      <c r="D2496" s="1">
        <v>1</v>
      </c>
      <c r="E2496" s="1">
        <v>470.99</v>
      </c>
      <c r="F2496" s="1">
        <v>0.2</v>
      </c>
      <c r="G2496">
        <f t="shared" si="38"/>
        <v>470.79</v>
      </c>
      <c r="H2496" t="str">
        <f>VLOOKUP(C2496,[1]products!$A:$B,2,FALSE)</f>
        <v>Sun Bicycles Drifter 7 - Women's - 2017</v>
      </c>
      <c r="I2496">
        <f>VLOOKUP(C2496,[1]products!$A:$D,4,FALSE)</f>
        <v>2</v>
      </c>
      <c r="J2496" t="str">
        <f>VLOOKUP(I2496,[2]categories!$A$1:$B$8,2,FALSE)</f>
        <v>Comfort Bicycles</v>
      </c>
    </row>
    <row r="2497" customHeight="1" spans="1:10">
      <c r="A2497" s="1">
        <v>876</v>
      </c>
      <c r="B2497" s="1">
        <v>1</v>
      </c>
      <c r="C2497" s="1">
        <v>17</v>
      </c>
      <c r="D2497" s="1">
        <v>2</v>
      </c>
      <c r="E2497" s="1">
        <v>429</v>
      </c>
      <c r="F2497" s="1">
        <v>0.2</v>
      </c>
      <c r="G2497">
        <f t="shared" si="38"/>
        <v>857.8</v>
      </c>
      <c r="H2497" t="str">
        <f>VLOOKUP(C2497,[1]products!$A:$B,2,FALSE)</f>
        <v>Pure Cycles Vine 8-Speed - 2016</v>
      </c>
      <c r="I2497">
        <f>VLOOKUP(C2497,[1]products!$A:$D,4,FALSE)</f>
        <v>3</v>
      </c>
      <c r="J2497" t="str">
        <f>VLOOKUP(I2497,[2]categories!$A$1:$B$8,2,FALSE)</f>
        <v>Cruisers Bicycles</v>
      </c>
    </row>
    <row r="2498" customHeight="1" spans="1:10">
      <c r="A2498" s="1">
        <v>876</v>
      </c>
      <c r="B2498" s="1">
        <v>2</v>
      </c>
      <c r="C2498" s="1">
        <v>66</v>
      </c>
      <c r="D2498" s="1">
        <v>2</v>
      </c>
      <c r="E2498" s="1">
        <v>250.99</v>
      </c>
      <c r="F2498" s="1">
        <v>0.2</v>
      </c>
      <c r="G2498">
        <f t="shared" si="38"/>
        <v>501.78</v>
      </c>
      <c r="H2498" t="str">
        <f>VLOOKUP(C2498,[1]products!$A:$B,2,FALSE)</f>
        <v>Sun Bicycles Revolutions 24 - 2017</v>
      </c>
      <c r="I2498">
        <f>VLOOKUP(C2498,[1]products!$A:$D,4,FALSE)</f>
        <v>3</v>
      </c>
      <c r="J2498" t="str">
        <f>VLOOKUP(I2498,[2]categories!$A$1:$B$8,2,FALSE)</f>
        <v>Cruisers Bicycles</v>
      </c>
    </row>
    <row r="2499" customHeight="1" spans="1:10">
      <c r="A2499" s="1">
        <v>876</v>
      </c>
      <c r="B2499" s="1">
        <v>3</v>
      </c>
      <c r="C2499" s="1">
        <v>96</v>
      </c>
      <c r="D2499" s="1">
        <v>1</v>
      </c>
      <c r="E2499" s="1">
        <v>349.99</v>
      </c>
      <c r="F2499" s="1">
        <v>0.07</v>
      </c>
      <c r="G2499">
        <f t="shared" ref="G2499:G2562" si="39">(E2499*D2499)-F2499</f>
        <v>349.92</v>
      </c>
      <c r="H2499" t="str">
        <f>VLOOKUP(C2499,[1]products!$A:$B,2,FALSE)</f>
        <v>Electra Moto 3i (20-inch) - Boy's - 2017</v>
      </c>
      <c r="I2499">
        <f>VLOOKUP(C2499,[1]products!$A:$D,4,FALSE)</f>
        <v>1</v>
      </c>
      <c r="J2499" t="str">
        <f>VLOOKUP(I2499,[2]categories!$A$1:$B$8,2,FALSE)</f>
        <v>Children Bicycles</v>
      </c>
    </row>
    <row r="2500" customHeight="1" spans="1:10">
      <c r="A2500" s="1">
        <v>876</v>
      </c>
      <c r="B2500" s="1">
        <v>4</v>
      </c>
      <c r="C2500" s="1">
        <v>107</v>
      </c>
      <c r="D2500" s="1">
        <v>2</v>
      </c>
      <c r="E2500" s="1">
        <v>416.99</v>
      </c>
      <c r="F2500" s="1">
        <v>0.05</v>
      </c>
      <c r="G2500">
        <f t="shared" si="39"/>
        <v>833.93</v>
      </c>
      <c r="H2500" t="str">
        <f>VLOOKUP(C2500,[1]products!$A:$B,2,FALSE)</f>
        <v>Sun Bicycles Cruz 7 - 2017</v>
      </c>
      <c r="I2500">
        <f>VLOOKUP(C2500,[1]products!$A:$D,4,FALSE)</f>
        <v>2</v>
      </c>
      <c r="J2500" t="str">
        <f>VLOOKUP(I2500,[2]categories!$A$1:$B$8,2,FALSE)</f>
        <v>Comfort Bicycles</v>
      </c>
    </row>
    <row r="2501" customHeight="1" spans="1:10">
      <c r="A2501" s="1">
        <v>877</v>
      </c>
      <c r="B2501" s="1">
        <v>1</v>
      </c>
      <c r="C2501" s="1">
        <v>73</v>
      </c>
      <c r="D2501" s="1">
        <v>1</v>
      </c>
      <c r="E2501" s="1">
        <v>749.99</v>
      </c>
      <c r="F2501" s="1">
        <v>0.07</v>
      </c>
      <c r="G2501">
        <f t="shared" si="39"/>
        <v>749.92</v>
      </c>
      <c r="H2501" t="str">
        <f>VLOOKUP(C2501,[1]products!$A:$B,2,FALSE)</f>
        <v>Sun Bicycles Brickell Tandem 7 - 2017</v>
      </c>
      <c r="I2501">
        <f>VLOOKUP(C2501,[1]products!$A:$D,4,FALSE)</f>
        <v>3</v>
      </c>
      <c r="J2501" t="str">
        <f>VLOOKUP(I2501,[2]categories!$A$1:$B$8,2,FALSE)</f>
        <v>Cruisers Bicycles</v>
      </c>
    </row>
    <row r="2502" customHeight="1" spans="1:10">
      <c r="A2502" s="1">
        <v>877</v>
      </c>
      <c r="B2502" s="1">
        <v>2</v>
      </c>
      <c r="C2502" s="1">
        <v>103</v>
      </c>
      <c r="D2502" s="1">
        <v>1</v>
      </c>
      <c r="E2502" s="1">
        <v>551.99</v>
      </c>
      <c r="F2502" s="1">
        <v>0.1</v>
      </c>
      <c r="G2502">
        <f t="shared" si="39"/>
        <v>551.89</v>
      </c>
      <c r="H2502" t="str">
        <f>VLOOKUP(C2502,[1]products!$A:$B,2,FALSE)</f>
        <v>Sun Bicycles Streamway 3 - 2017</v>
      </c>
      <c r="I2502">
        <f>VLOOKUP(C2502,[1]products!$A:$D,4,FALSE)</f>
        <v>2</v>
      </c>
      <c r="J2502" t="str">
        <f>VLOOKUP(I2502,[2]categories!$A$1:$B$8,2,FALSE)</f>
        <v>Comfort Bicycles</v>
      </c>
    </row>
    <row r="2503" customHeight="1" spans="1:10">
      <c r="A2503" s="1">
        <v>878</v>
      </c>
      <c r="B2503" s="1">
        <v>1</v>
      </c>
      <c r="C2503" s="1">
        <v>103</v>
      </c>
      <c r="D2503" s="1">
        <v>1</v>
      </c>
      <c r="E2503" s="1">
        <v>551.99</v>
      </c>
      <c r="F2503" s="1">
        <v>0.2</v>
      </c>
      <c r="G2503">
        <f t="shared" si="39"/>
        <v>551.79</v>
      </c>
      <c r="H2503" t="str">
        <f>VLOOKUP(C2503,[1]products!$A:$B,2,FALSE)</f>
        <v>Sun Bicycles Streamway 3 - 2017</v>
      </c>
      <c r="I2503">
        <f>VLOOKUP(C2503,[1]products!$A:$D,4,FALSE)</f>
        <v>2</v>
      </c>
      <c r="J2503" t="str">
        <f>VLOOKUP(I2503,[2]categories!$A$1:$B$8,2,FALSE)</f>
        <v>Comfort Bicycles</v>
      </c>
    </row>
    <row r="2504" customHeight="1" spans="1:10">
      <c r="A2504" s="1">
        <v>878</v>
      </c>
      <c r="B2504" s="1">
        <v>2</v>
      </c>
      <c r="C2504" s="1">
        <v>13</v>
      </c>
      <c r="D2504" s="1">
        <v>1</v>
      </c>
      <c r="E2504" s="1">
        <v>269.99</v>
      </c>
      <c r="F2504" s="1">
        <v>0.1</v>
      </c>
      <c r="G2504">
        <f t="shared" si="39"/>
        <v>269.89</v>
      </c>
      <c r="H2504" t="str">
        <f>VLOOKUP(C2504,[1]products!$A:$B,2,FALSE)</f>
        <v>Electra Cruiser 1 (24-Inch) - 2016</v>
      </c>
      <c r="I2504">
        <f>VLOOKUP(C2504,[1]products!$A:$D,4,FALSE)</f>
        <v>3</v>
      </c>
      <c r="J2504" t="str">
        <f>VLOOKUP(I2504,[2]categories!$A$1:$B$8,2,FALSE)</f>
        <v>Cruisers Bicycles</v>
      </c>
    </row>
    <row r="2505" customHeight="1" spans="1:10">
      <c r="A2505" s="1">
        <v>878</v>
      </c>
      <c r="B2505" s="1">
        <v>3</v>
      </c>
      <c r="C2505" s="1">
        <v>6</v>
      </c>
      <c r="D2505" s="1">
        <v>2</v>
      </c>
      <c r="E2505" s="1">
        <v>469.99</v>
      </c>
      <c r="F2505" s="1">
        <v>0.2</v>
      </c>
      <c r="G2505">
        <f t="shared" si="39"/>
        <v>939.78</v>
      </c>
      <c r="H2505" t="str">
        <f>VLOOKUP(C2505,[1]products!$A:$B,2,FALSE)</f>
        <v>Surly Ice Cream Truck Frameset - 2016</v>
      </c>
      <c r="I2505">
        <f>VLOOKUP(C2505,[1]products!$A:$D,4,FALSE)</f>
        <v>6</v>
      </c>
      <c r="J2505" t="str">
        <f>VLOOKUP(I2505,[2]categories!$A$1:$B$8,2,FALSE)</f>
        <v>Mountain Bikes</v>
      </c>
    </row>
    <row r="2506" customHeight="1" spans="1:10">
      <c r="A2506" s="1">
        <v>878</v>
      </c>
      <c r="B2506" s="1">
        <v>4</v>
      </c>
      <c r="C2506" s="1">
        <v>18</v>
      </c>
      <c r="D2506" s="1">
        <v>2</v>
      </c>
      <c r="E2506" s="1">
        <v>449</v>
      </c>
      <c r="F2506" s="1">
        <v>0.05</v>
      </c>
      <c r="G2506">
        <f t="shared" si="39"/>
        <v>897.95</v>
      </c>
      <c r="H2506" t="str">
        <f>VLOOKUP(C2506,[1]products!$A:$B,2,FALSE)</f>
        <v>Pure Cycles Western 3-Speed - Women's - 2015/2016</v>
      </c>
      <c r="I2506">
        <f>VLOOKUP(C2506,[1]products!$A:$D,4,FALSE)</f>
        <v>3</v>
      </c>
      <c r="J2506" t="str">
        <f>VLOOKUP(I2506,[2]categories!$A$1:$B$8,2,FALSE)</f>
        <v>Cruisers Bicycles</v>
      </c>
    </row>
    <row r="2507" customHeight="1" spans="1:10">
      <c r="A2507" s="1">
        <v>879</v>
      </c>
      <c r="B2507" s="1">
        <v>1</v>
      </c>
      <c r="C2507" s="1">
        <v>100</v>
      </c>
      <c r="D2507" s="1">
        <v>2</v>
      </c>
      <c r="E2507" s="1">
        <v>489.99</v>
      </c>
      <c r="F2507" s="1">
        <v>0.2</v>
      </c>
      <c r="G2507">
        <f t="shared" si="39"/>
        <v>979.78</v>
      </c>
      <c r="H2507" t="str">
        <f>VLOOKUP(C2507,[1]products!$A:$B,2,FALSE)</f>
        <v>Electra Townie 3i EQ (20-inch) - Boys' - 2017</v>
      </c>
      <c r="I2507">
        <f>VLOOKUP(C2507,[1]products!$A:$D,4,FALSE)</f>
        <v>1</v>
      </c>
      <c r="J2507" t="str">
        <f>VLOOKUP(I2507,[2]categories!$A$1:$B$8,2,FALSE)</f>
        <v>Children Bicycles</v>
      </c>
    </row>
    <row r="2508" customHeight="1" spans="1:10">
      <c r="A2508" s="1">
        <v>879</v>
      </c>
      <c r="B2508" s="1">
        <v>2</v>
      </c>
      <c r="C2508" s="1">
        <v>2</v>
      </c>
      <c r="D2508" s="1">
        <v>2</v>
      </c>
      <c r="E2508" s="1">
        <v>749.99</v>
      </c>
      <c r="F2508" s="1">
        <v>0.07</v>
      </c>
      <c r="G2508">
        <f t="shared" si="39"/>
        <v>1499.91</v>
      </c>
      <c r="H2508" t="str">
        <f>VLOOKUP(C2508,[1]products!$A:$B,2,FALSE)</f>
        <v>Ritchey Timberwolf Frameset - 2016</v>
      </c>
      <c r="I2508">
        <f>VLOOKUP(C2508,[1]products!$A:$D,4,FALSE)</f>
        <v>6</v>
      </c>
      <c r="J2508" t="str">
        <f>VLOOKUP(I2508,[2]categories!$A$1:$B$8,2,FALSE)</f>
        <v>Mountain Bikes</v>
      </c>
    </row>
    <row r="2509" customHeight="1" spans="1:10">
      <c r="A2509" s="1">
        <v>879</v>
      </c>
      <c r="B2509" s="1">
        <v>3</v>
      </c>
      <c r="C2509" s="1">
        <v>83</v>
      </c>
      <c r="D2509" s="1">
        <v>2</v>
      </c>
      <c r="E2509" s="1">
        <v>149.99</v>
      </c>
      <c r="F2509" s="1">
        <v>0.2</v>
      </c>
      <c r="G2509">
        <f t="shared" si="39"/>
        <v>299.78</v>
      </c>
      <c r="H2509" t="str">
        <f>VLOOKUP(C2509,[1]products!$A:$B,2,FALSE)</f>
        <v>Trek Boy's Kickster - 2015/2017</v>
      </c>
      <c r="I2509">
        <f>VLOOKUP(C2509,[1]products!$A:$D,4,FALSE)</f>
        <v>1</v>
      </c>
      <c r="J2509" t="str">
        <f>VLOOKUP(I2509,[2]categories!$A$1:$B$8,2,FALSE)</f>
        <v>Children Bicycles</v>
      </c>
    </row>
    <row r="2510" customHeight="1" spans="1:10">
      <c r="A2510" s="1">
        <v>879</v>
      </c>
      <c r="B2510" s="1">
        <v>4</v>
      </c>
      <c r="C2510" s="1">
        <v>82</v>
      </c>
      <c r="D2510" s="1">
        <v>1</v>
      </c>
      <c r="E2510" s="1">
        <v>659.99</v>
      </c>
      <c r="F2510" s="1">
        <v>0.07</v>
      </c>
      <c r="G2510">
        <f t="shared" si="39"/>
        <v>659.92</v>
      </c>
      <c r="H2510" t="str">
        <f>VLOOKUP(C2510,[1]products!$A:$B,2,FALSE)</f>
        <v>Electra Amsterdam Original 3i Ladies' - 2017</v>
      </c>
      <c r="I2510">
        <f>VLOOKUP(C2510,[1]products!$A:$D,4,FALSE)</f>
        <v>3</v>
      </c>
      <c r="J2510" t="str">
        <f>VLOOKUP(I2510,[2]categories!$A$1:$B$8,2,FALSE)</f>
        <v>Cruisers Bicycles</v>
      </c>
    </row>
    <row r="2511" customHeight="1" spans="1:10">
      <c r="A2511" s="1">
        <v>880</v>
      </c>
      <c r="B2511" s="1">
        <v>1</v>
      </c>
      <c r="C2511" s="1">
        <v>28</v>
      </c>
      <c r="D2511" s="1">
        <v>2</v>
      </c>
      <c r="E2511" s="1">
        <v>2499.99</v>
      </c>
      <c r="F2511" s="1">
        <v>0.2</v>
      </c>
      <c r="G2511">
        <f t="shared" si="39"/>
        <v>4999.78</v>
      </c>
      <c r="H2511" t="str">
        <f>VLOOKUP(C2511,[1]products!$A:$B,2,FALSE)</f>
        <v>Surly Karate Monkey 27.5+ Frameset - 2017</v>
      </c>
      <c r="I2511">
        <f>VLOOKUP(C2511,[1]products!$A:$D,4,FALSE)</f>
        <v>6</v>
      </c>
      <c r="J2511" t="str">
        <f>VLOOKUP(I2511,[2]categories!$A$1:$B$8,2,FALSE)</f>
        <v>Mountain Bikes</v>
      </c>
    </row>
    <row r="2512" customHeight="1" spans="1:10">
      <c r="A2512" s="1">
        <v>880</v>
      </c>
      <c r="B2512" s="1">
        <v>2</v>
      </c>
      <c r="C2512" s="1">
        <v>95</v>
      </c>
      <c r="D2512" s="1">
        <v>1</v>
      </c>
      <c r="E2512" s="1">
        <v>299.99</v>
      </c>
      <c r="F2512" s="1">
        <v>0.1</v>
      </c>
      <c r="G2512">
        <f t="shared" si="39"/>
        <v>299.89</v>
      </c>
      <c r="H2512" t="str">
        <f>VLOOKUP(C2512,[1]products!$A:$B,2,FALSE)</f>
        <v>Electra Girl's Hawaii 1 16" - 2017</v>
      </c>
      <c r="I2512">
        <f>VLOOKUP(C2512,[1]products!$A:$D,4,FALSE)</f>
        <v>1</v>
      </c>
      <c r="J2512" t="str">
        <f>VLOOKUP(I2512,[2]categories!$A$1:$B$8,2,FALSE)</f>
        <v>Children Bicycles</v>
      </c>
    </row>
    <row r="2513" customHeight="1" spans="1:10">
      <c r="A2513" s="1">
        <v>880</v>
      </c>
      <c r="B2513" s="1">
        <v>3</v>
      </c>
      <c r="C2513" s="1">
        <v>5</v>
      </c>
      <c r="D2513" s="1">
        <v>1</v>
      </c>
      <c r="E2513" s="1">
        <v>1320.99</v>
      </c>
      <c r="F2513" s="1">
        <v>0.07</v>
      </c>
      <c r="G2513">
        <f t="shared" si="39"/>
        <v>1320.92</v>
      </c>
      <c r="H2513" t="str">
        <f>VLOOKUP(C2513,[1]products!$A:$B,2,FALSE)</f>
        <v>Heller Shagamaw Frame - 2016</v>
      </c>
      <c r="I2513">
        <f>VLOOKUP(C2513,[1]products!$A:$D,4,FALSE)</f>
        <v>6</v>
      </c>
      <c r="J2513" t="str">
        <f>VLOOKUP(I2513,[2]categories!$A$1:$B$8,2,FALSE)</f>
        <v>Mountain Bikes</v>
      </c>
    </row>
    <row r="2514" customHeight="1" spans="1:10">
      <c r="A2514" s="1">
        <v>880</v>
      </c>
      <c r="B2514" s="1">
        <v>4</v>
      </c>
      <c r="C2514" s="1">
        <v>26</v>
      </c>
      <c r="D2514" s="1">
        <v>1</v>
      </c>
      <c r="E2514" s="1">
        <v>599.99</v>
      </c>
      <c r="F2514" s="1">
        <v>0.1</v>
      </c>
      <c r="G2514">
        <f t="shared" si="39"/>
        <v>599.89</v>
      </c>
      <c r="H2514" t="str">
        <f>VLOOKUP(C2514,[1]products!$A:$B,2,FALSE)</f>
        <v>Electra Townie Original 7D EQ - 2016</v>
      </c>
      <c r="I2514">
        <f>VLOOKUP(C2514,[1]products!$A:$D,4,FALSE)</f>
        <v>2</v>
      </c>
      <c r="J2514" t="str">
        <f>VLOOKUP(I2514,[2]categories!$A$1:$B$8,2,FALSE)</f>
        <v>Comfort Bicycles</v>
      </c>
    </row>
    <row r="2515" customHeight="1" spans="1:10">
      <c r="A2515" s="1">
        <v>880</v>
      </c>
      <c r="B2515" s="1">
        <v>5</v>
      </c>
      <c r="C2515" s="1">
        <v>66</v>
      </c>
      <c r="D2515" s="1">
        <v>1</v>
      </c>
      <c r="E2515" s="1">
        <v>250.99</v>
      </c>
      <c r="F2515" s="1">
        <v>0.2</v>
      </c>
      <c r="G2515">
        <f t="shared" si="39"/>
        <v>250.79</v>
      </c>
      <c r="H2515" t="str">
        <f>VLOOKUP(C2515,[1]products!$A:$B,2,FALSE)</f>
        <v>Sun Bicycles Revolutions 24 - 2017</v>
      </c>
      <c r="I2515">
        <f>VLOOKUP(C2515,[1]products!$A:$D,4,FALSE)</f>
        <v>3</v>
      </c>
      <c r="J2515" t="str">
        <f>VLOOKUP(I2515,[2]categories!$A$1:$B$8,2,FALSE)</f>
        <v>Cruisers Bicycles</v>
      </c>
    </row>
    <row r="2516" customHeight="1" spans="1:10">
      <c r="A2516" s="1">
        <v>881</v>
      </c>
      <c r="B2516" s="1">
        <v>1</v>
      </c>
      <c r="C2516" s="1">
        <v>98</v>
      </c>
      <c r="D2516" s="1">
        <v>1</v>
      </c>
      <c r="E2516" s="1">
        <v>489.99</v>
      </c>
      <c r="F2516" s="1">
        <v>0.07</v>
      </c>
      <c r="G2516">
        <f t="shared" si="39"/>
        <v>489.92</v>
      </c>
      <c r="H2516" t="str">
        <f>VLOOKUP(C2516,[1]products!$A:$B,2,FALSE)</f>
        <v>Electra Straight 8 3i (20-inch) - Boy's - 2017</v>
      </c>
      <c r="I2516">
        <f>VLOOKUP(C2516,[1]products!$A:$D,4,FALSE)</f>
        <v>1</v>
      </c>
      <c r="J2516" t="str">
        <f>VLOOKUP(I2516,[2]categories!$A$1:$B$8,2,FALSE)</f>
        <v>Children Bicycles</v>
      </c>
    </row>
    <row r="2517" customHeight="1" spans="1:10">
      <c r="A2517" s="1">
        <v>881</v>
      </c>
      <c r="B2517" s="1">
        <v>2</v>
      </c>
      <c r="C2517" s="1">
        <v>50</v>
      </c>
      <c r="D2517" s="1">
        <v>1</v>
      </c>
      <c r="E2517" s="1">
        <v>5999.99</v>
      </c>
      <c r="F2517" s="1">
        <v>0.2</v>
      </c>
      <c r="G2517">
        <f t="shared" si="39"/>
        <v>5999.79</v>
      </c>
      <c r="H2517" t="str">
        <f>VLOOKUP(C2517,[1]products!$A:$B,2,FALSE)</f>
        <v>Trek Silque SLR 7 Women's - 2017</v>
      </c>
      <c r="I2517">
        <f>VLOOKUP(C2517,[1]products!$A:$D,4,FALSE)</f>
        <v>7</v>
      </c>
      <c r="J2517" t="str">
        <f>VLOOKUP(I2517,[2]categories!$A$1:$B$8,2,FALSE)</f>
        <v>Road Bikes</v>
      </c>
    </row>
    <row r="2518" customHeight="1" spans="1:10">
      <c r="A2518" s="1">
        <v>881</v>
      </c>
      <c r="B2518" s="1">
        <v>3</v>
      </c>
      <c r="C2518" s="1">
        <v>64</v>
      </c>
      <c r="D2518" s="1">
        <v>2</v>
      </c>
      <c r="E2518" s="1">
        <v>489.99</v>
      </c>
      <c r="F2518" s="1">
        <v>0.05</v>
      </c>
      <c r="G2518">
        <f t="shared" si="39"/>
        <v>979.93</v>
      </c>
      <c r="H2518" t="str">
        <f>VLOOKUP(C2518,[1]products!$A:$B,2,FALSE)</f>
        <v>Electra Townie Original 7D - 2017</v>
      </c>
      <c r="I2518">
        <f>VLOOKUP(C2518,[1]products!$A:$D,4,FALSE)</f>
        <v>3</v>
      </c>
      <c r="J2518" t="str">
        <f>VLOOKUP(I2518,[2]categories!$A$1:$B$8,2,FALSE)</f>
        <v>Cruisers Bicycles</v>
      </c>
    </row>
    <row r="2519" customHeight="1" spans="1:10">
      <c r="A2519" s="1">
        <v>881</v>
      </c>
      <c r="B2519" s="1">
        <v>4</v>
      </c>
      <c r="C2519" s="1">
        <v>67</v>
      </c>
      <c r="D2519" s="1">
        <v>1</v>
      </c>
      <c r="E2519" s="1">
        <v>250.99</v>
      </c>
      <c r="F2519" s="1">
        <v>0.1</v>
      </c>
      <c r="G2519">
        <f t="shared" si="39"/>
        <v>250.89</v>
      </c>
      <c r="H2519" t="str">
        <f>VLOOKUP(C2519,[1]products!$A:$B,2,FALSE)</f>
        <v>Sun Bicycles Revolutions 24 - Girl's - 2017</v>
      </c>
      <c r="I2519">
        <f>VLOOKUP(C2519,[1]products!$A:$D,4,FALSE)</f>
        <v>3</v>
      </c>
      <c r="J2519" t="str">
        <f>VLOOKUP(I2519,[2]categories!$A$1:$B$8,2,FALSE)</f>
        <v>Cruisers Bicycles</v>
      </c>
    </row>
    <row r="2520" customHeight="1" spans="1:10">
      <c r="A2520" s="1">
        <v>882</v>
      </c>
      <c r="B2520" s="1">
        <v>1</v>
      </c>
      <c r="C2520" s="1">
        <v>63</v>
      </c>
      <c r="D2520" s="1">
        <v>2</v>
      </c>
      <c r="E2520" s="1">
        <v>3499.99</v>
      </c>
      <c r="F2520" s="1">
        <v>0.07</v>
      </c>
      <c r="G2520">
        <f t="shared" si="39"/>
        <v>6999.91</v>
      </c>
      <c r="H2520" t="str">
        <f>VLOOKUP(C2520,[1]products!$A:$B,2,FALSE)</f>
        <v>Trek Boone Race Shop Limited - 2017</v>
      </c>
      <c r="I2520">
        <f>VLOOKUP(C2520,[1]products!$A:$D,4,FALSE)</f>
        <v>4</v>
      </c>
      <c r="J2520" t="str">
        <f>VLOOKUP(I2520,[2]categories!$A$1:$B$8,2,FALSE)</f>
        <v>Cyclocross Bicycles</v>
      </c>
    </row>
    <row r="2521" customHeight="1" spans="1:10">
      <c r="A2521" s="1">
        <v>882</v>
      </c>
      <c r="B2521" s="1">
        <v>2</v>
      </c>
      <c r="C2521" s="1">
        <v>108</v>
      </c>
      <c r="D2521" s="1">
        <v>2</v>
      </c>
      <c r="E2521" s="1">
        <v>449.99</v>
      </c>
      <c r="F2521" s="1">
        <v>0.2</v>
      </c>
      <c r="G2521">
        <f t="shared" si="39"/>
        <v>899.78</v>
      </c>
      <c r="H2521" t="str">
        <f>VLOOKUP(C2521,[1]products!$A:$B,2,FALSE)</f>
        <v>Sun Bicycles Cruz 3 - Women's - 2017</v>
      </c>
      <c r="I2521">
        <f>VLOOKUP(C2521,[1]products!$A:$D,4,FALSE)</f>
        <v>2</v>
      </c>
      <c r="J2521" t="str">
        <f>VLOOKUP(I2521,[2]categories!$A$1:$B$8,2,FALSE)</f>
        <v>Comfort Bicycles</v>
      </c>
    </row>
    <row r="2522" customHeight="1" spans="1:10">
      <c r="A2522" s="1">
        <v>882</v>
      </c>
      <c r="B2522" s="1">
        <v>3</v>
      </c>
      <c r="C2522" s="1">
        <v>57</v>
      </c>
      <c r="D2522" s="1">
        <v>2</v>
      </c>
      <c r="E2522" s="1">
        <v>1999.99</v>
      </c>
      <c r="F2522" s="1">
        <v>0.07</v>
      </c>
      <c r="G2522">
        <f t="shared" si="39"/>
        <v>3999.91</v>
      </c>
      <c r="H2522" t="str">
        <f>VLOOKUP(C2522,[1]products!$A:$B,2,FALSE)</f>
        <v>Trek Emonda S 5 - 2017</v>
      </c>
      <c r="I2522">
        <f>VLOOKUP(C2522,[1]products!$A:$D,4,FALSE)</f>
        <v>7</v>
      </c>
      <c r="J2522" t="str">
        <f>VLOOKUP(I2522,[2]categories!$A$1:$B$8,2,FALSE)</f>
        <v>Road Bikes</v>
      </c>
    </row>
    <row r="2523" customHeight="1" spans="1:10">
      <c r="A2523" s="1">
        <v>883</v>
      </c>
      <c r="B2523" s="1">
        <v>1</v>
      </c>
      <c r="C2523" s="1">
        <v>44</v>
      </c>
      <c r="D2523" s="1">
        <v>1</v>
      </c>
      <c r="E2523" s="1">
        <v>539.99</v>
      </c>
      <c r="F2523" s="1">
        <v>0.05</v>
      </c>
      <c r="G2523">
        <f t="shared" si="39"/>
        <v>539.94</v>
      </c>
      <c r="H2523" t="str">
        <f>VLOOKUP(C2523,[1]products!$A:$B,2,FALSE)</f>
        <v>Haro SR 1.1 - 2017</v>
      </c>
      <c r="I2523">
        <f>VLOOKUP(C2523,[1]products!$A:$D,4,FALSE)</f>
        <v>6</v>
      </c>
      <c r="J2523" t="str">
        <f>VLOOKUP(I2523,[2]categories!$A$1:$B$8,2,FALSE)</f>
        <v>Mountain Bikes</v>
      </c>
    </row>
    <row r="2524" customHeight="1" spans="1:10">
      <c r="A2524" s="1">
        <v>883</v>
      </c>
      <c r="B2524" s="1">
        <v>2</v>
      </c>
      <c r="C2524" s="1">
        <v>5</v>
      </c>
      <c r="D2524" s="1">
        <v>2</v>
      </c>
      <c r="E2524" s="1">
        <v>1320.99</v>
      </c>
      <c r="F2524" s="1">
        <v>0.05</v>
      </c>
      <c r="G2524">
        <f t="shared" si="39"/>
        <v>2641.93</v>
      </c>
      <c r="H2524" t="str">
        <f>VLOOKUP(C2524,[1]products!$A:$B,2,FALSE)</f>
        <v>Heller Shagamaw Frame - 2016</v>
      </c>
      <c r="I2524">
        <f>VLOOKUP(C2524,[1]products!$A:$D,4,FALSE)</f>
        <v>6</v>
      </c>
      <c r="J2524" t="str">
        <f>VLOOKUP(I2524,[2]categories!$A$1:$B$8,2,FALSE)</f>
        <v>Mountain Bikes</v>
      </c>
    </row>
    <row r="2525" customHeight="1" spans="1:10">
      <c r="A2525" s="1">
        <v>884</v>
      </c>
      <c r="B2525" s="1">
        <v>1</v>
      </c>
      <c r="C2525" s="1">
        <v>49</v>
      </c>
      <c r="D2525" s="1">
        <v>2</v>
      </c>
      <c r="E2525" s="1">
        <v>3499.99</v>
      </c>
      <c r="F2525" s="1">
        <v>0.05</v>
      </c>
      <c r="G2525">
        <f t="shared" si="39"/>
        <v>6999.93</v>
      </c>
      <c r="H2525" t="str">
        <f>VLOOKUP(C2525,[1]products!$A:$B,2,FALSE)</f>
        <v>Trek Domane SL 6 - 2017</v>
      </c>
      <c r="I2525">
        <f>VLOOKUP(C2525,[1]products!$A:$D,4,FALSE)</f>
        <v>7</v>
      </c>
      <c r="J2525" t="str">
        <f>VLOOKUP(I2525,[2]categories!$A$1:$B$8,2,FALSE)</f>
        <v>Road Bikes</v>
      </c>
    </row>
    <row r="2526" customHeight="1" spans="1:10">
      <c r="A2526" s="1">
        <v>884</v>
      </c>
      <c r="B2526" s="1">
        <v>2</v>
      </c>
      <c r="C2526" s="1">
        <v>69</v>
      </c>
      <c r="D2526" s="1">
        <v>2</v>
      </c>
      <c r="E2526" s="1">
        <v>416.99</v>
      </c>
      <c r="F2526" s="1">
        <v>0.07</v>
      </c>
      <c r="G2526">
        <f t="shared" si="39"/>
        <v>833.91</v>
      </c>
      <c r="H2526" t="str">
        <f>VLOOKUP(C2526,[1]products!$A:$B,2,FALSE)</f>
        <v>Sun Bicycles Cruz 7 - 2017</v>
      </c>
      <c r="I2526">
        <f>VLOOKUP(C2526,[1]products!$A:$D,4,FALSE)</f>
        <v>3</v>
      </c>
      <c r="J2526" t="str">
        <f>VLOOKUP(I2526,[2]categories!$A$1:$B$8,2,FALSE)</f>
        <v>Cruisers Bicycles</v>
      </c>
    </row>
    <row r="2527" customHeight="1" spans="1:10">
      <c r="A2527" s="1">
        <v>884</v>
      </c>
      <c r="B2527" s="1">
        <v>3</v>
      </c>
      <c r="C2527" s="1">
        <v>46</v>
      </c>
      <c r="D2527" s="1">
        <v>2</v>
      </c>
      <c r="E2527" s="1">
        <v>1409.99</v>
      </c>
      <c r="F2527" s="1">
        <v>0.2</v>
      </c>
      <c r="G2527">
        <f t="shared" si="39"/>
        <v>2819.78</v>
      </c>
      <c r="H2527" t="str">
        <f>VLOOKUP(C2527,[1]products!$A:$B,2,FALSE)</f>
        <v>Haro SR 1.3 - 2017</v>
      </c>
      <c r="I2527">
        <f>VLOOKUP(C2527,[1]products!$A:$D,4,FALSE)</f>
        <v>6</v>
      </c>
      <c r="J2527" t="str">
        <f>VLOOKUP(I2527,[2]categories!$A$1:$B$8,2,FALSE)</f>
        <v>Mountain Bikes</v>
      </c>
    </row>
    <row r="2528" customHeight="1" spans="1:10">
      <c r="A2528" s="1">
        <v>884</v>
      </c>
      <c r="B2528" s="1">
        <v>4</v>
      </c>
      <c r="C2528" s="1">
        <v>10</v>
      </c>
      <c r="D2528" s="1">
        <v>1</v>
      </c>
      <c r="E2528" s="1">
        <v>1549</v>
      </c>
      <c r="F2528" s="1">
        <v>0.1</v>
      </c>
      <c r="G2528">
        <f t="shared" si="39"/>
        <v>1548.9</v>
      </c>
      <c r="H2528" t="str">
        <f>VLOOKUP(C2528,[1]products!$A:$B,2,FALSE)</f>
        <v>Surly Straggler - 2016</v>
      </c>
      <c r="I2528">
        <f>VLOOKUP(C2528,[1]products!$A:$D,4,FALSE)</f>
        <v>4</v>
      </c>
      <c r="J2528" t="str">
        <f>VLOOKUP(I2528,[2]categories!$A$1:$B$8,2,FALSE)</f>
        <v>Cyclocross Bicycles</v>
      </c>
    </row>
    <row r="2529" customHeight="1" spans="1:10">
      <c r="A2529" s="1">
        <v>884</v>
      </c>
      <c r="B2529" s="1">
        <v>5</v>
      </c>
      <c r="C2529" s="1">
        <v>21</v>
      </c>
      <c r="D2529" s="1">
        <v>2</v>
      </c>
      <c r="E2529" s="1">
        <v>269.99</v>
      </c>
      <c r="F2529" s="1">
        <v>0.05</v>
      </c>
      <c r="G2529">
        <f t="shared" si="39"/>
        <v>539.93</v>
      </c>
      <c r="H2529" t="str">
        <f>VLOOKUP(C2529,[1]products!$A:$B,2,FALSE)</f>
        <v>Electra Cruiser 1 (24-Inch) - 2016</v>
      </c>
      <c r="I2529">
        <f>VLOOKUP(C2529,[1]products!$A:$D,4,FALSE)</f>
        <v>1</v>
      </c>
      <c r="J2529" t="str">
        <f>VLOOKUP(I2529,[2]categories!$A$1:$B$8,2,FALSE)</f>
        <v>Children Bicycles</v>
      </c>
    </row>
    <row r="2530" customHeight="1" spans="1:10">
      <c r="A2530" s="1">
        <v>885</v>
      </c>
      <c r="B2530" s="1">
        <v>1</v>
      </c>
      <c r="C2530" s="1">
        <v>106</v>
      </c>
      <c r="D2530" s="1">
        <v>1</v>
      </c>
      <c r="E2530" s="1">
        <v>449.99</v>
      </c>
      <c r="F2530" s="1">
        <v>0.07</v>
      </c>
      <c r="G2530">
        <f t="shared" si="39"/>
        <v>449.92</v>
      </c>
      <c r="H2530" t="str">
        <f>VLOOKUP(C2530,[1]products!$A:$B,2,FALSE)</f>
        <v>Sun Bicycles Cruz 3 - 2017</v>
      </c>
      <c r="I2530">
        <f>VLOOKUP(C2530,[1]products!$A:$D,4,FALSE)</f>
        <v>2</v>
      </c>
      <c r="J2530" t="str">
        <f>VLOOKUP(I2530,[2]categories!$A$1:$B$8,2,FALSE)</f>
        <v>Comfort Bicycles</v>
      </c>
    </row>
    <row r="2531" customHeight="1" spans="1:10">
      <c r="A2531" s="1">
        <v>885</v>
      </c>
      <c r="B2531" s="1">
        <v>2</v>
      </c>
      <c r="C2531" s="1">
        <v>43</v>
      </c>
      <c r="D2531" s="1">
        <v>1</v>
      </c>
      <c r="E2531" s="1">
        <v>5299.99</v>
      </c>
      <c r="F2531" s="1">
        <v>0.1</v>
      </c>
      <c r="G2531">
        <f t="shared" si="39"/>
        <v>5299.89</v>
      </c>
      <c r="H2531" t="str">
        <f>VLOOKUP(C2531,[1]products!$A:$B,2,FALSE)</f>
        <v>Trek Fuel EX 9.8 27.5 Plus - 2017</v>
      </c>
      <c r="I2531">
        <f>VLOOKUP(C2531,[1]products!$A:$D,4,FALSE)</f>
        <v>6</v>
      </c>
      <c r="J2531" t="str">
        <f>VLOOKUP(I2531,[2]categories!$A$1:$B$8,2,FALSE)</f>
        <v>Mountain Bikes</v>
      </c>
    </row>
    <row r="2532" customHeight="1" spans="1:10">
      <c r="A2532" s="1">
        <v>886</v>
      </c>
      <c r="B2532" s="1">
        <v>1</v>
      </c>
      <c r="C2532" s="1">
        <v>47</v>
      </c>
      <c r="D2532" s="1">
        <v>1</v>
      </c>
      <c r="E2532" s="1">
        <v>5299.99</v>
      </c>
      <c r="F2532" s="1">
        <v>0.05</v>
      </c>
      <c r="G2532">
        <f t="shared" si="39"/>
        <v>5299.94</v>
      </c>
      <c r="H2532" t="str">
        <f>VLOOKUP(C2532,[1]products!$A:$B,2,FALSE)</f>
        <v>Trek Remedy 9.8 - 2017</v>
      </c>
      <c r="I2532">
        <f>VLOOKUP(C2532,[1]products!$A:$D,4,FALSE)</f>
        <v>6</v>
      </c>
      <c r="J2532" t="str">
        <f>VLOOKUP(I2532,[2]categories!$A$1:$B$8,2,FALSE)</f>
        <v>Mountain Bikes</v>
      </c>
    </row>
    <row r="2533" customHeight="1" spans="1:10">
      <c r="A2533" s="1">
        <v>886</v>
      </c>
      <c r="B2533" s="1">
        <v>2</v>
      </c>
      <c r="C2533" s="1">
        <v>30</v>
      </c>
      <c r="D2533" s="1">
        <v>1</v>
      </c>
      <c r="E2533" s="1">
        <v>999.99</v>
      </c>
      <c r="F2533" s="1">
        <v>0.05</v>
      </c>
      <c r="G2533">
        <f t="shared" si="39"/>
        <v>999.94</v>
      </c>
      <c r="H2533" t="str">
        <f>VLOOKUP(C2533,[1]products!$A:$B,2,FALSE)</f>
        <v>Surly Ice Cream Truck Frameset - 2017</v>
      </c>
      <c r="I2533">
        <f>VLOOKUP(C2533,[1]products!$A:$D,4,FALSE)</f>
        <v>6</v>
      </c>
      <c r="J2533" t="str">
        <f>VLOOKUP(I2533,[2]categories!$A$1:$B$8,2,FALSE)</f>
        <v>Mountain Bikes</v>
      </c>
    </row>
    <row r="2534" customHeight="1" spans="1:10">
      <c r="A2534" s="1">
        <v>887</v>
      </c>
      <c r="B2534" s="1">
        <v>1</v>
      </c>
      <c r="C2534" s="1">
        <v>50</v>
      </c>
      <c r="D2534" s="1">
        <v>2</v>
      </c>
      <c r="E2534" s="1">
        <v>5999.99</v>
      </c>
      <c r="F2534" s="1">
        <v>0.05</v>
      </c>
      <c r="G2534">
        <f t="shared" si="39"/>
        <v>11999.93</v>
      </c>
      <c r="H2534" t="str">
        <f>VLOOKUP(C2534,[1]products!$A:$B,2,FALSE)</f>
        <v>Trek Silque SLR 7 Women's - 2017</v>
      </c>
      <c r="I2534">
        <f>VLOOKUP(C2534,[1]products!$A:$D,4,FALSE)</f>
        <v>7</v>
      </c>
      <c r="J2534" t="str">
        <f>VLOOKUP(I2534,[2]categories!$A$1:$B$8,2,FALSE)</f>
        <v>Road Bikes</v>
      </c>
    </row>
    <row r="2535" customHeight="1" spans="1:10">
      <c r="A2535" s="1">
        <v>887</v>
      </c>
      <c r="B2535" s="1">
        <v>2</v>
      </c>
      <c r="C2535" s="1">
        <v>70</v>
      </c>
      <c r="D2535" s="1">
        <v>1</v>
      </c>
      <c r="E2535" s="1">
        <v>659.99</v>
      </c>
      <c r="F2535" s="1">
        <v>0.1</v>
      </c>
      <c r="G2535">
        <f t="shared" si="39"/>
        <v>659.89</v>
      </c>
      <c r="H2535" t="str">
        <f>VLOOKUP(C2535,[1]products!$A:$B,2,FALSE)</f>
        <v>Electra Amsterdam Original 3i - 2015/2017</v>
      </c>
      <c r="I2535">
        <f>VLOOKUP(C2535,[1]products!$A:$D,4,FALSE)</f>
        <v>3</v>
      </c>
      <c r="J2535" t="str">
        <f>VLOOKUP(I2535,[2]categories!$A$1:$B$8,2,FALSE)</f>
        <v>Cruisers Bicycles</v>
      </c>
    </row>
    <row r="2536" customHeight="1" spans="1:10">
      <c r="A2536" s="1">
        <v>888</v>
      </c>
      <c r="B2536" s="1">
        <v>1</v>
      </c>
      <c r="C2536" s="1">
        <v>33</v>
      </c>
      <c r="D2536" s="1">
        <v>2</v>
      </c>
      <c r="E2536" s="1">
        <v>469.99</v>
      </c>
      <c r="F2536" s="1">
        <v>0.1</v>
      </c>
      <c r="G2536">
        <f t="shared" si="39"/>
        <v>939.88</v>
      </c>
      <c r="H2536" t="str">
        <f>VLOOKUP(C2536,[1]products!$A:$B,2,FALSE)</f>
        <v>Surly Wednesday Frameset - 2017</v>
      </c>
      <c r="I2536">
        <f>VLOOKUP(C2536,[1]products!$A:$D,4,FALSE)</f>
        <v>6</v>
      </c>
      <c r="J2536" t="str">
        <f>VLOOKUP(I2536,[2]categories!$A$1:$B$8,2,FALSE)</f>
        <v>Mountain Bikes</v>
      </c>
    </row>
    <row r="2537" customHeight="1" spans="1:10">
      <c r="A2537" s="1">
        <v>888</v>
      </c>
      <c r="B2537" s="1">
        <v>2</v>
      </c>
      <c r="C2537" s="1">
        <v>26</v>
      </c>
      <c r="D2537" s="1">
        <v>2</v>
      </c>
      <c r="E2537" s="1">
        <v>599.99</v>
      </c>
      <c r="F2537" s="1">
        <v>0.2</v>
      </c>
      <c r="G2537">
        <f t="shared" si="39"/>
        <v>1199.78</v>
      </c>
      <c r="H2537" t="str">
        <f>VLOOKUP(C2537,[1]products!$A:$B,2,FALSE)</f>
        <v>Electra Townie Original 7D EQ - 2016</v>
      </c>
      <c r="I2537">
        <f>VLOOKUP(C2537,[1]products!$A:$D,4,FALSE)</f>
        <v>2</v>
      </c>
      <c r="J2537" t="str">
        <f>VLOOKUP(I2537,[2]categories!$A$1:$B$8,2,FALSE)</f>
        <v>Comfort Bicycles</v>
      </c>
    </row>
    <row r="2538" customHeight="1" spans="1:10">
      <c r="A2538" s="1">
        <v>889</v>
      </c>
      <c r="B2538" s="1">
        <v>1</v>
      </c>
      <c r="C2538" s="1">
        <v>12</v>
      </c>
      <c r="D2538" s="1">
        <v>2</v>
      </c>
      <c r="E2538" s="1">
        <v>549.99</v>
      </c>
      <c r="F2538" s="1">
        <v>0.1</v>
      </c>
      <c r="G2538">
        <f t="shared" si="39"/>
        <v>1099.88</v>
      </c>
      <c r="H2538" t="str">
        <f>VLOOKUP(C2538,[1]products!$A:$B,2,FALSE)</f>
        <v>Electra Townie Original 21D - 2016</v>
      </c>
      <c r="I2538">
        <f>VLOOKUP(C2538,[1]products!$A:$D,4,FALSE)</f>
        <v>3</v>
      </c>
      <c r="J2538" t="str">
        <f>VLOOKUP(I2538,[2]categories!$A$1:$B$8,2,FALSE)</f>
        <v>Cruisers Bicycles</v>
      </c>
    </row>
    <row r="2539" customHeight="1" spans="1:10">
      <c r="A2539" s="1">
        <v>890</v>
      </c>
      <c r="B2539" s="1">
        <v>1</v>
      </c>
      <c r="C2539" s="1">
        <v>16</v>
      </c>
      <c r="D2539" s="1">
        <v>2</v>
      </c>
      <c r="E2539" s="1">
        <v>599.99</v>
      </c>
      <c r="F2539" s="1">
        <v>0.1</v>
      </c>
      <c r="G2539">
        <f t="shared" si="39"/>
        <v>1199.88</v>
      </c>
      <c r="H2539" t="str">
        <f>VLOOKUP(C2539,[1]products!$A:$B,2,FALSE)</f>
        <v>Electra Townie Original 7D EQ - 2016</v>
      </c>
      <c r="I2539">
        <f>VLOOKUP(C2539,[1]products!$A:$D,4,FALSE)</f>
        <v>3</v>
      </c>
      <c r="J2539" t="str">
        <f>VLOOKUP(I2539,[2]categories!$A$1:$B$8,2,FALSE)</f>
        <v>Cruisers Bicycles</v>
      </c>
    </row>
    <row r="2540" customHeight="1" spans="1:10">
      <c r="A2540" s="1">
        <v>890</v>
      </c>
      <c r="B2540" s="1">
        <v>2</v>
      </c>
      <c r="C2540" s="1">
        <v>105</v>
      </c>
      <c r="D2540" s="1">
        <v>2</v>
      </c>
      <c r="E2540" s="1">
        <v>533.99</v>
      </c>
      <c r="F2540" s="1">
        <v>0.1</v>
      </c>
      <c r="G2540">
        <f t="shared" si="39"/>
        <v>1067.88</v>
      </c>
      <c r="H2540" t="str">
        <f>VLOOKUP(C2540,[1]products!$A:$B,2,FALSE)</f>
        <v>Sun Bicycles Streamway 7 - 2017</v>
      </c>
      <c r="I2540">
        <f>VLOOKUP(C2540,[1]products!$A:$D,4,FALSE)</f>
        <v>2</v>
      </c>
      <c r="J2540" t="str">
        <f>VLOOKUP(I2540,[2]categories!$A$1:$B$8,2,FALSE)</f>
        <v>Comfort Bicycles</v>
      </c>
    </row>
    <row r="2541" customHeight="1" spans="1:10">
      <c r="A2541" s="1">
        <v>890</v>
      </c>
      <c r="B2541" s="1">
        <v>3</v>
      </c>
      <c r="C2541" s="1">
        <v>52</v>
      </c>
      <c r="D2541" s="1">
        <v>1</v>
      </c>
      <c r="E2541" s="1">
        <v>875.99</v>
      </c>
      <c r="F2541" s="1">
        <v>0.05</v>
      </c>
      <c r="G2541">
        <f t="shared" si="39"/>
        <v>875.94</v>
      </c>
      <c r="H2541" t="str">
        <f>VLOOKUP(C2541,[1]products!$A:$B,2,FALSE)</f>
        <v>Surly Steamroller - 2017</v>
      </c>
      <c r="I2541">
        <f>VLOOKUP(C2541,[1]products!$A:$D,4,FALSE)</f>
        <v>7</v>
      </c>
      <c r="J2541" t="str">
        <f>VLOOKUP(I2541,[2]categories!$A$1:$B$8,2,FALSE)</f>
        <v>Road Bikes</v>
      </c>
    </row>
    <row r="2542" customHeight="1" spans="1:10">
      <c r="A2542" s="1">
        <v>890</v>
      </c>
      <c r="B2542" s="1">
        <v>4</v>
      </c>
      <c r="C2542" s="1">
        <v>67</v>
      </c>
      <c r="D2542" s="1">
        <v>1</v>
      </c>
      <c r="E2542" s="1">
        <v>250.99</v>
      </c>
      <c r="F2542" s="1">
        <v>0.1</v>
      </c>
      <c r="G2542">
        <f t="shared" si="39"/>
        <v>250.89</v>
      </c>
      <c r="H2542" t="str">
        <f>VLOOKUP(C2542,[1]products!$A:$B,2,FALSE)</f>
        <v>Sun Bicycles Revolutions 24 - Girl's - 2017</v>
      </c>
      <c r="I2542">
        <f>VLOOKUP(C2542,[1]products!$A:$D,4,FALSE)</f>
        <v>3</v>
      </c>
      <c r="J2542" t="str">
        <f>VLOOKUP(I2542,[2]categories!$A$1:$B$8,2,FALSE)</f>
        <v>Cruisers Bicycles</v>
      </c>
    </row>
    <row r="2543" customHeight="1" spans="1:10">
      <c r="A2543" s="1">
        <v>890</v>
      </c>
      <c r="B2543" s="1">
        <v>5</v>
      </c>
      <c r="C2543" s="1">
        <v>65</v>
      </c>
      <c r="D2543" s="1">
        <v>2</v>
      </c>
      <c r="E2543" s="1">
        <v>346.99</v>
      </c>
      <c r="F2543" s="1">
        <v>0.1</v>
      </c>
      <c r="G2543">
        <f t="shared" si="39"/>
        <v>693.88</v>
      </c>
      <c r="H2543" t="str">
        <f>VLOOKUP(C2543,[1]products!$A:$B,2,FALSE)</f>
        <v>Sun Bicycles Lil Bolt Type-R - 2017</v>
      </c>
      <c r="I2543">
        <f>VLOOKUP(C2543,[1]products!$A:$D,4,FALSE)</f>
        <v>3</v>
      </c>
      <c r="J2543" t="str">
        <f>VLOOKUP(I2543,[2]categories!$A$1:$B$8,2,FALSE)</f>
        <v>Cruisers Bicycles</v>
      </c>
    </row>
    <row r="2544" customHeight="1" spans="1:10">
      <c r="A2544" s="1">
        <v>891</v>
      </c>
      <c r="B2544" s="1">
        <v>1</v>
      </c>
      <c r="C2544" s="1">
        <v>107</v>
      </c>
      <c r="D2544" s="1">
        <v>2</v>
      </c>
      <c r="E2544" s="1">
        <v>416.99</v>
      </c>
      <c r="F2544" s="1">
        <v>0.1</v>
      </c>
      <c r="G2544">
        <f t="shared" si="39"/>
        <v>833.88</v>
      </c>
      <c r="H2544" t="str">
        <f>VLOOKUP(C2544,[1]products!$A:$B,2,FALSE)</f>
        <v>Sun Bicycles Cruz 7 - 2017</v>
      </c>
      <c r="I2544">
        <f>VLOOKUP(C2544,[1]products!$A:$D,4,FALSE)</f>
        <v>2</v>
      </c>
      <c r="J2544" t="str">
        <f>VLOOKUP(I2544,[2]categories!$A$1:$B$8,2,FALSE)</f>
        <v>Comfort Bicycles</v>
      </c>
    </row>
    <row r="2545" customHeight="1" spans="1:10">
      <c r="A2545" s="1">
        <v>891</v>
      </c>
      <c r="B2545" s="1">
        <v>2</v>
      </c>
      <c r="C2545" s="1">
        <v>32</v>
      </c>
      <c r="D2545" s="1">
        <v>1</v>
      </c>
      <c r="E2545" s="1">
        <v>469.99</v>
      </c>
      <c r="F2545" s="1">
        <v>0.05</v>
      </c>
      <c r="G2545">
        <f t="shared" si="39"/>
        <v>469.94</v>
      </c>
      <c r="H2545" t="str">
        <f>VLOOKUP(C2545,[1]products!$A:$B,2,FALSE)</f>
        <v>Trek Farley Alloy Frameset - 2017</v>
      </c>
      <c r="I2545">
        <f>VLOOKUP(C2545,[1]products!$A:$D,4,FALSE)</f>
        <v>6</v>
      </c>
      <c r="J2545" t="str">
        <f>VLOOKUP(I2545,[2]categories!$A$1:$B$8,2,FALSE)</f>
        <v>Mountain Bikes</v>
      </c>
    </row>
    <row r="2546" customHeight="1" spans="1:10">
      <c r="A2546" s="1">
        <v>891</v>
      </c>
      <c r="B2546" s="1">
        <v>3</v>
      </c>
      <c r="C2546" s="1">
        <v>35</v>
      </c>
      <c r="D2546" s="1">
        <v>2</v>
      </c>
      <c r="E2546" s="1">
        <v>832.99</v>
      </c>
      <c r="F2546" s="1">
        <v>0.1</v>
      </c>
      <c r="G2546">
        <f t="shared" si="39"/>
        <v>1665.88</v>
      </c>
      <c r="H2546" t="str">
        <f>VLOOKUP(C2546,[1]products!$A:$B,2,FALSE)</f>
        <v>Sun Bicycles Spider 3i - 2017</v>
      </c>
      <c r="I2546">
        <f>VLOOKUP(C2546,[1]products!$A:$D,4,FALSE)</f>
        <v>6</v>
      </c>
      <c r="J2546" t="str">
        <f>VLOOKUP(I2546,[2]categories!$A$1:$B$8,2,FALSE)</f>
        <v>Mountain Bikes</v>
      </c>
    </row>
    <row r="2547" customHeight="1" spans="1:10">
      <c r="A2547" s="1">
        <v>891</v>
      </c>
      <c r="B2547" s="1">
        <v>4</v>
      </c>
      <c r="C2547" s="1">
        <v>50</v>
      </c>
      <c r="D2547" s="1">
        <v>1</v>
      </c>
      <c r="E2547" s="1">
        <v>5999.99</v>
      </c>
      <c r="F2547" s="1">
        <v>0.1</v>
      </c>
      <c r="G2547">
        <f t="shared" si="39"/>
        <v>5999.89</v>
      </c>
      <c r="H2547" t="str">
        <f>VLOOKUP(C2547,[1]products!$A:$B,2,FALSE)</f>
        <v>Trek Silque SLR 7 Women's - 2017</v>
      </c>
      <c r="I2547">
        <f>VLOOKUP(C2547,[1]products!$A:$D,4,FALSE)</f>
        <v>7</v>
      </c>
      <c r="J2547" t="str">
        <f>VLOOKUP(I2547,[2]categories!$A$1:$B$8,2,FALSE)</f>
        <v>Road Bikes</v>
      </c>
    </row>
    <row r="2548" customHeight="1" spans="1:10">
      <c r="A2548" s="1">
        <v>892</v>
      </c>
      <c r="B2548" s="1">
        <v>1</v>
      </c>
      <c r="C2548" s="1">
        <v>36</v>
      </c>
      <c r="D2548" s="1">
        <v>1</v>
      </c>
      <c r="E2548" s="1">
        <v>832.99</v>
      </c>
      <c r="F2548" s="1">
        <v>0.1</v>
      </c>
      <c r="G2548">
        <f t="shared" si="39"/>
        <v>832.89</v>
      </c>
      <c r="H2548" t="str">
        <f>VLOOKUP(C2548,[1]products!$A:$B,2,FALSE)</f>
        <v>Surly Troll Frameset - 2017</v>
      </c>
      <c r="I2548">
        <f>VLOOKUP(C2548,[1]products!$A:$D,4,FALSE)</f>
        <v>6</v>
      </c>
      <c r="J2548" t="str">
        <f>VLOOKUP(I2548,[2]categories!$A$1:$B$8,2,FALSE)</f>
        <v>Mountain Bikes</v>
      </c>
    </row>
    <row r="2549" customHeight="1" spans="1:10">
      <c r="A2549" s="1">
        <v>892</v>
      </c>
      <c r="B2549" s="1">
        <v>2</v>
      </c>
      <c r="C2549" s="1">
        <v>9</v>
      </c>
      <c r="D2549" s="1">
        <v>2</v>
      </c>
      <c r="E2549" s="1">
        <v>2999.99</v>
      </c>
      <c r="F2549" s="1">
        <v>0.2</v>
      </c>
      <c r="G2549">
        <f t="shared" si="39"/>
        <v>5999.78</v>
      </c>
      <c r="H2549" t="str">
        <f>VLOOKUP(C2549,[1]products!$A:$B,2,FALSE)</f>
        <v>Trek Conduit+ - 2016</v>
      </c>
      <c r="I2549">
        <f>VLOOKUP(C2549,[1]products!$A:$D,4,FALSE)</f>
        <v>5</v>
      </c>
      <c r="J2549" t="str">
        <f>VLOOKUP(I2549,[2]categories!$A$1:$B$8,2,FALSE)</f>
        <v>Electric Bikes</v>
      </c>
    </row>
    <row r="2550" customHeight="1" spans="1:10">
      <c r="A2550" s="1">
        <v>892</v>
      </c>
      <c r="B2550" s="1">
        <v>3</v>
      </c>
      <c r="C2550" s="1">
        <v>50</v>
      </c>
      <c r="D2550" s="1">
        <v>2</v>
      </c>
      <c r="E2550" s="1">
        <v>5999.99</v>
      </c>
      <c r="F2550" s="1">
        <v>0.07</v>
      </c>
      <c r="G2550">
        <f t="shared" si="39"/>
        <v>11999.91</v>
      </c>
      <c r="H2550" t="str">
        <f>VLOOKUP(C2550,[1]products!$A:$B,2,FALSE)</f>
        <v>Trek Silque SLR 7 Women's - 2017</v>
      </c>
      <c r="I2550">
        <f>VLOOKUP(C2550,[1]products!$A:$D,4,FALSE)</f>
        <v>7</v>
      </c>
      <c r="J2550" t="str">
        <f>VLOOKUP(I2550,[2]categories!$A$1:$B$8,2,FALSE)</f>
        <v>Road Bikes</v>
      </c>
    </row>
    <row r="2551" customHeight="1" spans="1:10">
      <c r="A2551" s="1">
        <v>892</v>
      </c>
      <c r="B2551" s="1">
        <v>4</v>
      </c>
      <c r="C2551" s="1">
        <v>88</v>
      </c>
      <c r="D2551" s="1">
        <v>1</v>
      </c>
      <c r="E2551" s="1">
        <v>189.99</v>
      </c>
      <c r="F2551" s="1">
        <v>0.05</v>
      </c>
      <c r="G2551">
        <f t="shared" si="39"/>
        <v>189.94</v>
      </c>
      <c r="H2551" t="str">
        <f>VLOOKUP(C2551,[1]products!$A:$B,2,FALSE)</f>
        <v>Trek Precaliber 12 Girls - 2017</v>
      </c>
      <c r="I2551">
        <f>VLOOKUP(C2551,[1]products!$A:$D,4,FALSE)</f>
        <v>1</v>
      </c>
      <c r="J2551" t="str">
        <f>VLOOKUP(I2551,[2]categories!$A$1:$B$8,2,FALSE)</f>
        <v>Children Bicycles</v>
      </c>
    </row>
    <row r="2552" customHeight="1" spans="1:10">
      <c r="A2552" s="1">
        <v>893</v>
      </c>
      <c r="B2552" s="1">
        <v>1</v>
      </c>
      <c r="C2552" s="1">
        <v>67</v>
      </c>
      <c r="D2552" s="1">
        <v>2</v>
      </c>
      <c r="E2552" s="1">
        <v>250.99</v>
      </c>
      <c r="F2552" s="1">
        <v>0.05</v>
      </c>
      <c r="G2552">
        <f t="shared" si="39"/>
        <v>501.93</v>
      </c>
      <c r="H2552" t="str">
        <f>VLOOKUP(C2552,[1]products!$A:$B,2,FALSE)</f>
        <v>Sun Bicycles Revolutions 24 - Girl's - 2017</v>
      </c>
      <c r="I2552">
        <f>VLOOKUP(C2552,[1]products!$A:$D,4,FALSE)</f>
        <v>3</v>
      </c>
      <c r="J2552" t="str">
        <f>VLOOKUP(I2552,[2]categories!$A$1:$B$8,2,FALSE)</f>
        <v>Cruisers Bicycles</v>
      </c>
    </row>
    <row r="2553" customHeight="1" spans="1:10">
      <c r="A2553" s="1">
        <v>893</v>
      </c>
      <c r="B2553" s="1">
        <v>2</v>
      </c>
      <c r="C2553" s="1">
        <v>45</v>
      </c>
      <c r="D2553" s="1">
        <v>1</v>
      </c>
      <c r="E2553" s="1">
        <v>869.99</v>
      </c>
      <c r="F2553" s="1">
        <v>0.07</v>
      </c>
      <c r="G2553">
        <f t="shared" si="39"/>
        <v>869.92</v>
      </c>
      <c r="H2553" t="str">
        <f>VLOOKUP(C2553,[1]products!$A:$B,2,FALSE)</f>
        <v>Haro SR 1.2 - 2017</v>
      </c>
      <c r="I2553">
        <f>VLOOKUP(C2553,[1]products!$A:$D,4,FALSE)</f>
        <v>6</v>
      </c>
      <c r="J2553" t="str">
        <f>VLOOKUP(I2553,[2]categories!$A$1:$B$8,2,FALSE)</f>
        <v>Mountain Bikes</v>
      </c>
    </row>
    <row r="2554" customHeight="1" spans="1:10">
      <c r="A2554" s="1">
        <v>894</v>
      </c>
      <c r="B2554" s="1">
        <v>1</v>
      </c>
      <c r="C2554" s="1">
        <v>101</v>
      </c>
      <c r="D2554" s="1">
        <v>2</v>
      </c>
      <c r="E2554" s="1">
        <v>339.99</v>
      </c>
      <c r="F2554" s="1">
        <v>0.2</v>
      </c>
      <c r="G2554">
        <f t="shared" si="39"/>
        <v>679.78</v>
      </c>
      <c r="H2554" t="str">
        <f>VLOOKUP(C2554,[1]products!$A:$B,2,FALSE)</f>
        <v>Electra Townie 7D (20-inch) - Boys' - 2017</v>
      </c>
      <c r="I2554">
        <f>VLOOKUP(C2554,[1]products!$A:$D,4,FALSE)</f>
        <v>1</v>
      </c>
      <c r="J2554" t="str">
        <f>VLOOKUP(I2554,[2]categories!$A$1:$B$8,2,FALSE)</f>
        <v>Children Bicycles</v>
      </c>
    </row>
    <row r="2555" customHeight="1" spans="1:10">
      <c r="A2555" s="1">
        <v>895</v>
      </c>
      <c r="B2555" s="1">
        <v>1</v>
      </c>
      <c r="C2555" s="1">
        <v>106</v>
      </c>
      <c r="D2555" s="1">
        <v>1</v>
      </c>
      <c r="E2555" s="1">
        <v>449.99</v>
      </c>
      <c r="F2555" s="1">
        <v>0.07</v>
      </c>
      <c r="G2555">
        <f t="shared" si="39"/>
        <v>449.92</v>
      </c>
      <c r="H2555" t="str">
        <f>VLOOKUP(C2555,[1]products!$A:$B,2,FALSE)</f>
        <v>Sun Bicycles Cruz 3 - 2017</v>
      </c>
      <c r="I2555">
        <f>VLOOKUP(C2555,[1]products!$A:$D,4,FALSE)</f>
        <v>2</v>
      </c>
      <c r="J2555" t="str">
        <f>VLOOKUP(I2555,[2]categories!$A$1:$B$8,2,FALSE)</f>
        <v>Comfort Bicycles</v>
      </c>
    </row>
    <row r="2556" customHeight="1" spans="1:10">
      <c r="A2556" s="1">
        <v>896</v>
      </c>
      <c r="B2556" s="1">
        <v>1</v>
      </c>
      <c r="C2556" s="1">
        <v>91</v>
      </c>
      <c r="D2556" s="1">
        <v>2</v>
      </c>
      <c r="E2556" s="1">
        <v>349.99</v>
      </c>
      <c r="F2556" s="1">
        <v>0.05</v>
      </c>
      <c r="G2556">
        <f t="shared" si="39"/>
        <v>699.93</v>
      </c>
      <c r="H2556" t="str">
        <f>VLOOKUP(C2556,[1]products!$A:$B,2,FALSE)</f>
        <v>Trek Precaliber 24 (21-Speed) - Girls - 2017</v>
      </c>
      <c r="I2556">
        <f>VLOOKUP(C2556,[1]products!$A:$D,4,FALSE)</f>
        <v>1</v>
      </c>
      <c r="J2556" t="str">
        <f>VLOOKUP(I2556,[2]categories!$A$1:$B$8,2,FALSE)</f>
        <v>Children Bicycles</v>
      </c>
    </row>
    <row r="2557" customHeight="1" spans="1:10">
      <c r="A2557" s="1">
        <v>896</v>
      </c>
      <c r="B2557" s="1">
        <v>2</v>
      </c>
      <c r="C2557" s="1">
        <v>10</v>
      </c>
      <c r="D2557" s="1">
        <v>1</v>
      </c>
      <c r="E2557" s="1">
        <v>1549</v>
      </c>
      <c r="F2557" s="1">
        <v>0.05</v>
      </c>
      <c r="G2557">
        <f t="shared" si="39"/>
        <v>1548.95</v>
      </c>
      <c r="H2557" t="str">
        <f>VLOOKUP(C2557,[1]products!$A:$B,2,FALSE)</f>
        <v>Surly Straggler - 2016</v>
      </c>
      <c r="I2557">
        <f>VLOOKUP(C2557,[1]products!$A:$D,4,FALSE)</f>
        <v>4</v>
      </c>
      <c r="J2557" t="str">
        <f>VLOOKUP(I2557,[2]categories!$A$1:$B$8,2,FALSE)</f>
        <v>Cyclocross Bicycles</v>
      </c>
    </row>
    <row r="2558" customHeight="1" spans="1:10">
      <c r="A2558" s="1">
        <v>897</v>
      </c>
      <c r="B2558" s="1">
        <v>1</v>
      </c>
      <c r="C2558" s="1">
        <v>105</v>
      </c>
      <c r="D2558" s="1">
        <v>1</v>
      </c>
      <c r="E2558" s="1">
        <v>533.99</v>
      </c>
      <c r="F2558" s="1">
        <v>0.05</v>
      </c>
      <c r="G2558">
        <f t="shared" si="39"/>
        <v>533.94</v>
      </c>
      <c r="H2558" t="str">
        <f>VLOOKUP(C2558,[1]products!$A:$B,2,FALSE)</f>
        <v>Sun Bicycles Streamway 7 - 2017</v>
      </c>
      <c r="I2558">
        <f>VLOOKUP(C2558,[1]products!$A:$D,4,FALSE)</f>
        <v>2</v>
      </c>
      <c r="J2558" t="str">
        <f>VLOOKUP(I2558,[2]categories!$A$1:$B$8,2,FALSE)</f>
        <v>Comfort Bicycles</v>
      </c>
    </row>
    <row r="2559" customHeight="1" spans="1:10">
      <c r="A2559" s="1">
        <v>897</v>
      </c>
      <c r="B2559" s="1">
        <v>2</v>
      </c>
      <c r="C2559" s="1">
        <v>96</v>
      </c>
      <c r="D2559" s="1">
        <v>1</v>
      </c>
      <c r="E2559" s="1">
        <v>349.99</v>
      </c>
      <c r="F2559" s="1">
        <v>0.05</v>
      </c>
      <c r="G2559">
        <f t="shared" si="39"/>
        <v>349.94</v>
      </c>
      <c r="H2559" t="str">
        <f>VLOOKUP(C2559,[1]products!$A:$B,2,FALSE)</f>
        <v>Electra Moto 3i (20-inch) - Boy's - 2017</v>
      </c>
      <c r="I2559">
        <f>VLOOKUP(C2559,[1]products!$A:$D,4,FALSE)</f>
        <v>1</v>
      </c>
      <c r="J2559" t="str">
        <f>VLOOKUP(I2559,[2]categories!$A$1:$B$8,2,FALSE)</f>
        <v>Children Bicycles</v>
      </c>
    </row>
    <row r="2560" customHeight="1" spans="1:10">
      <c r="A2560" s="1">
        <v>898</v>
      </c>
      <c r="B2560" s="1">
        <v>1</v>
      </c>
      <c r="C2560" s="1">
        <v>45</v>
      </c>
      <c r="D2560" s="1">
        <v>2</v>
      </c>
      <c r="E2560" s="1">
        <v>869.99</v>
      </c>
      <c r="F2560" s="1">
        <v>0.2</v>
      </c>
      <c r="G2560">
        <f t="shared" si="39"/>
        <v>1739.78</v>
      </c>
      <c r="H2560" t="str">
        <f>VLOOKUP(C2560,[1]products!$A:$B,2,FALSE)</f>
        <v>Haro SR 1.2 - 2017</v>
      </c>
      <c r="I2560">
        <f>VLOOKUP(C2560,[1]products!$A:$D,4,FALSE)</f>
        <v>6</v>
      </c>
      <c r="J2560" t="str">
        <f>VLOOKUP(I2560,[2]categories!$A$1:$B$8,2,FALSE)</f>
        <v>Mountain Bikes</v>
      </c>
    </row>
    <row r="2561" customHeight="1" spans="1:10">
      <c r="A2561" s="1">
        <v>898</v>
      </c>
      <c r="B2561" s="1">
        <v>2</v>
      </c>
      <c r="C2561" s="1">
        <v>16</v>
      </c>
      <c r="D2561" s="1">
        <v>1</v>
      </c>
      <c r="E2561" s="1">
        <v>599.99</v>
      </c>
      <c r="F2561" s="1">
        <v>0.07</v>
      </c>
      <c r="G2561">
        <f t="shared" si="39"/>
        <v>599.92</v>
      </c>
      <c r="H2561" t="str">
        <f>VLOOKUP(C2561,[1]products!$A:$B,2,FALSE)</f>
        <v>Electra Townie Original 7D EQ - 2016</v>
      </c>
      <c r="I2561">
        <f>VLOOKUP(C2561,[1]products!$A:$D,4,FALSE)</f>
        <v>3</v>
      </c>
      <c r="J2561" t="str">
        <f>VLOOKUP(I2561,[2]categories!$A$1:$B$8,2,FALSE)</f>
        <v>Cruisers Bicycles</v>
      </c>
    </row>
    <row r="2562" customHeight="1" spans="1:10">
      <c r="A2562" s="1">
        <v>898</v>
      </c>
      <c r="B2562" s="1">
        <v>3</v>
      </c>
      <c r="C2562" s="1">
        <v>57</v>
      </c>
      <c r="D2562" s="1">
        <v>2</v>
      </c>
      <c r="E2562" s="1">
        <v>1999.99</v>
      </c>
      <c r="F2562" s="1">
        <v>0.2</v>
      </c>
      <c r="G2562">
        <f t="shared" si="39"/>
        <v>3999.78</v>
      </c>
      <c r="H2562" t="str">
        <f>VLOOKUP(C2562,[1]products!$A:$B,2,FALSE)</f>
        <v>Trek Emonda S 5 - 2017</v>
      </c>
      <c r="I2562">
        <f>VLOOKUP(C2562,[1]products!$A:$D,4,FALSE)</f>
        <v>7</v>
      </c>
      <c r="J2562" t="str">
        <f>VLOOKUP(I2562,[2]categories!$A$1:$B$8,2,FALSE)</f>
        <v>Road Bikes</v>
      </c>
    </row>
    <row r="2563" customHeight="1" spans="1:10">
      <c r="A2563" s="1">
        <v>898</v>
      </c>
      <c r="B2563" s="1">
        <v>4</v>
      </c>
      <c r="C2563" s="1">
        <v>69</v>
      </c>
      <c r="D2563" s="1">
        <v>2</v>
      </c>
      <c r="E2563" s="1">
        <v>416.99</v>
      </c>
      <c r="F2563" s="1">
        <v>0.07</v>
      </c>
      <c r="G2563">
        <f t="shared" ref="G2563:G2626" si="40">(E2563*D2563)-F2563</f>
        <v>833.91</v>
      </c>
      <c r="H2563" t="str">
        <f>VLOOKUP(C2563,[1]products!$A:$B,2,FALSE)</f>
        <v>Sun Bicycles Cruz 7 - 2017</v>
      </c>
      <c r="I2563">
        <f>VLOOKUP(C2563,[1]products!$A:$D,4,FALSE)</f>
        <v>3</v>
      </c>
      <c r="J2563" t="str">
        <f>VLOOKUP(I2563,[2]categories!$A$1:$B$8,2,FALSE)</f>
        <v>Cruisers Bicycles</v>
      </c>
    </row>
    <row r="2564" customHeight="1" spans="1:10">
      <c r="A2564" s="1">
        <v>899</v>
      </c>
      <c r="B2564" s="1">
        <v>1</v>
      </c>
      <c r="C2564" s="1">
        <v>59</v>
      </c>
      <c r="D2564" s="1">
        <v>2</v>
      </c>
      <c r="E2564" s="1">
        <v>2599.99</v>
      </c>
      <c r="F2564" s="1">
        <v>0.1</v>
      </c>
      <c r="G2564">
        <f t="shared" si="40"/>
        <v>5199.88</v>
      </c>
      <c r="H2564" t="str">
        <f>VLOOKUP(C2564,[1]products!$A:$B,2,FALSE)</f>
        <v>Trek Domane S 5 Disc - 2017</v>
      </c>
      <c r="I2564">
        <f>VLOOKUP(C2564,[1]products!$A:$D,4,FALSE)</f>
        <v>7</v>
      </c>
      <c r="J2564" t="str">
        <f>VLOOKUP(I2564,[2]categories!$A$1:$B$8,2,FALSE)</f>
        <v>Road Bikes</v>
      </c>
    </row>
    <row r="2565" customHeight="1" spans="1:10">
      <c r="A2565" s="1">
        <v>899</v>
      </c>
      <c r="B2565" s="1">
        <v>2</v>
      </c>
      <c r="C2565" s="1">
        <v>17</v>
      </c>
      <c r="D2565" s="1">
        <v>1</v>
      </c>
      <c r="E2565" s="1">
        <v>429</v>
      </c>
      <c r="F2565" s="1">
        <v>0.1</v>
      </c>
      <c r="G2565">
        <f t="shared" si="40"/>
        <v>428.9</v>
      </c>
      <c r="H2565" t="str">
        <f>VLOOKUP(C2565,[1]products!$A:$B,2,FALSE)</f>
        <v>Pure Cycles Vine 8-Speed - 2016</v>
      </c>
      <c r="I2565">
        <f>VLOOKUP(C2565,[1]products!$A:$D,4,FALSE)</f>
        <v>3</v>
      </c>
      <c r="J2565" t="str">
        <f>VLOOKUP(I2565,[2]categories!$A$1:$B$8,2,FALSE)</f>
        <v>Cruisers Bicycles</v>
      </c>
    </row>
    <row r="2566" customHeight="1" spans="1:10">
      <c r="A2566" s="1">
        <v>899</v>
      </c>
      <c r="B2566" s="1">
        <v>3</v>
      </c>
      <c r="C2566" s="1">
        <v>6</v>
      </c>
      <c r="D2566" s="1">
        <v>1</v>
      </c>
      <c r="E2566" s="1">
        <v>469.99</v>
      </c>
      <c r="F2566" s="1">
        <v>0.2</v>
      </c>
      <c r="G2566">
        <f t="shared" si="40"/>
        <v>469.79</v>
      </c>
      <c r="H2566" t="str">
        <f>VLOOKUP(C2566,[1]products!$A:$B,2,FALSE)</f>
        <v>Surly Ice Cream Truck Frameset - 2016</v>
      </c>
      <c r="I2566">
        <f>VLOOKUP(C2566,[1]products!$A:$D,4,FALSE)</f>
        <v>6</v>
      </c>
      <c r="J2566" t="str">
        <f>VLOOKUP(I2566,[2]categories!$A$1:$B$8,2,FALSE)</f>
        <v>Mountain Bikes</v>
      </c>
    </row>
    <row r="2567" customHeight="1" spans="1:10">
      <c r="A2567" s="1">
        <v>900</v>
      </c>
      <c r="B2567" s="1">
        <v>1</v>
      </c>
      <c r="C2567" s="1">
        <v>26</v>
      </c>
      <c r="D2567" s="1">
        <v>2</v>
      </c>
      <c r="E2567" s="1">
        <v>599.99</v>
      </c>
      <c r="F2567" s="1">
        <v>0.05</v>
      </c>
      <c r="G2567">
        <f t="shared" si="40"/>
        <v>1199.93</v>
      </c>
      <c r="H2567" t="str">
        <f>VLOOKUP(C2567,[1]products!$A:$B,2,FALSE)</f>
        <v>Electra Townie Original 7D EQ - 2016</v>
      </c>
      <c r="I2567">
        <f>VLOOKUP(C2567,[1]products!$A:$D,4,FALSE)</f>
        <v>2</v>
      </c>
      <c r="J2567" t="str">
        <f>VLOOKUP(I2567,[2]categories!$A$1:$B$8,2,FALSE)</f>
        <v>Comfort Bicycles</v>
      </c>
    </row>
    <row r="2568" customHeight="1" spans="1:10">
      <c r="A2568" s="1">
        <v>900</v>
      </c>
      <c r="B2568" s="1">
        <v>2</v>
      </c>
      <c r="C2568" s="1">
        <v>108</v>
      </c>
      <c r="D2568" s="1">
        <v>1</v>
      </c>
      <c r="E2568" s="1">
        <v>449.99</v>
      </c>
      <c r="F2568" s="1">
        <v>0.07</v>
      </c>
      <c r="G2568">
        <f t="shared" si="40"/>
        <v>449.92</v>
      </c>
      <c r="H2568" t="str">
        <f>VLOOKUP(C2568,[1]products!$A:$B,2,FALSE)</f>
        <v>Sun Bicycles Cruz 3 - Women's - 2017</v>
      </c>
      <c r="I2568">
        <f>VLOOKUP(C2568,[1]products!$A:$D,4,FALSE)</f>
        <v>2</v>
      </c>
      <c r="J2568" t="str">
        <f>VLOOKUP(I2568,[2]categories!$A$1:$B$8,2,FALSE)</f>
        <v>Comfort Bicycles</v>
      </c>
    </row>
    <row r="2569" customHeight="1" spans="1:10">
      <c r="A2569" s="1">
        <v>900</v>
      </c>
      <c r="B2569" s="1">
        <v>3</v>
      </c>
      <c r="C2569" s="1">
        <v>89</v>
      </c>
      <c r="D2569" s="1">
        <v>1</v>
      </c>
      <c r="E2569" s="1">
        <v>209.99</v>
      </c>
      <c r="F2569" s="1">
        <v>0.2</v>
      </c>
      <c r="G2569">
        <f t="shared" si="40"/>
        <v>209.79</v>
      </c>
      <c r="H2569" t="str">
        <f>VLOOKUP(C2569,[1]products!$A:$B,2,FALSE)</f>
        <v>Trek Precaliber 16 Boys - 2017</v>
      </c>
      <c r="I2569">
        <f>VLOOKUP(C2569,[1]products!$A:$D,4,FALSE)</f>
        <v>1</v>
      </c>
      <c r="J2569" t="str">
        <f>VLOOKUP(I2569,[2]categories!$A$1:$B$8,2,FALSE)</f>
        <v>Children Bicycles</v>
      </c>
    </row>
    <row r="2570" customHeight="1" spans="1:10">
      <c r="A2570" s="1">
        <v>900</v>
      </c>
      <c r="B2570" s="1">
        <v>4</v>
      </c>
      <c r="C2570" s="1">
        <v>61</v>
      </c>
      <c r="D2570" s="1">
        <v>2</v>
      </c>
      <c r="E2570" s="1">
        <v>4999.99</v>
      </c>
      <c r="F2570" s="1">
        <v>0.05</v>
      </c>
      <c r="G2570">
        <f t="shared" si="40"/>
        <v>9999.93</v>
      </c>
      <c r="H2570" t="str">
        <f>VLOOKUP(C2570,[1]products!$A:$B,2,FALSE)</f>
        <v>Trek Powerfly 8 FS Plus - 2017</v>
      </c>
      <c r="I2570">
        <f>VLOOKUP(C2570,[1]products!$A:$D,4,FALSE)</f>
        <v>5</v>
      </c>
      <c r="J2570" t="str">
        <f>VLOOKUP(I2570,[2]categories!$A$1:$B$8,2,FALSE)</f>
        <v>Electric Bikes</v>
      </c>
    </row>
    <row r="2571" customHeight="1" spans="1:10">
      <c r="A2571" s="1">
        <v>900</v>
      </c>
      <c r="B2571" s="1">
        <v>5</v>
      </c>
      <c r="C2571" s="1">
        <v>28</v>
      </c>
      <c r="D2571" s="1">
        <v>2</v>
      </c>
      <c r="E2571" s="1">
        <v>2499.99</v>
      </c>
      <c r="F2571" s="1">
        <v>0.07</v>
      </c>
      <c r="G2571">
        <f t="shared" si="40"/>
        <v>4999.91</v>
      </c>
      <c r="H2571" t="str">
        <f>VLOOKUP(C2571,[1]products!$A:$B,2,FALSE)</f>
        <v>Surly Karate Monkey 27.5+ Frameset - 2017</v>
      </c>
      <c r="I2571">
        <f>VLOOKUP(C2571,[1]products!$A:$D,4,FALSE)</f>
        <v>6</v>
      </c>
      <c r="J2571" t="str">
        <f>VLOOKUP(I2571,[2]categories!$A$1:$B$8,2,FALSE)</f>
        <v>Mountain Bikes</v>
      </c>
    </row>
    <row r="2572" customHeight="1" spans="1:10">
      <c r="A2572" s="1">
        <v>901</v>
      </c>
      <c r="B2572" s="1">
        <v>1</v>
      </c>
      <c r="C2572" s="1">
        <v>50</v>
      </c>
      <c r="D2572" s="1">
        <v>1</v>
      </c>
      <c r="E2572" s="1">
        <v>5999.99</v>
      </c>
      <c r="F2572" s="1">
        <v>0.2</v>
      </c>
      <c r="G2572">
        <f t="shared" si="40"/>
        <v>5999.79</v>
      </c>
      <c r="H2572" t="str">
        <f>VLOOKUP(C2572,[1]products!$A:$B,2,FALSE)</f>
        <v>Trek Silque SLR 7 Women's - 2017</v>
      </c>
      <c r="I2572">
        <f>VLOOKUP(C2572,[1]products!$A:$D,4,FALSE)</f>
        <v>7</v>
      </c>
      <c r="J2572" t="str">
        <f>VLOOKUP(I2572,[2]categories!$A$1:$B$8,2,FALSE)</f>
        <v>Road Bikes</v>
      </c>
    </row>
    <row r="2573" customHeight="1" spans="1:10">
      <c r="A2573" s="1">
        <v>901</v>
      </c>
      <c r="B2573" s="1">
        <v>2</v>
      </c>
      <c r="C2573" s="1">
        <v>43</v>
      </c>
      <c r="D2573" s="1">
        <v>1</v>
      </c>
      <c r="E2573" s="1">
        <v>5299.99</v>
      </c>
      <c r="F2573" s="1">
        <v>0.07</v>
      </c>
      <c r="G2573">
        <f t="shared" si="40"/>
        <v>5299.92</v>
      </c>
      <c r="H2573" t="str">
        <f>VLOOKUP(C2573,[1]products!$A:$B,2,FALSE)</f>
        <v>Trek Fuel EX 9.8 27.5 Plus - 2017</v>
      </c>
      <c r="I2573">
        <f>VLOOKUP(C2573,[1]products!$A:$D,4,FALSE)</f>
        <v>6</v>
      </c>
      <c r="J2573" t="str">
        <f>VLOOKUP(I2573,[2]categories!$A$1:$B$8,2,FALSE)</f>
        <v>Mountain Bikes</v>
      </c>
    </row>
    <row r="2574" customHeight="1" spans="1:10">
      <c r="A2574" s="1">
        <v>902</v>
      </c>
      <c r="B2574" s="1">
        <v>1</v>
      </c>
      <c r="C2574" s="1">
        <v>38</v>
      </c>
      <c r="D2574" s="1">
        <v>2</v>
      </c>
      <c r="E2574" s="1">
        <v>549.99</v>
      </c>
      <c r="F2574" s="1">
        <v>0.07</v>
      </c>
      <c r="G2574">
        <f t="shared" si="40"/>
        <v>1099.91</v>
      </c>
      <c r="H2574" t="str">
        <f>VLOOKUP(C2574,[1]products!$A:$B,2,FALSE)</f>
        <v>Haro Flightline Two 26 Plus - 2017</v>
      </c>
      <c r="I2574">
        <f>VLOOKUP(C2574,[1]products!$A:$D,4,FALSE)</f>
        <v>6</v>
      </c>
      <c r="J2574" t="str">
        <f>VLOOKUP(I2574,[2]categories!$A$1:$B$8,2,FALSE)</f>
        <v>Mountain Bikes</v>
      </c>
    </row>
    <row r="2575" customHeight="1" spans="1:10">
      <c r="A2575" s="1">
        <v>902</v>
      </c>
      <c r="B2575" s="1">
        <v>2</v>
      </c>
      <c r="C2575" s="1">
        <v>92</v>
      </c>
      <c r="D2575" s="1">
        <v>1</v>
      </c>
      <c r="E2575" s="1">
        <v>209.99</v>
      </c>
      <c r="F2575" s="1">
        <v>0.07</v>
      </c>
      <c r="G2575">
        <f t="shared" si="40"/>
        <v>209.92</v>
      </c>
      <c r="H2575" t="str">
        <f>VLOOKUP(C2575,[1]products!$A:$B,2,FALSE)</f>
        <v>Haro Shredder 20 - 2017</v>
      </c>
      <c r="I2575">
        <f>VLOOKUP(C2575,[1]products!$A:$D,4,FALSE)</f>
        <v>1</v>
      </c>
      <c r="J2575" t="str">
        <f>VLOOKUP(I2575,[2]categories!$A$1:$B$8,2,FALSE)</f>
        <v>Children Bicycles</v>
      </c>
    </row>
    <row r="2576" customHeight="1" spans="1:10">
      <c r="A2576" s="1">
        <v>902</v>
      </c>
      <c r="B2576" s="1">
        <v>3</v>
      </c>
      <c r="C2576" s="1">
        <v>12</v>
      </c>
      <c r="D2576" s="1">
        <v>1</v>
      </c>
      <c r="E2576" s="1">
        <v>549.99</v>
      </c>
      <c r="F2576" s="1">
        <v>0.2</v>
      </c>
      <c r="G2576">
        <f t="shared" si="40"/>
        <v>549.79</v>
      </c>
      <c r="H2576" t="str">
        <f>VLOOKUP(C2576,[1]products!$A:$B,2,FALSE)</f>
        <v>Electra Townie Original 21D - 2016</v>
      </c>
      <c r="I2576">
        <f>VLOOKUP(C2576,[1]products!$A:$D,4,FALSE)</f>
        <v>3</v>
      </c>
      <c r="J2576" t="str">
        <f>VLOOKUP(I2576,[2]categories!$A$1:$B$8,2,FALSE)</f>
        <v>Cruisers Bicycles</v>
      </c>
    </row>
    <row r="2577" customHeight="1" spans="1:10">
      <c r="A2577" s="1">
        <v>902</v>
      </c>
      <c r="B2577" s="1">
        <v>4</v>
      </c>
      <c r="C2577" s="1">
        <v>76</v>
      </c>
      <c r="D2577" s="1">
        <v>2</v>
      </c>
      <c r="E2577" s="1">
        <v>299.99</v>
      </c>
      <c r="F2577" s="1">
        <v>0.05</v>
      </c>
      <c r="G2577">
        <f t="shared" si="40"/>
        <v>599.93</v>
      </c>
      <c r="H2577" t="str">
        <f>VLOOKUP(C2577,[1]products!$A:$B,2,FALSE)</f>
        <v>Electra Girl's Hawaii 1 16" - 2017</v>
      </c>
      <c r="I2577">
        <f>VLOOKUP(C2577,[1]products!$A:$D,4,FALSE)</f>
        <v>3</v>
      </c>
      <c r="J2577" t="str">
        <f>VLOOKUP(I2577,[2]categories!$A$1:$B$8,2,FALSE)</f>
        <v>Cruisers Bicycles</v>
      </c>
    </row>
    <row r="2578" customHeight="1" spans="1:10">
      <c r="A2578" s="1">
        <v>903</v>
      </c>
      <c r="B2578" s="1">
        <v>1</v>
      </c>
      <c r="C2578" s="1">
        <v>31</v>
      </c>
      <c r="D2578" s="1">
        <v>2</v>
      </c>
      <c r="E2578" s="1">
        <v>1632.99</v>
      </c>
      <c r="F2578" s="1">
        <v>0.07</v>
      </c>
      <c r="G2578">
        <f t="shared" si="40"/>
        <v>3265.91</v>
      </c>
      <c r="H2578" t="str">
        <f>VLOOKUP(C2578,[1]products!$A:$B,2,FALSE)</f>
        <v>Surly Wednesday - 2017</v>
      </c>
      <c r="I2578">
        <f>VLOOKUP(C2578,[1]products!$A:$D,4,FALSE)</f>
        <v>6</v>
      </c>
      <c r="J2578" t="str">
        <f>VLOOKUP(I2578,[2]categories!$A$1:$B$8,2,FALSE)</f>
        <v>Mountain Bikes</v>
      </c>
    </row>
    <row r="2579" customHeight="1" spans="1:10">
      <c r="A2579" s="1">
        <v>903</v>
      </c>
      <c r="B2579" s="1">
        <v>2</v>
      </c>
      <c r="C2579" s="1">
        <v>48</v>
      </c>
      <c r="D2579" s="1">
        <v>2</v>
      </c>
      <c r="E2579" s="1">
        <v>1499.99</v>
      </c>
      <c r="F2579" s="1">
        <v>0.05</v>
      </c>
      <c r="G2579">
        <f t="shared" si="40"/>
        <v>2999.93</v>
      </c>
      <c r="H2579" t="str">
        <f>VLOOKUP(C2579,[1]products!$A:$B,2,FALSE)</f>
        <v>Trek Emonda S 4 - 2017</v>
      </c>
      <c r="I2579">
        <f>VLOOKUP(C2579,[1]products!$A:$D,4,FALSE)</f>
        <v>7</v>
      </c>
      <c r="J2579" t="str">
        <f>VLOOKUP(I2579,[2]categories!$A$1:$B$8,2,FALSE)</f>
        <v>Road Bikes</v>
      </c>
    </row>
    <row r="2580" customHeight="1" spans="1:10">
      <c r="A2580" s="1">
        <v>904</v>
      </c>
      <c r="B2580" s="1">
        <v>1</v>
      </c>
      <c r="C2580" s="1">
        <v>36</v>
      </c>
      <c r="D2580" s="1">
        <v>2</v>
      </c>
      <c r="E2580" s="1">
        <v>832.99</v>
      </c>
      <c r="F2580" s="1">
        <v>0.1</v>
      </c>
      <c r="G2580">
        <f t="shared" si="40"/>
        <v>1665.88</v>
      </c>
      <c r="H2580" t="str">
        <f>VLOOKUP(C2580,[1]products!$A:$B,2,FALSE)</f>
        <v>Surly Troll Frameset - 2017</v>
      </c>
      <c r="I2580">
        <f>VLOOKUP(C2580,[1]products!$A:$D,4,FALSE)</f>
        <v>6</v>
      </c>
      <c r="J2580" t="str">
        <f>VLOOKUP(I2580,[2]categories!$A$1:$B$8,2,FALSE)</f>
        <v>Mountain Bikes</v>
      </c>
    </row>
    <row r="2581" customHeight="1" spans="1:10">
      <c r="A2581" s="1">
        <v>904</v>
      </c>
      <c r="B2581" s="1">
        <v>2</v>
      </c>
      <c r="C2581" s="1">
        <v>51</v>
      </c>
      <c r="D2581" s="1">
        <v>2</v>
      </c>
      <c r="E2581" s="1">
        <v>6499.99</v>
      </c>
      <c r="F2581" s="1">
        <v>0.07</v>
      </c>
      <c r="G2581">
        <f t="shared" si="40"/>
        <v>12999.91</v>
      </c>
      <c r="H2581" t="str">
        <f>VLOOKUP(C2581,[1]products!$A:$B,2,FALSE)</f>
        <v>Trek Silque SLR 8 Women's - 2017</v>
      </c>
      <c r="I2581">
        <f>VLOOKUP(C2581,[1]products!$A:$D,4,FALSE)</f>
        <v>7</v>
      </c>
      <c r="J2581" t="str">
        <f>VLOOKUP(I2581,[2]categories!$A$1:$B$8,2,FALSE)</f>
        <v>Road Bikes</v>
      </c>
    </row>
    <row r="2582" customHeight="1" spans="1:10">
      <c r="A2582" s="1">
        <v>904</v>
      </c>
      <c r="B2582" s="1">
        <v>3</v>
      </c>
      <c r="C2582" s="1">
        <v>92</v>
      </c>
      <c r="D2582" s="1">
        <v>2</v>
      </c>
      <c r="E2582" s="1">
        <v>209.99</v>
      </c>
      <c r="F2582" s="1">
        <v>0.2</v>
      </c>
      <c r="G2582">
        <f t="shared" si="40"/>
        <v>419.78</v>
      </c>
      <c r="H2582" t="str">
        <f>VLOOKUP(C2582,[1]products!$A:$B,2,FALSE)</f>
        <v>Haro Shredder 20 - 2017</v>
      </c>
      <c r="I2582">
        <f>VLOOKUP(C2582,[1]products!$A:$D,4,FALSE)</f>
        <v>1</v>
      </c>
      <c r="J2582" t="str">
        <f>VLOOKUP(I2582,[2]categories!$A$1:$B$8,2,FALSE)</f>
        <v>Children Bicycles</v>
      </c>
    </row>
    <row r="2583" customHeight="1" spans="1:10">
      <c r="A2583" s="1">
        <v>904</v>
      </c>
      <c r="B2583" s="1">
        <v>4</v>
      </c>
      <c r="C2583" s="1">
        <v>13</v>
      </c>
      <c r="D2583" s="1">
        <v>1</v>
      </c>
      <c r="E2583" s="1">
        <v>269.99</v>
      </c>
      <c r="F2583" s="1">
        <v>0.2</v>
      </c>
      <c r="G2583">
        <f t="shared" si="40"/>
        <v>269.79</v>
      </c>
      <c r="H2583" t="str">
        <f>VLOOKUP(C2583,[1]products!$A:$B,2,FALSE)</f>
        <v>Electra Cruiser 1 (24-Inch) - 2016</v>
      </c>
      <c r="I2583">
        <f>VLOOKUP(C2583,[1]products!$A:$D,4,FALSE)</f>
        <v>3</v>
      </c>
      <c r="J2583" t="str">
        <f>VLOOKUP(I2583,[2]categories!$A$1:$B$8,2,FALSE)</f>
        <v>Cruisers Bicycles</v>
      </c>
    </row>
    <row r="2584" customHeight="1" spans="1:10">
      <c r="A2584" s="1">
        <v>905</v>
      </c>
      <c r="B2584" s="1">
        <v>1</v>
      </c>
      <c r="C2584" s="1">
        <v>67</v>
      </c>
      <c r="D2584" s="1">
        <v>1</v>
      </c>
      <c r="E2584" s="1">
        <v>250.99</v>
      </c>
      <c r="F2584" s="1">
        <v>0.1</v>
      </c>
      <c r="G2584">
        <f t="shared" si="40"/>
        <v>250.89</v>
      </c>
      <c r="H2584" t="str">
        <f>VLOOKUP(C2584,[1]products!$A:$B,2,FALSE)</f>
        <v>Sun Bicycles Revolutions 24 - Girl's - 2017</v>
      </c>
      <c r="I2584">
        <f>VLOOKUP(C2584,[1]products!$A:$D,4,FALSE)</f>
        <v>3</v>
      </c>
      <c r="J2584" t="str">
        <f>VLOOKUP(I2584,[2]categories!$A$1:$B$8,2,FALSE)</f>
        <v>Cruisers Bicycles</v>
      </c>
    </row>
    <row r="2585" customHeight="1" spans="1:10">
      <c r="A2585" s="1">
        <v>905</v>
      </c>
      <c r="B2585" s="1">
        <v>2</v>
      </c>
      <c r="C2585" s="1">
        <v>62</v>
      </c>
      <c r="D2585" s="1">
        <v>2</v>
      </c>
      <c r="E2585" s="1">
        <v>3499.99</v>
      </c>
      <c r="F2585" s="1">
        <v>0.05</v>
      </c>
      <c r="G2585">
        <f t="shared" si="40"/>
        <v>6999.93</v>
      </c>
      <c r="H2585" t="str">
        <f>VLOOKUP(C2585,[1]products!$A:$B,2,FALSE)</f>
        <v>Trek Boone 7 - 2017</v>
      </c>
      <c r="I2585">
        <f>VLOOKUP(C2585,[1]products!$A:$D,4,FALSE)</f>
        <v>4</v>
      </c>
      <c r="J2585" t="str">
        <f>VLOOKUP(I2585,[2]categories!$A$1:$B$8,2,FALSE)</f>
        <v>Cyclocross Bicycles</v>
      </c>
    </row>
    <row r="2586" customHeight="1" spans="1:10">
      <c r="A2586" s="1">
        <v>905</v>
      </c>
      <c r="B2586" s="1">
        <v>3</v>
      </c>
      <c r="C2586" s="1">
        <v>42</v>
      </c>
      <c r="D2586" s="1">
        <v>2</v>
      </c>
      <c r="E2586" s="1">
        <v>2299.99</v>
      </c>
      <c r="F2586" s="1">
        <v>0.2</v>
      </c>
      <c r="G2586">
        <f t="shared" si="40"/>
        <v>4599.78</v>
      </c>
      <c r="H2586" t="str">
        <f>VLOOKUP(C2586,[1]products!$A:$B,2,FALSE)</f>
        <v>Trek Fuel EX 5 27.5 Plus - 2017</v>
      </c>
      <c r="I2586">
        <f>VLOOKUP(C2586,[1]products!$A:$D,4,FALSE)</f>
        <v>6</v>
      </c>
      <c r="J2586" t="str">
        <f>VLOOKUP(I2586,[2]categories!$A$1:$B$8,2,FALSE)</f>
        <v>Mountain Bikes</v>
      </c>
    </row>
    <row r="2587" customHeight="1" spans="1:10">
      <c r="A2587" s="1">
        <v>905</v>
      </c>
      <c r="B2587" s="1">
        <v>4</v>
      </c>
      <c r="C2587" s="1">
        <v>20</v>
      </c>
      <c r="D2587" s="1">
        <v>1</v>
      </c>
      <c r="E2587" s="1">
        <v>599.99</v>
      </c>
      <c r="F2587" s="1">
        <v>0.2</v>
      </c>
      <c r="G2587">
        <f t="shared" si="40"/>
        <v>599.79</v>
      </c>
      <c r="H2587" t="str">
        <f>VLOOKUP(C2587,[1]products!$A:$B,2,FALSE)</f>
        <v>Electra Townie Original 7D EQ - Women's - 2016</v>
      </c>
      <c r="I2587">
        <f>VLOOKUP(C2587,[1]products!$A:$D,4,FALSE)</f>
        <v>3</v>
      </c>
      <c r="J2587" t="str">
        <f>VLOOKUP(I2587,[2]categories!$A$1:$B$8,2,FALSE)</f>
        <v>Cruisers Bicycles</v>
      </c>
    </row>
    <row r="2588" customHeight="1" spans="1:10">
      <c r="A2588" s="1">
        <v>906</v>
      </c>
      <c r="B2588" s="1">
        <v>1</v>
      </c>
      <c r="C2588" s="1">
        <v>23</v>
      </c>
      <c r="D2588" s="1">
        <v>2</v>
      </c>
      <c r="E2588" s="1">
        <v>299.99</v>
      </c>
      <c r="F2588" s="1">
        <v>0.2</v>
      </c>
      <c r="G2588">
        <f t="shared" si="40"/>
        <v>599.78</v>
      </c>
      <c r="H2588" t="str">
        <f>VLOOKUP(C2588,[1]products!$A:$B,2,FALSE)</f>
        <v>Electra Girl's Hawaii 1 (20-inch) - 2015/2016</v>
      </c>
      <c r="I2588">
        <f>VLOOKUP(C2588,[1]products!$A:$D,4,FALSE)</f>
        <v>1</v>
      </c>
      <c r="J2588" t="str">
        <f>VLOOKUP(I2588,[2]categories!$A$1:$B$8,2,FALSE)</f>
        <v>Children Bicycles</v>
      </c>
    </row>
    <row r="2589" customHeight="1" spans="1:10">
      <c r="A2589" s="1">
        <v>906</v>
      </c>
      <c r="B2589" s="1">
        <v>2</v>
      </c>
      <c r="C2589" s="1">
        <v>28</v>
      </c>
      <c r="D2589" s="1">
        <v>2</v>
      </c>
      <c r="E2589" s="1">
        <v>2499.99</v>
      </c>
      <c r="F2589" s="1">
        <v>0.07</v>
      </c>
      <c r="G2589">
        <f t="shared" si="40"/>
        <v>4999.91</v>
      </c>
      <c r="H2589" t="str">
        <f>VLOOKUP(C2589,[1]products!$A:$B,2,FALSE)</f>
        <v>Surly Karate Monkey 27.5+ Frameset - 2017</v>
      </c>
      <c r="I2589">
        <f>VLOOKUP(C2589,[1]products!$A:$D,4,FALSE)</f>
        <v>6</v>
      </c>
      <c r="J2589" t="str">
        <f>VLOOKUP(I2589,[2]categories!$A$1:$B$8,2,FALSE)</f>
        <v>Mountain Bikes</v>
      </c>
    </row>
    <row r="2590" customHeight="1" spans="1:10">
      <c r="A2590" s="1">
        <v>906</v>
      </c>
      <c r="B2590" s="1">
        <v>3</v>
      </c>
      <c r="C2590" s="1">
        <v>46</v>
      </c>
      <c r="D2590" s="1">
        <v>1</v>
      </c>
      <c r="E2590" s="1">
        <v>1409.99</v>
      </c>
      <c r="F2590" s="1">
        <v>0.05</v>
      </c>
      <c r="G2590">
        <f t="shared" si="40"/>
        <v>1409.94</v>
      </c>
      <c r="H2590" t="str">
        <f>VLOOKUP(C2590,[1]products!$A:$B,2,FALSE)</f>
        <v>Haro SR 1.3 - 2017</v>
      </c>
      <c r="I2590">
        <f>VLOOKUP(C2590,[1]products!$A:$D,4,FALSE)</f>
        <v>6</v>
      </c>
      <c r="J2590" t="str">
        <f>VLOOKUP(I2590,[2]categories!$A$1:$B$8,2,FALSE)</f>
        <v>Mountain Bikes</v>
      </c>
    </row>
    <row r="2591" customHeight="1" spans="1:10">
      <c r="A2591" s="1">
        <v>906</v>
      </c>
      <c r="B2591" s="1">
        <v>4</v>
      </c>
      <c r="C2591" s="1">
        <v>102</v>
      </c>
      <c r="D2591" s="1">
        <v>2</v>
      </c>
      <c r="E2591" s="1">
        <v>489.99</v>
      </c>
      <c r="F2591" s="1">
        <v>0.1</v>
      </c>
      <c r="G2591">
        <f t="shared" si="40"/>
        <v>979.88</v>
      </c>
      <c r="H2591" t="str">
        <f>VLOOKUP(C2591,[1]products!$A:$B,2,FALSE)</f>
        <v>Electra Townie Original 7D - 2017</v>
      </c>
      <c r="I2591">
        <f>VLOOKUP(C2591,[1]products!$A:$D,4,FALSE)</f>
        <v>2</v>
      </c>
      <c r="J2591" t="str">
        <f>VLOOKUP(I2591,[2]categories!$A$1:$B$8,2,FALSE)</f>
        <v>Comfort Bicycles</v>
      </c>
    </row>
    <row r="2592" customHeight="1" spans="1:10">
      <c r="A2592" s="1">
        <v>906</v>
      </c>
      <c r="B2592" s="1">
        <v>5</v>
      </c>
      <c r="C2592" s="1">
        <v>22</v>
      </c>
      <c r="D2592" s="1">
        <v>2</v>
      </c>
      <c r="E2592" s="1">
        <v>269.99</v>
      </c>
      <c r="F2592" s="1">
        <v>0.2</v>
      </c>
      <c r="G2592">
        <f t="shared" si="40"/>
        <v>539.78</v>
      </c>
      <c r="H2592" t="str">
        <f>VLOOKUP(C2592,[1]products!$A:$B,2,FALSE)</f>
        <v>Electra Girl's Hawaii 1 (16-inch) - 2015/2016</v>
      </c>
      <c r="I2592">
        <f>VLOOKUP(C2592,[1]products!$A:$D,4,FALSE)</f>
        <v>1</v>
      </c>
      <c r="J2592" t="str">
        <f>VLOOKUP(I2592,[2]categories!$A$1:$B$8,2,FALSE)</f>
        <v>Children Bicycles</v>
      </c>
    </row>
    <row r="2593" customHeight="1" spans="1:10">
      <c r="A2593" s="1">
        <v>907</v>
      </c>
      <c r="B2593" s="1">
        <v>1</v>
      </c>
      <c r="C2593" s="1">
        <v>84</v>
      </c>
      <c r="D2593" s="1">
        <v>2</v>
      </c>
      <c r="E2593" s="1">
        <v>109.99</v>
      </c>
      <c r="F2593" s="1">
        <v>0.07</v>
      </c>
      <c r="G2593">
        <f t="shared" si="40"/>
        <v>219.91</v>
      </c>
      <c r="H2593" t="str">
        <f>VLOOKUP(C2593,[1]products!$A:$B,2,FALSE)</f>
        <v>Sun Bicycles Lil Kitt'n - 2017</v>
      </c>
      <c r="I2593">
        <f>VLOOKUP(C2593,[1]products!$A:$D,4,FALSE)</f>
        <v>1</v>
      </c>
      <c r="J2593" t="str">
        <f>VLOOKUP(I2593,[2]categories!$A$1:$B$8,2,FALSE)</f>
        <v>Children Bicycles</v>
      </c>
    </row>
    <row r="2594" customHeight="1" spans="1:10">
      <c r="A2594" s="1">
        <v>907</v>
      </c>
      <c r="B2594" s="1">
        <v>2</v>
      </c>
      <c r="C2594" s="1">
        <v>65</v>
      </c>
      <c r="D2594" s="1">
        <v>1</v>
      </c>
      <c r="E2594" s="1">
        <v>346.99</v>
      </c>
      <c r="F2594" s="1">
        <v>0.07</v>
      </c>
      <c r="G2594">
        <f t="shared" si="40"/>
        <v>346.92</v>
      </c>
      <c r="H2594" t="str">
        <f>VLOOKUP(C2594,[1]products!$A:$B,2,FALSE)</f>
        <v>Sun Bicycles Lil Bolt Type-R - 2017</v>
      </c>
      <c r="I2594">
        <f>VLOOKUP(C2594,[1]products!$A:$D,4,FALSE)</f>
        <v>3</v>
      </c>
      <c r="J2594" t="str">
        <f>VLOOKUP(I2594,[2]categories!$A$1:$B$8,2,FALSE)</f>
        <v>Cruisers Bicycles</v>
      </c>
    </row>
    <row r="2595" customHeight="1" spans="1:10">
      <c r="A2595" s="1">
        <v>908</v>
      </c>
      <c r="B2595" s="1">
        <v>1</v>
      </c>
      <c r="C2595" s="1">
        <v>41</v>
      </c>
      <c r="D2595" s="1">
        <v>1</v>
      </c>
      <c r="E2595" s="1">
        <v>1469.99</v>
      </c>
      <c r="F2595" s="1">
        <v>0.2</v>
      </c>
      <c r="G2595">
        <f t="shared" si="40"/>
        <v>1469.79</v>
      </c>
      <c r="H2595" t="str">
        <f>VLOOKUP(C2595,[1]products!$A:$B,2,FALSE)</f>
        <v>Haro Shift R3 - 2017</v>
      </c>
      <c r="I2595">
        <f>VLOOKUP(C2595,[1]products!$A:$D,4,FALSE)</f>
        <v>6</v>
      </c>
      <c r="J2595" t="str">
        <f>VLOOKUP(I2595,[2]categories!$A$1:$B$8,2,FALSE)</f>
        <v>Mountain Bikes</v>
      </c>
    </row>
    <row r="2596" customHeight="1" spans="1:10">
      <c r="A2596" s="1">
        <v>908</v>
      </c>
      <c r="B2596" s="1">
        <v>2</v>
      </c>
      <c r="C2596" s="1">
        <v>94</v>
      </c>
      <c r="D2596" s="1">
        <v>1</v>
      </c>
      <c r="E2596" s="1">
        <v>249.99</v>
      </c>
      <c r="F2596" s="1">
        <v>0.1</v>
      </c>
      <c r="G2596">
        <f t="shared" si="40"/>
        <v>249.89</v>
      </c>
      <c r="H2596" t="str">
        <f>VLOOKUP(C2596,[1]products!$A:$B,2,FALSE)</f>
        <v>Haro Shredder Pro 20 - 2017</v>
      </c>
      <c r="I2596">
        <f>VLOOKUP(C2596,[1]products!$A:$D,4,FALSE)</f>
        <v>1</v>
      </c>
      <c r="J2596" t="str">
        <f>VLOOKUP(I2596,[2]categories!$A$1:$B$8,2,FALSE)</f>
        <v>Children Bicycles</v>
      </c>
    </row>
    <row r="2597" customHeight="1" spans="1:10">
      <c r="A2597" s="1">
        <v>908</v>
      </c>
      <c r="B2597" s="1">
        <v>3</v>
      </c>
      <c r="C2597" s="1">
        <v>102</v>
      </c>
      <c r="D2597" s="1">
        <v>2</v>
      </c>
      <c r="E2597" s="1">
        <v>489.99</v>
      </c>
      <c r="F2597" s="1">
        <v>0.1</v>
      </c>
      <c r="G2597">
        <f t="shared" si="40"/>
        <v>979.88</v>
      </c>
      <c r="H2597" t="str">
        <f>VLOOKUP(C2597,[1]products!$A:$B,2,FALSE)</f>
        <v>Electra Townie Original 7D - 2017</v>
      </c>
      <c r="I2597">
        <f>VLOOKUP(C2597,[1]products!$A:$D,4,FALSE)</f>
        <v>2</v>
      </c>
      <c r="J2597" t="str">
        <f>VLOOKUP(I2597,[2]categories!$A$1:$B$8,2,FALSE)</f>
        <v>Comfort Bicycles</v>
      </c>
    </row>
    <row r="2598" customHeight="1" spans="1:10">
      <c r="A2598" s="1">
        <v>909</v>
      </c>
      <c r="B2598" s="1">
        <v>1</v>
      </c>
      <c r="C2598" s="1">
        <v>5</v>
      </c>
      <c r="D2598" s="1">
        <v>1</v>
      </c>
      <c r="E2598" s="1">
        <v>1320.99</v>
      </c>
      <c r="F2598" s="1">
        <v>0.2</v>
      </c>
      <c r="G2598">
        <f t="shared" si="40"/>
        <v>1320.79</v>
      </c>
      <c r="H2598" t="str">
        <f>VLOOKUP(C2598,[1]products!$A:$B,2,FALSE)</f>
        <v>Heller Shagamaw Frame - 2016</v>
      </c>
      <c r="I2598">
        <f>VLOOKUP(C2598,[1]products!$A:$D,4,FALSE)</f>
        <v>6</v>
      </c>
      <c r="J2598" t="str">
        <f>VLOOKUP(I2598,[2]categories!$A$1:$B$8,2,FALSE)</f>
        <v>Mountain Bikes</v>
      </c>
    </row>
    <row r="2599" customHeight="1" spans="1:10">
      <c r="A2599" s="1">
        <v>910</v>
      </c>
      <c r="B2599" s="1">
        <v>1</v>
      </c>
      <c r="C2599" s="1">
        <v>23</v>
      </c>
      <c r="D2599" s="1">
        <v>1</v>
      </c>
      <c r="E2599" s="1">
        <v>299.99</v>
      </c>
      <c r="F2599" s="1">
        <v>0.1</v>
      </c>
      <c r="G2599">
        <f t="shared" si="40"/>
        <v>299.89</v>
      </c>
      <c r="H2599" t="str">
        <f>VLOOKUP(C2599,[1]products!$A:$B,2,FALSE)</f>
        <v>Electra Girl's Hawaii 1 (20-inch) - 2015/2016</v>
      </c>
      <c r="I2599">
        <f>VLOOKUP(C2599,[1]products!$A:$D,4,FALSE)</f>
        <v>1</v>
      </c>
      <c r="J2599" t="str">
        <f>VLOOKUP(I2599,[2]categories!$A$1:$B$8,2,FALSE)</f>
        <v>Children Bicycles</v>
      </c>
    </row>
    <row r="2600" customHeight="1" spans="1:10">
      <c r="A2600" s="1">
        <v>911</v>
      </c>
      <c r="B2600" s="1">
        <v>1</v>
      </c>
      <c r="C2600" s="1">
        <v>66</v>
      </c>
      <c r="D2600" s="1">
        <v>2</v>
      </c>
      <c r="E2600" s="1">
        <v>250.99</v>
      </c>
      <c r="F2600" s="1">
        <v>0.05</v>
      </c>
      <c r="G2600">
        <f t="shared" si="40"/>
        <v>501.93</v>
      </c>
      <c r="H2600" t="str">
        <f>VLOOKUP(C2600,[1]products!$A:$B,2,FALSE)</f>
        <v>Sun Bicycles Revolutions 24 - 2017</v>
      </c>
      <c r="I2600">
        <f>VLOOKUP(C2600,[1]products!$A:$D,4,FALSE)</f>
        <v>3</v>
      </c>
      <c r="J2600" t="str">
        <f>VLOOKUP(I2600,[2]categories!$A$1:$B$8,2,FALSE)</f>
        <v>Cruisers Bicycles</v>
      </c>
    </row>
    <row r="2601" customHeight="1" spans="1:10">
      <c r="A2601" s="1">
        <v>911</v>
      </c>
      <c r="B2601" s="1">
        <v>2</v>
      </c>
      <c r="C2601" s="1">
        <v>106</v>
      </c>
      <c r="D2601" s="1">
        <v>1</v>
      </c>
      <c r="E2601" s="1">
        <v>449.99</v>
      </c>
      <c r="F2601" s="1">
        <v>0.05</v>
      </c>
      <c r="G2601">
        <f t="shared" si="40"/>
        <v>449.94</v>
      </c>
      <c r="H2601" t="str">
        <f>VLOOKUP(C2601,[1]products!$A:$B,2,FALSE)</f>
        <v>Sun Bicycles Cruz 3 - 2017</v>
      </c>
      <c r="I2601">
        <f>VLOOKUP(C2601,[1]products!$A:$D,4,FALSE)</f>
        <v>2</v>
      </c>
      <c r="J2601" t="str">
        <f>VLOOKUP(I2601,[2]categories!$A$1:$B$8,2,FALSE)</f>
        <v>Comfort Bicycles</v>
      </c>
    </row>
    <row r="2602" customHeight="1" spans="1:10">
      <c r="A2602" s="1">
        <v>911</v>
      </c>
      <c r="B2602" s="1">
        <v>3</v>
      </c>
      <c r="C2602" s="1">
        <v>91</v>
      </c>
      <c r="D2602" s="1">
        <v>2</v>
      </c>
      <c r="E2602" s="1">
        <v>349.99</v>
      </c>
      <c r="F2602" s="1">
        <v>0.05</v>
      </c>
      <c r="G2602">
        <f t="shared" si="40"/>
        <v>699.93</v>
      </c>
      <c r="H2602" t="str">
        <f>VLOOKUP(C2602,[1]products!$A:$B,2,FALSE)</f>
        <v>Trek Precaliber 24 (21-Speed) - Girls - 2017</v>
      </c>
      <c r="I2602">
        <f>VLOOKUP(C2602,[1]products!$A:$D,4,FALSE)</f>
        <v>1</v>
      </c>
      <c r="J2602" t="str">
        <f>VLOOKUP(I2602,[2]categories!$A$1:$B$8,2,FALSE)</f>
        <v>Children Bicycles</v>
      </c>
    </row>
    <row r="2603" customHeight="1" spans="1:10">
      <c r="A2603" s="1">
        <v>911</v>
      </c>
      <c r="B2603" s="1">
        <v>4</v>
      </c>
      <c r="C2603" s="1">
        <v>49</v>
      </c>
      <c r="D2603" s="1">
        <v>1</v>
      </c>
      <c r="E2603" s="1">
        <v>3499.99</v>
      </c>
      <c r="F2603" s="1">
        <v>0.2</v>
      </c>
      <c r="G2603">
        <f t="shared" si="40"/>
        <v>3499.79</v>
      </c>
      <c r="H2603" t="str">
        <f>VLOOKUP(C2603,[1]products!$A:$B,2,FALSE)</f>
        <v>Trek Domane SL 6 - 2017</v>
      </c>
      <c r="I2603">
        <f>VLOOKUP(C2603,[1]products!$A:$D,4,FALSE)</f>
        <v>7</v>
      </c>
      <c r="J2603" t="str">
        <f>VLOOKUP(I2603,[2]categories!$A$1:$B$8,2,FALSE)</f>
        <v>Road Bikes</v>
      </c>
    </row>
    <row r="2604" customHeight="1" spans="1:10">
      <c r="A2604" s="1">
        <v>912</v>
      </c>
      <c r="B2604" s="1">
        <v>1</v>
      </c>
      <c r="C2604" s="1">
        <v>22</v>
      </c>
      <c r="D2604" s="1">
        <v>2</v>
      </c>
      <c r="E2604" s="1">
        <v>269.99</v>
      </c>
      <c r="F2604" s="1">
        <v>0.2</v>
      </c>
      <c r="G2604">
        <f t="shared" si="40"/>
        <v>539.78</v>
      </c>
      <c r="H2604" t="str">
        <f>VLOOKUP(C2604,[1]products!$A:$B,2,FALSE)</f>
        <v>Electra Girl's Hawaii 1 (16-inch) - 2015/2016</v>
      </c>
      <c r="I2604">
        <f>VLOOKUP(C2604,[1]products!$A:$D,4,FALSE)</f>
        <v>1</v>
      </c>
      <c r="J2604" t="str">
        <f>VLOOKUP(I2604,[2]categories!$A$1:$B$8,2,FALSE)</f>
        <v>Children Bicycles</v>
      </c>
    </row>
    <row r="2605" customHeight="1" spans="1:10">
      <c r="A2605" s="1">
        <v>912</v>
      </c>
      <c r="B2605" s="1">
        <v>2</v>
      </c>
      <c r="C2605" s="1">
        <v>71</v>
      </c>
      <c r="D2605" s="1">
        <v>2</v>
      </c>
      <c r="E2605" s="1">
        <v>416.99</v>
      </c>
      <c r="F2605" s="1">
        <v>0.05</v>
      </c>
      <c r="G2605">
        <f t="shared" si="40"/>
        <v>833.93</v>
      </c>
      <c r="H2605" t="str">
        <f>VLOOKUP(C2605,[1]products!$A:$B,2,FALSE)</f>
        <v>Sun Bicycles Atlas X-Type - 2017</v>
      </c>
      <c r="I2605">
        <f>VLOOKUP(C2605,[1]products!$A:$D,4,FALSE)</f>
        <v>3</v>
      </c>
      <c r="J2605" t="str">
        <f>VLOOKUP(I2605,[2]categories!$A$1:$B$8,2,FALSE)</f>
        <v>Cruisers Bicycles</v>
      </c>
    </row>
    <row r="2606" customHeight="1" spans="1:10">
      <c r="A2606" s="1">
        <v>912</v>
      </c>
      <c r="B2606" s="1">
        <v>3</v>
      </c>
      <c r="C2606" s="1">
        <v>101</v>
      </c>
      <c r="D2606" s="1">
        <v>1</v>
      </c>
      <c r="E2606" s="1">
        <v>339.99</v>
      </c>
      <c r="F2606" s="1">
        <v>0.05</v>
      </c>
      <c r="G2606">
        <f t="shared" si="40"/>
        <v>339.94</v>
      </c>
      <c r="H2606" t="str">
        <f>VLOOKUP(C2606,[1]products!$A:$B,2,FALSE)</f>
        <v>Electra Townie 7D (20-inch) - Boys' - 2017</v>
      </c>
      <c r="I2606">
        <f>VLOOKUP(C2606,[1]products!$A:$D,4,FALSE)</f>
        <v>1</v>
      </c>
      <c r="J2606" t="str">
        <f>VLOOKUP(I2606,[2]categories!$A$1:$B$8,2,FALSE)</f>
        <v>Children Bicycles</v>
      </c>
    </row>
    <row r="2607" customHeight="1" spans="1:10">
      <c r="A2607" s="1">
        <v>912</v>
      </c>
      <c r="B2607" s="1">
        <v>4</v>
      </c>
      <c r="C2607" s="1">
        <v>2</v>
      </c>
      <c r="D2607" s="1">
        <v>2</v>
      </c>
      <c r="E2607" s="1">
        <v>749.99</v>
      </c>
      <c r="F2607" s="1">
        <v>0.2</v>
      </c>
      <c r="G2607">
        <f t="shared" si="40"/>
        <v>1499.78</v>
      </c>
      <c r="H2607" t="str">
        <f>VLOOKUP(C2607,[1]products!$A:$B,2,FALSE)</f>
        <v>Ritchey Timberwolf Frameset - 2016</v>
      </c>
      <c r="I2607">
        <f>VLOOKUP(C2607,[1]products!$A:$D,4,FALSE)</f>
        <v>6</v>
      </c>
      <c r="J2607" t="str">
        <f>VLOOKUP(I2607,[2]categories!$A$1:$B$8,2,FALSE)</f>
        <v>Mountain Bikes</v>
      </c>
    </row>
    <row r="2608" customHeight="1" spans="1:10">
      <c r="A2608" s="1">
        <v>913</v>
      </c>
      <c r="B2608" s="1">
        <v>1</v>
      </c>
      <c r="C2608" s="1">
        <v>90</v>
      </c>
      <c r="D2608" s="1">
        <v>2</v>
      </c>
      <c r="E2608" s="1">
        <v>209.99</v>
      </c>
      <c r="F2608" s="1">
        <v>0.1</v>
      </c>
      <c r="G2608">
        <f t="shared" si="40"/>
        <v>419.88</v>
      </c>
      <c r="H2608" t="str">
        <f>VLOOKUP(C2608,[1]products!$A:$B,2,FALSE)</f>
        <v>Trek Precaliber 16 Girls - 2017</v>
      </c>
      <c r="I2608">
        <f>VLOOKUP(C2608,[1]products!$A:$D,4,FALSE)</f>
        <v>1</v>
      </c>
      <c r="J2608" t="str">
        <f>VLOOKUP(I2608,[2]categories!$A$1:$B$8,2,FALSE)</f>
        <v>Children Bicycles</v>
      </c>
    </row>
    <row r="2609" customHeight="1" spans="1:10">
      <c r="A2609" s="1">
        <v>913</v>
      </c>
      <c r="B2609" s="1">
        <v>2</v>
      </c>
      <c r="C2609" s="1">
        <v>24</v>
      </c>
      <c r="D2609" s="1">
        <v>2</v>
      </c>
      <c r="E2609" s="1">
        <v>549.99</v>
      </c>
      <c r="F2609" s="1">
        <v>0.05</v>
      </c>
      <c r="G2609">
        <f t="shared" si="40"/>
        <v>1099.93</v>
      </c>
      <c r="H2609" t="str">
        <f>VLOOKUP(C2609,[1]products!$A:$B,2,FALSE)</f>
        <v>Electra Townie Original 21D - 2016</v>
      </c>
      <c r="I2609">
        <f>VLOOKUP(C2609,[1]products!$A:$D,4,FALSE)</f>
        <v>2</v>
      </c>
      <c r="J2609" t="str">
        <f>VLOOKUP(I2609,[2]categories!$A$1:$B$8,2,FALSE)</f>
        <v>Comfort Bicycles</v>
      </c>
    </row>
    <row r="2610" customHeight="1" spans="1:10">
      <c r="A2610" s="1">
        <v>914</v>
      </c>
      <c r="B2610" s="1">
        <v>1</v>
      </c>
      <c r="C2610" s="1">
        <v>38</v>
      </c>
      <c r="D2610" s="1">
        <v>1</v>
      </c>
      <c r="E2610" s="1">
        <v>549.99</v>
      </c>
      <c r="F2610" s="1">
        <v>0.07</v>
      </c>
      <c r="G2610">
        <f t="shared" si="40"/>
        <v>549.92</v>
      </c>
      <c r="H2610" t="str">
        <f>VLOOKUP(C2610,[1]products!$A:$B,2,FALSE)</f>
        <v>Haro Flightline Two 26 Plus - 2017</v>
      </c>
      <c r="I2610">
        <f>VLOOKUP(C2610,[1]products!$A:$D,4,FALSE)</f>
        <v>6</v>
      </c>
      <c r="J2610" t="str">
        <f>VLOOKUP(I2610,[2]categories!$A$1:$B$8,2,FALSE)</f>
        <v>Mountain Bikes</v>
      </c>
    </row>
    <row r="2611" customHeight="1" spans="1:10">
      <c r="A2611" s="1">
        <v>914</v>
      </c>
      <c r="B2611" s="1">
        <v>2</v>
      </c>
      <c r="C2611" s="1">
        <v>20</v>
      </c>
      <c r="D2611" s="1">
        <v>2</v>
      </c>
      <c r="E2611" s="1">
        <v>599.99</v>
      </c>
      <c r="F2611" s="1">
        <v>0.2</v>
      </c>
      <c r="G2611">
        <f t="shared" si="40"/>
        <v>1199.78</v>
      </c>
      <c r="H2611" t="str">
        <f>VLOOKUP(C2611,[1]products!$A:$B,2,FALSE)</f>
        <v>Electra Townie Original 7D EQ - Women's - 2016</v>
      </c>
      <c r="I2611">
        <f>VLOOKUP(C2611,[1]products!$A:$D,4,FALSE)</f>
        <v>3</v>
      </c>
      <c r="J2611" t="str">
        <f>VLOOKUP(I2611,[2]categories!$A$1:$B$8,2,FALSE)</f>
        <v>Cruisers Bicycles</v>
      </c>
    </row>
    <row r="2612" customHeight="1" spans="1:10">
      <c r="A2612" s="1">
        <v>914</v>
      </c>
      <c r="B2612" s="1">
        <v>3</v>
      </c>
      <c r="C2612" s="1">
        <v>106</v>
      </c>
      <c r="D2612" s="1">
        <v>1</v>
      </c>
      <c r="E2612" s="1">
        <v>449.99</v>
      </c>
      <c r="F2612" s="1">
        <v>0.05</v>
      </c>
      <c r="G2612">
        <f t="shared" si="40"/>
        <v>449.94</v>
      </c>
      <c r="H2612" t="str">
        <f>VLOOKUP(C2612,[1]products!$A:$B,2,FALSE)</f>
        <v>Sun Bicycles Cruz 3 - 2017</v>
      </c>
      <c r="I2612">
        <f>VLOOKUP(C2612,[1]products!$A:$D,4,FALSE)</f>
        <v>2</v>
      </c>
      <c r="J2612" t="str">
        <f>VLOOKUP(I2612,[2]categories!$A$1:$B$8,2,FALSE)</f>
        <v>Comfort Bicycles</v>
      </c>
    </row>
    <row r="2613" customHeight="1" spans="1:10">
      <c r="A2613" s="1">
        <v>914</v>
      </c>
      <c r="B2613" s="1">
        <v>4</v>
      </c>
      <c r="C2613" s="1">
        <v>46</v>
      </c>
      <c r="D2613" s="1">
        <v>1</v>
      </c>
      <c r="E2613" s="1">
        <v>1409.99</v>
      </c>
      <c r="F2613" s="1">
        <v>0.1</v>
      </c>
      <c r="G2613">
        <f t="shared" si="40"/>
        <v>1409.89</v>
      </c>
      <c r="H2613" t="str">
        <f>VLOOKUP(C2613,[1]products!$A:$B,2,FALSE)</f>
        <v>Haro SR 1.3 - 2017</v>
      </c>
      <c r="I2613">
        <f>VLOOKUP(C2613,[1]products!$A:$D,4,FALSE)</f>
        <v>6</v>
      </c>
      <c r="J2613" t="str">
        <f>VLOOKUP(I2613,[2]categories!$A$1:$B$8,2,FALSE)</f>
        <v>Mountain Bikes</v>
      </c>
    </row>
    <row r="2614" customHeight="1" spans="1:10">
      <c r="A2614" s="1">
        <v>915</v>
      </c>
      <c r="B2614" s="1">
        <v>1</v>
      </c>
      <c r="C2614" s="1">
        <v>64</v>
      </c>
      <c r="D2614" s="1">
        <v>1</v>
      </c>
      <c r="E2614" s="1">
        <v>489.99</v>
      </c>
      <c r="F2614" s="1">
        <v>0.05</v>
      </c>
      <c r="G2614">
        <f t="shared" si="40"/>
        <v>489.94</v>
      </c>
      <c r="H2614" t="str">
        <f>VLOOKUP(C2614,[1]products!$A:$B,2,FALSE)</f>
        <v>Electra Townie Original 7D - 2017</v>
      </c>
      <c r="I2614">
        <f>VLOOKUP(C2614,[1]products!$A:$D,4,FALSE)</f>
        <v>3</v>
      </c>
      <c r="J2614" t="str">
        <f>VLOOKUP(I2614,[2]categories!$A$1:$B$8,2,FALSE)</f>
        <v>Cruisers Bicycles</v>
      </c>
    </row>
    <row r="2615" customHeight="1" spans="1:10">
      <c r="A2615" s="1">
        <v>915</v>
      </c>
      <c r="B2615" s="1">
        <v>2</v>
      </c>
      <c r="C2615" s="1">
        <v>48</v>
      </c>
      <c r="D2615" s="1">
        <v>1</v>
      </c>
      <c r="E2615" s="1">
        <v>1499.99</v>
      </c>
      <c r="F2615" s="1">
        <v>0.07</v>
      </c>
      <c r="G2615">
        <f t="shared" si="40"/>
        <v>1499.92</v>
      </c>
      <c r="H2615" t="str">
        <f>VLOOKUP(C2615,[1]products!$A:$B,2,FALSE)</f>
        <v>Trek Emonda S 4 - 2017</v>
      </c>
      <c r="I2615">
        <f>VLOOKUP(C2615,[1]products!$A:$D,4,FALSE)</f>
        <v>7</v>
      </c>
      <c r="J2615" t="str">
        <f>VLOOKUP(I2615,[2]categories!$A$1:$B$8,2,FALSE)</f>
        <v>Road Bikes</v>
      </c>
    </row>
    <row r="2616" customHeight="1" spans="1:10">
      <c r="A2616" s="1">
        <v>915</v>
      </c>
      <c r="B2616" s="1">
        <v>3</v>
      </c>
      <c r="C2616" s="1">
        <v>42</v>
      </c>
      <c r="D2616" s="1">
        <v>1</v>
      </c>
      <c r="E2616" s="1">
        <v>2299.99</v>
      </c>
      <c r="F2616" s="1">
        <v>0.2</v>
      </c>
      <c r="G2616">
        <f t="shared" si="40"/>
        <v>2299.79</v>
      </c>
      <c r="H2616" t="str">
        <f>VLOOKUP(C2616,[1]products!$A:$B,2,FALSE)</f>
        <v>Trek Fuel EX 5 27.5 Plus - 2017</v>
      </c>
      <c r="I2616">
        <f>VLOOKUP(C2616,[1]products!$A:$D,4,FALSE)</f>
        <v>6</v>
      </c>
      <c r="J2616" t="str">
        <f>VLOOKUP(I2616,[2]categories!$A$1:$B$8,2,FALSE)</f>
        <v>Mountain Bikes</v>
      </c>
    </row>
    <row r="2617" customHeight="1" spans="1:10">
      <c r="A2617" s="1">
        <v>915</v>
      </c>
      <c r="B2617" s="1">
        <v>4</v>
      </c>
      <c r="C2617" s="1">
        <v>2</v>
      </c>
      <c r="D2617" s="1">
        <v>1</v>
      </c>
      <c r="E2617" s="1">
        <v>749.99</v>
      </c>
      <c r="F2617" s="1">
        <v>0.07</v>
      </c>
      <c r="G2617">
        <f t="shared" si="40"/>
        <v>749.92</v>
      </c>
      <c r="H2617" t="str">
        <f>VLOOKUP(C2617,[1]products!$A:$B,2,FALSE)</f>
        <v>Ritchey Timberwolf Frameset - 2016</v>
      </c>
      <c r="I2617">
        <f>VLOOKUP(C2617,[1]products!$A:$D,4,FALSE)</f>
        <v>6</v>
      </c>
      <c r="J2617" t="str">
        <f>VLOOKUP(I2617,[2]categories!$A$1:$B$8,2,FALSE)</f>
        <v>Mountain Bikes</v>
      </c>
    </row>
    <row r="2618" customHeight="1" spans="1:10">
      <c r="A2618" s="1">
        <v>916</v>
      </c>
      <c r="B2618" s="1">
        <v>1</v>
      </c>
      <c r="C2618" s="1">
        <v>92</v>
      </c>
      <c r="D2618" s="1">
        <v>1</v>
      </c>
      <c r="E2618" s="1">
        <v>209.99</v>
      </c>
      <c r="F2618" s="1">
        <v>0.2</v>
      </c>
      <c r="G2618">
        <f t="shared" si="40"/>
        <v>209.79</v>
      </c>
      <c r="H2618" t="str">
        <f>VLOOKUP(C2618,[1]products!$A:$B,2,FALSE)</f>
        <v>Haro Shredder 20 - 2017</v>
      </c>
      <c r="I2618">
        <f>VLOOKUP(C2618,[1]products!$A:$D,4,FALSE)</f>
        <v>1</v>
      </c>
      <c r="J2618" t="str">
        <f>VLOOKUP(I2618,[2]categories!$A$1:$B$8,2,FALSE)</f>
        <v>Children Bicycles</v>
      </c>
    </row>
    <row r="2619" customHeight="1" spans="1:10">
      <c r="A2619" s="1">
        <v>917</v>
      </c>
      <c r="B2619" s="1">
        <v>1</v>
      </c>
      <c r="C2619" s="1">
        <v>41</v>
      </c>
      <c r="D2619" s="1">
        <v>1</v>
      </c>
      <c r="E2619" s="1">
        <v>1469.99</v>
      </c>
      <c r="F2619" s="1">
        <v>0.07</v>
      </c>
      <c r="G2619">
        <f t="shared" si="40"/>
        <v>1469.92</v>
      </c>
      <c r="H2619" t="str">
        <f>VLOOKUP(C2619,[1]products!$A:$B,2,FALSE)</f>
        <v>Haro Shift R3 - 2017</v>
      </c>
      <c r="I2619">
        <f>VLOOKUP(C2619,[1]products!$A:$D,4,FALSE)</f>
        <v>6</v>
      </c>
      <c r="J2619" t="str">
        <f>VLOOKUP(I2619,[2]categories!$A$1:$B$8,2,FALSE)</f>
        <v>Mountain Bikes</v>
      </c>
    </row>
    <row r="2620" customHeight="1" spans="1:10">
      <c r="A2620" s="1">
        <v>918</v>
      </c>
      <c r="B2620" s="1">
        <v>1</v>
      </c>
      <c r="C2620" s="1">
        <v>91</v>
      </c>
      <c r="D2620" s="1">
        <v>1</v>
      </c>
      <c r="E2620" s="1">
        <v>349.99</v>
      </c>
      <c r="F2620" s="1">
        <v>0.2</v>
      </c>
      <c r="G2620">
        <f t="shared" si="40"/>
        <v>349.79</v>
      </c>
      <c r="H2620" t="str">
        <f>VLOOKUP(C2620,[1]products!$A:$B,2,FALSE)</f>
        <v>Trek Precaliber 24 (21-Speed) - Girls - 2017</v>
      </c>
      <c r="I2620">
        <f>VLOOKUP(C2620,[1]products!$A:$D,4,FALSE)</f>
        <v>1</v>
      </c>
      <c r="J2620" t="str">
        <f>VLOOKUP(I2620,[2]categories!$A$1:$B$8,2,FALSE)</f>
        <v>Children Bicycles</v>
      </c>
    </row>
    <row r="2621" customHeight="1" spans="1:10">
      <c r="A2621" s="1">
        <v>918</v>
      </c>
      <c r="B2621" s="1">
        <v>2</v>
      </c>
      <c r="C2621" s="1">
        <v>31</v>
      </c>
      <c r="D2621" s="1">
        <v>1</v>
      </c>
      <c r="E2621" s="1">
        <v>1632.99</v>
      </c>
      <c r="F2621" s="1">
        <v>0.1</v>
      </c>
      <c r="G2621">
        <f t="shared" si="40"/>
        <v>1632.89</v>
      </c>
      <c r="H2621" t="str">
        <f>VLOOKUP(C2621,[1]products!$A:$B,2,FALSE)</f>
        <v>Surly Wednesday - 2017</v>
      </c>
      <c r="I2621">
        <f>VLOOKUP(C2621,[1]products!$A:$D,4,FALSE)</f>
        <v>6</v>
      </c>
      <c r="J2621" t="str">
        <f>VLOOKUP(I2621,[2]categories!$A$1:$B$8,2,FALSE)</f>
        <v>Mountain Bikes</v>
      </c>
    </row>
    <row r="2622" customHeight="1" spans="1:10">
      <c r="A2622" s="1">
        <v>918</v>
      </c>
      <c r="B2622" s="1">
        <v>3</v>
      </c>
      <c r="C2622" s="1">
        <v>4</v>
      </c>
      <c r="D2622" s="1">
        <v>2</v>
      </c>
      <c r="E2622" s="1">
        <v>2899.99</v>
      </c>
      <c r="F2622" s="1">
        <v>0.07</v>
      </c>
      <c r="G2622">
        <f t="shared" si="40"/>
        <v>5799.91</v>
      </c>
      <c r="H2622" t="str">
        <f>VLOOKUP(C2622,[1]products!$A:$B,2,FALSE)</f>
        <v>Trek Fuel EX 8 29 - 2016</v>
      </c>
      <c r="I2622">
        <f>VLOOKUP(C2622,[1]products!$A:$D,4,FALSE)</f>
        <v>6</v>
      </c>
      <c r="J2622" t="str">
        <f>VLOOKUP(I2622,[2]categories!$A$1:$B$8,2,FALSE)</f>
        <v>Mountain Bikes</v>
      </c>
    </row>
    <row r="2623" customHeight="1" spans="1:10">
      <c r="A2623" s="1">
        <v>919</v>
      </c>
      <c r="B2623" s="1">
        <v>1</v>
      </c>
      <c r="C2623" s="1">
        <v>7</v>
      </c>
      <c r="D2623" s="1">
        <v>1</v>
      </c>
      <c r="E2623" s="1">
        <v>3999.99</v>
      </c>
      <c r="F2623" s="1">
        <v>0.07</v>
      </c>
      <c r="G2623">
        <f t="shared" si="40"/>
        <v>3999.92</v>
      </c>
      <c r="H2623" t="str">
        <f>VLOOKUP(C2623,[1]products!$A:$B,2,FALSE)</f>
        <v>Trek Slash 8 27.5 - 2016</v>
      </c>
      <c r="I2623">
        <f>VLOOKUP(C2623,[1]products!$A:$D,4,FALSE)</f>
        <v>6</v>
      </c>
      <c r="J2623" t="str">
        <f>VLOOKUP(I2623,[2]categories!$A$1:$B$8,2,FALSE)</f>
        <v>Mountain Bikes</v>
      </c>
    </row>
    <row r="2624" customHeight="1" spans="1:10">
      <c r="A2624" s="1">
        <v>919</v>
      </c>
      <c r="B2624" s="1">
        <v>2</v>
      </c>
      <c r="C2624" s="1">
        <v>44</v>
      </c>
      <c r="D2624" s="1">
        <v>1</v>
      </c>
      <c r="E2624" s="1">
        <v>539.99</v>
      </c>
      <c r="F2624" s="1">
        <v>0.1</v>
      </c>
      <c r="G2624">
        <f t="shared" si="40"/>
        <v>539.89</v>
      </c>
      <c r="H2624" t="str">
        <f>VLOOKUP(C2624,[1]products!$A:$B,2,FALSE)</f>
        <v>Haro SR 1.1 - 2017</v>
      </c>
      <c r="I2624">
        <f>VLOOKUP(C2624,[1]products!$A:$D,4,FALSE)</f>
        <v>6</v>
      </c>
      <c r="J2624" t="str">
        <f>VLOOKUP(I2624,[2]categories!$A$1:$B$8,2,FALSE)</f>
        <v>Mountain Bikes</v>
      </c>
    </row>
    <row r="2625" customHeight="1" spans="1:10">
      <c r="A2625" s="1">
        <v>920</v>
      </c>
      <c r="B2625" s="1">
        <v>1</v>
      </c>
      <c r="C2625" s="1">
        <v>76</v>
      </c>
      <c r="D2625" s="1">
        <v>1</v>
      </c>
      <c r="E2625" s="1">
        <v>299.99</v>
      </c>
      <c r="F2625" s="1">
        <v>0.05</v>
      </c>
      <c r="G2625">
        <f t="shared" si="40"/>
        <v>299.94</v>
      </c>
      <c r="H2625" t="str">
        <f>VLOOKUP(C2625,[1]products!$A:$B,2,FALSE)</f>
        <v>Electra Girl's Hawaii 1 16" - 2017</v>
      </c>
      <c r="I2625">
        <f>VLOOKUP(C2625,[1]products!$A:$D,4,FALSE)</f>
        <v>3</v>
      </c>
      <c r="J2625" t="str">
        <f>VLOOKUP(I2625,[2]categories!$A$1:$B$8,2,FALSE)</f>
        <v>Cruisers Bicycles</v>
      </c>
    </row>
    <row r="2626" customHeight="1" spans="1:10">
      <c r="A2626" s="1">
        <v>920</v>
      </c>
      <c r="B2626" s="1">
        <v>2</v>
      </c>
      <c r="C2626" s="1">
        <v>39</v>
      </c>
      <c r="D2626" s="1">
        <v>2</v>
      </c>
      <c r="E2626" s="1">
        <v>1499.99</v>
      </c>
      <c r="F2626" s="1">
        <v>0.07</v>
      </c>
      <c r="G2626">
        <f t="shared" si="40"/>
        <v>2999.91</v>
      </c>
      <c r="H2626" t="str">
        <f>VLOOKUP(C2626,[1]products!$A:$B,2,FALSE)</f>
        <v>Trek Stache 5 - 2017</v>
      </c>
      <c r="I2626">
        <f>VLOOKUP(C2626,[1]products!$A:$D,4,FALSE)</f>
        <v>6</v>
      </c>
      <c r="J2626" t="str">
        <f>VLOOKUP(I2626,[2]categories!$A$1:$B$8,2,FALSE)</f>
        <v>Mountain Bikes</v>
      </c>
    </row>
    <row r="2627" customHeight="1" spans="1:10">
      <c r="A2627" s="1">
        <v>920</v>
      </c>
      <c r="B2627" s="1">
        <v>3</v>
      </c>
      <c r="C2627" s="1">
        <v>78</v>
      </c>
      <c r="D2627" s="1">
        <v>1</v>
      </c>
      <c r="E2627" s="1">
        <v>647.99</v>
      </c>
      <c r="F2627" s="1">
        <v>0.05</v>
      </c>
      <c r="G2627">
        <f t="shared" ref="G2627:G2690" si="41">(E2627*D2627)-F2627</f>
        <v>647.94</v>
      </c>
      <c r="H2627" t="str">
        <f>VLOOKUP(C2627,[1]products!$A:$B,2,FALSE)</f>
        <v>Sun Bicycles Biscayne Tandem CB - 2017</v>
      </c>
      <c r="I2627">
        <f>VLOOKUP(C2627,[1]products!$A:$D,4,FALSE)</f>
        <v>3</v>
      </c>
      <c r="J2627" t="str">
        <f>VLOOKUP(I2627,[2]categories!$A$1:$B$8,2,FALSE)</f>
        <v>Cruisers Bicycles</v>
      </c>
    </row>
    <row r="2628" customHeight="1" spans="1:10">
      <c r="A2628" s="1">
        <v>920</v>
      </c>
      <c r="B2628" s="1">
        <v>4</v>
      </c>
      <c r="C2628" s="1">
        <v>80</v>
      </c>
      <c r="D2628" s="1">
        <v>2</v>
      </c>
      <c r="E2628" s="1">
        <v>761.99</v>
      </c>
      <c r="F2628" s="1">
        <v>0.07</v>
      </c>
      <c r="G2628">
        <f t="shared" si="41"/>
        <v>1523.91</v>
      </c>
      <c r="H2628" t="str">
        <f>VLOOKUP(C2628,[1]products!$A:$B,2,FALSE)</f>
        <v>Sun Bicycles Brickell Tandem CB - 2017</v>
      </c>
      <c r="I2628">
        <f>VLOOKUP(C2628,[1]products!$A:$D,4,FALSE)</f>
        <v>3</v>
      </c>
      <c r="J2628" t="str">
        <f>VLOOKUP(I2628,[2]categories!$A$1:$B$8,2,FALSE)</f>
        <v>Cruisers Bicycles</v>
      </c>
    </row>
    <row r="2629" customHeight="1" spans="1:10">
      <c r="A2629" s="1">
        <v>921</v>
      </c>
      <c r="B2629" s="1">
        <v>1</v>
      </c>
      <c r="C2629" s="1">
        <v>77</v>
      </c>
      <c r="D2629" s="1">
        <v>1</v>
      </c>
      <c r="E2629" s="1">
        <v>799.99</v>
      </c>
      <c r="F2629" s="1">
        <v>0.2</v>
      </c>
      <c r="G2629">
        <f t="shared" si="41"/>
        <v>799.79</v>
      </c>
      <c r="H2629" t="str">
        <f>VLOOKUP(C2629,[1]products!$A:$B,2,FALSE)</f>
        <v>Electra Glam Punk 3i Ladies' - 2017</v>
      </c>
      <c r="I2629">
        <f>VLOOKUP(C2629,[1]products!$A:$D,4,FALSE)</f>
        <v>3</v>
      </c>
      <c r="J2629" t="str">
        <f>VLOOKUP(I2629,[2]categories!$A$1:$B$8,2,FALSE)</f>
        <v>Cruisers Bicycles</v>
      </c>
    </row>
    <row r="2630" customHeight="1" spans="1:10">
      <c r="A2630" s="1">
        <v>921</v>
      </c>
      <c r="B2630" s="1">
        <v>2</v>
      </c>
      <c r="C2630" s="1">
        <v>75</v>
      </c>
      <c r="D2630" s="1">
        <v>2</v>
      </c>
      <c r="E2630" s="1">
        <v>599.99</v>
      </c>
      <c r="F2630" s="1">
        <v>0.07</v>
      </c>
      <c r="G2630">
        <f t="shared" si="41"/>
        <v>1199.91</v>
      </c>
      <c r="H2630" t="str">
        <f>VLOOKUP(C2630,[1]products!$A:$B,2,FALSE)</f>
        <v>Electra Cruiser Lux Fat Tire 1 Ladies - 2017</v>
      </c>
      <c r="I2630">
        <f>VLOOKUP(C2630,[1]products!$A:$D,4,FALSE)</f>
        <v>3</v>
      </c>
      <c r="J2630" t="str">
        <f>VLOOKUP(I2630,[2]categories!$A$1:$B$8,2,FALSE)</f>
        <v>Cruisers Bicycles</v>
      </c>
    </row>
    <row r="2631" customHeight="1" spans="1:10">
      <c r="A2631" s="1">
        <v>921</v>
      </c>
      <c r="B2631" s="1">
        <v>3</v>
      </c>
      <c r="C2631" s="1">
        <v>48</v>
      </c>
      <c r="D2631" s="1">
        <v>1</v>
      </c>
      <c r="E2631" s="1">
        <v>1499.99</v>
      </c>
      <c r="F2631" s="1">
        <v>0.1</v>
      </c>
      <c r="G2631">
        <f t="shared" si="41"/>
        <v>1499.89</v>
      </c>
      <c r="H2631" t="str">
        <f>VLOOKUP(C2631,[1]products!$A:$B,2,FALSE)</f>
        <v>Trek Emonda S 4 - 2017</v>
      </c>
      <c r="I2631">
        <f>VLOOKUP(C2631,[1]products!$A:$D,4,FALSE)</f>
        <v>7</v>
      </c>
      <c r="J2631" t="str">
        <f>VLOOKUP(I2631,[2]categories!$A$1:$B$8,2,FALSE)</f>
        <v>Road Bikes</v>
      </c>
    </row>
    <row r="2632" customHeight="1" spans="1:10">
      <c r="A2632" s="1">
        <v>922</v>
      </c>
      <c r="B2632" s="1">
        <v>1</v>
      </c>
      <c r="C2632" s="1">
        <v>68</v>
      </c>
      <c r="D2632" s="1">
        <v>1</v>
      </c>
      <c r="E2632" s="1">
        <v>449.99</v>
      </c>
      <c r="F2632" s="1">
        <v>0.2</v>
      </c>
      <c r="G2632">
        <f t="shared" si="41"/>
        <v>449.79</v>
      </c>
      <c r="H2632" t="str">
        <f>VLOOKUP(C2632,[1]products!$A:$B,2,FALSE)</f>
        <v>Sun Bicycles Cruz 3 - 2017</v>
      </c>
      <c r="I2632">
        <f>VLOOKUP(C2632,[1]products!$A:$D,4,FALSE)</f>
        <v>3</v>
      </c>
      <c r="J2632" t="str">
        <f>VLOOKUP(I2632,[2]categories!$A$1:$B$8,2,FALSE)</f>
        <v>Cruisers Bicycles</v>
      </c>
    </row>
    <row r="2633" customHeight="1" spans="1:10">
      <c r="A2633" s="1">
        <v>922</v>
      </c>
      <c r="B2633" s="1">
        <v>2</v>
      </c>
      <c r="C2633" s="1">
        <v>73</v>
      </c>
      <c r="D2633" s="1">
        <v>1</v>
      </c>
      <c r="E2633" s="1">
        <v>749.99</v>
      </c>
      <c r="F2633" s="1">
        <v>0.2</v>
      </c>
      <c r="G2633">
        <f t="shared" si="41"/>
        <v>749.79</v>
      </c>
      <c r="H2633" t="str">
        <f>VLOOKUP(C2633,[1]products!$A:$B,2,FALSE)</f>
        <v>Sun Bicycles Brickell Tandem 7 - 2017</v>
      </c>
      <c r="I2633">
        <f>VLOOKUP(C2633,[1]products!$A:$D,4,FALSE)</f>
        <v>3</v>
      </c>
      <c r="J2633" t="str">
        <f>VLOOKUP(I2633,[2]categories!$A$1:$B$8,2,FALSE)</f>
        <v>Cruisers Bicycles</v>
      </c>
    </row>
    <row r="2634" customHeight="1" spans="1:10">
      <c r="A2634" s="1">
        <v>922</v>
      </c>
      <c r="B2634" s="1">
        <v>3</v>
      </c>
      <c r="C2634" s="1">
        <v>86</v>
      </c>
      <c r="D2634" s="1">
        <v>1</v>
      </c>
      <c r="E2634" s="1">
        <v>149.99</v>
      </c>
      <c r="F2634" s="1">
        <v>0.1</v>
      </c>
      <c r="G2634">
        <f t="shared" si="41"/>
        <v>149.89</v>
      </c>
      <c r="H2634" t="str">
        <f>VLOOKUP(C2634,[1]products!$A:$B,2,FALSE)</f>
        <v>Trek Girl's Kickster - 2017</v>
      </c>
      <c r="I2634">
        <f>VLOOKUP(C2634,[1]products!$A:$D,4,FALSE)</f>
        <v>1</v>
      </c>
      <c r="J2634" t="str">
        <f>VLOOKUP(I2634,[2]categories!$A$1:$B$8,2,FALSE)</f>
        <v>Children Bicycles</v>
      </c>
    </row>
    <row r="2635" customHeight="1" spans="1:10">
      <c r="A2635" s="1">
        <v>923</v>
      </c>
      <c r="B2635" s="1">
        <v>1</v>
      </c>
      <c r="C2635" s="1">
        <v>74</v>
      </c>
      <c r="D2635" s="1">
        <v>2</v>
      </c>
      <c r="E2635" s="1">
        <v>439.99</v>
      </c>
      <c r="F2635" s="1">
        <v>0.05</v>
      </c>
      <c r="G2635">
        <f t="shared" si="41"/>
        <v>879.93</v>
      </c>
      <c r="H2635" t="str">
        <f>VLOOKUP(C2635,[1]products!$A:$B,2,FALSE)</f>
        <v>Electra Cruiser Lux 1 - 2017</v>
      </c>
      <c r="I2635">
        <f>VLOOKUP(C2635,[1]products!$A:$D,4,FALSE)</f>
        <v>3</v>
      </c>
      <c r="J2635" t="str">
        <f>VLOOKUP(I2635,[2]categories!$A$1:$B$8,2,FALSE)</f>
        <v>Cruisers Bicycles</v>
      </c>
    </row>
    <row r="2636" customHeight="1" spans="1:10">
      <c r="A2636" s="1">
        <v>923</v>
      </c>
      <c r="B2636" s="1">
        <v>2</v>
      </c>
      <c r="C2636" s="1">
        <v>6</v>
      </c>
      <c r="D2636" s="1">
        <v>1</v>
      </c>
      <c r="E2636" s="1">
        <v>469.99</v>
      </c>
      <c r="F2636" s="1">
        <v>0.1</v>
      </c>
      <c r="G2636">
        <f t="shared" si="41"/>
        <v>469.89</v>
      </c>
      <c r="H2636" t="str">
        <f>VLOOKUP(C2636,[1]products!$A:$B,2,FALSE)</f>
        <v>Surly Ice Cream Truck Frameset - 2016</v>
      </c>
      <c r="I2636">
        <f>VLOOKUP(C2636,[1]products!$A:$D,4,FALSE)</f>
        <v>6</v>
      </c>
      <c r="J2636" t="str">
        <f>VLOOKUP(I2636,[2]categories!$A$1:$B$8,2,FALSE)</f>
        <v>Mountain Bikes</v>
      </c>
    </row>
    <row r="2637" customHeight="1" spans="1:10">
      <c r="A2637" s="1">
        <v>924</v>
      </c>
      <c r="B2637" s="1">
        <v>1</v>
      </c>
      <c r="C2637" s="1">
        <v>97</v>
      </c>
      <c r="D2637" s="1">
        <v>2</v>
      </c>
      <c r="E2637" s="1">
        <v>349.99</v>
      </c>
      <c r="F2637" s="1">
        <v>0.2</v>
      </c>
      <c r="G2637">
        <f t="shared" si="41"/>
        <v>699.78</v>
      </c>
      <c r="H2637" t="str">
        <f>VLOOKUP(C2637,[1]products!$A:$B,2,FALSE)</f>
        <v>Electra Savannah 3i (20-inch) - Girl's - 2017</v>
      </c>
      <c r="I2637">
        <f>VLOOKUP(C2637,[1]products!$A:$D,4,FALSE)</f>
        <v>1</v>
      </c>
      <c r="J2637" t="str">
        <f>VLOOKUP(I2637,[2]categories!$A$1:$B$8,2,FALSE)</f>
        <v>Children Bicycles</v>
      </c>
    </row>
    <row r="2638" customHeight="1" spans="1:10">
      <c r="A2638" s="1">
        <v>924</v>
      </c>
      <c r="B2638" s="1">
        <v>2</v>
      </c>
      <c r="C2638" s="1">
        <v>36</v>
      </c>
      <c r="D2638" s="1">
        <v>1</v>
      </c>
      <c r="E2638" s="1">
        <v>832.99</v>
      </c>
      <c r="F2638" s="1">
        <v>0.2</v>
      </c>
      <c r="G2638">
        <f t="shared" si="41"/>
        <v>832.79</v>
      </c>
      <c r="H2638" t="str">
        <f>VLOOKUP(C2638,[1]products!$A:$B,2,FALSE)</f>
        <v>Surly Troll Frameset - 2017</v>
      </c>
      <c r="I2638">
        <f>VLOOKUP(C2638,[1]products!$A:$D,4,FALSE)</f>
        <v>6</v>
      </c>
      <c r="J2638" t="str">
        <f>VLOOKUP(I2638,[2]categories!$A$1:$B$8,2,FALSE)</f>
        <v>Mountain Bikes</v>
      </c>
    </row>
    <row r="2639" customHeight="1" spans="1:10">
      <c r="A2639" s="1">
        <v>925</v>
      </c>
      <c r="B2639" s="1">
        <v>1</v>
      </c>
      <c r="C2639" s="1">
        <v>97</v>
      </c>
      <c r="D2639" s="1">
        <v>1</v>
      </c>
      <c r="E2639" s="1">
        <v>349.99</v>
      </c>
      <c r="F2639" s="1">
        <v>0.07</v>
      </c>
      <c r="G2639">
        <f t="shared" si="41"/>
        <v>349.92</v>
      </c>
      <c r="H2639" t="str">
        <f>VLOOKUP(C2639,[1]products!$A:$B,2,FALSE)</f>
        <v>Electra Savannah 3i (20-inch) - Girl's - 2017</v>
      </c>
      <c r="I2639">
        <f>VLOOKUP(C2639,[1]products!$A:$D,4,FALSE)</f>
        <v>1</v>
      </c>
      <c r="J2639" t="str">
        <f>VLOOKUP(I2639,[2]categories!$A$1:$B$8,2,FALSE)</f>
        <v>Children Bicycles</v>
      </c>
    </row>
    <row r="2640" customHeight="1" spans="1:10">
      <c r="A2640" s="1">
        <v>925</v>
      </c>
      <c r="B2640" s="1">
        <v>2</v>
      </c>
      <c r="C2640" s="1">
        <v>62</v>
      </c>
      <c r="D2640" s="1">
        <v>2</v>
      </c>
      <c r="E2640" s="1">
        <v>3499.99</v>
      </c>
      <c r="F2640" s="1">
        <v>0.2</v>
      </c>
      <c r="G2640">
        <f t="shared" si="41"/>
        <v>6999.78</v>
      </c>
      <c r="H2640" t="str">
        <f>VLOOKUP(C2640,[1]products!$A:$B,2,FALSE)</f>
        <v>Trek Boone 7 - 2017</v>
      </c>
      <c r="I2640">
        <f>VLOOKUP(C2640,[1]products!$A:$D,4,FALSE)</f>
        <v>4</v>
      </c>
      <c r="J2640" t="str">
        <f>VLOOKUP(I2640,[2]categories!$A$1:$B$8,2,FALSE)</f>
        <v>Cyclocross Bicycles</v>
      </c>
    </row>
    <row r="2641" customHeight="1" spans="1:10">
      <c r="A2641" s="1">
        <v>926</v>
      </c>
      <c r="B2641" s="1">
        <v>1</v>
      </c>
      <c r="C2641" s="1">
        <v>37</v>
      </c>
      <c r="D2641" s="1">
        <v>2</v>
      </c>
      <c r="E2641" s="1">
        <v>379.99</v>
      </c>
      <c r="F2641" s="1">
        <v>0.2</v>
      </c>
      <c r="G2641">
        <f t="shared" si="41"/>
        <v>759.78</v>
      </c>
      <c r="H2641" t="str">
        <f>VLOOKUP(C2641,[1]products!$A:$B,2,FALSE)</f>
        <v>Haro Flightline One ST - 2017</v>
      </c>
      <c r="I2641">
        <f>VLOOKUP(C2641,[1]products!$A:$D,4,FALSE)</f>
        <v>6</v>
      </c>
      <c r="J2641" t="str">
        <f>VLOOKUP(I2641,[2]categories!$A$1:$B$8,2,FALSE)</f>
        <v>Mountain Bikes</v>
      </c>
    </row>
    <row r="2642" customHeight="1" spans="1:10">
      <c r="A2642" s="1">
        <v>927</v>
      </c>
      <c r="B2642" s="1">
        <v>1</v>
      </c>
      <c r="C2642" s="1">
        <v>74</v>
      </c>
      <c r="D2642" s="1">
        <v>2</v>
      </c>
      <c r="E2642" s="1">
        <v>439.99</v>
      </c>
      <c r="F2642" s="1">
        <v>0.1</v>
      </c>
      <c r="G2642">
        <f t="shared" si="41"/>
        <v>879.88</v>
      </c>
      <c r="H2642" t="str">
        <f>VLOOKUP(C2642,[1]products!$A:$B,2,FALSE)</f>
        <v>Electra Cruiser Lux 1 - 2017</v>
      </c>
      <c r="I2642">
        <f>VLOOKUP(C2642,[1]products!$A:$D,4,FALSE)</f>
        <v>3</v>
      </c>
      <c r="J2642" t="str">
        <f>VLOOKUP(I2642,[2]categories!$A$1:$B$8,2,FALSE)</f>
        <v>Cruisers Bicycles</v>
      </c>
    </row>
    <row r="2643" customHeight="1" spans="1:10">
      <c r="A2643" s="1">
        <v>927</v>
      </c>
      <c r="B2643" s="1">
        <v>2</v>
      </c>
      <c r="C2643" s="1">
        <v>16</v>
      </c>
      <c r="D2643" s="1">
        <v>2</v>
      </c>
      <c r="E2643" s="1">
        <v>599.99</v>
      </c>
      <c r="F2643" s="1">
        <v>0.2</v>
      </c>
      <c r="G2643">
        <f t="shared" si="41"/>
        <v>1199.78</v>
      </c>
      <c r="H2643" t="str">
        <f>VLOOKUP(C2643,[1]products!$A:$B,2,FALSE)</f>
        <v>Electra Townie Original 7D EQ - 2016</v>
      </c>
      <c r="I2643">
        <f>VLOOKUP(C2643,[1]products!$A:$D,4,FALSE)</f>
        <v>3</v>
      </c>
      <c r="J2643" t="str">
        <f>VLOOKUP(I2643,[2]categories!$A$1:$B$8,2,FALSE)</f>
        <v>Cruisers Bicycles</v>
      </c>
    </row>
    <row r="2644" customHeight="1" spans="1:10">
      <c r="A2644" s="1">
        <v>927</v>
      </c>
      <c r="B2644" s="1">
        <v>3</v>
      </c>
      <c r="C2644" s="1">
        <v>50</v>
      </c>
      <c r="D2644" s="1">
        <v>1</v>
      </c>
      <c r="E2644" s="1">
        <v>5999.99</v>
      </c>
      <c r="F2644" s="1">
        <v>0.1</v>
      </c>
      <c r="G2644">
        <f t="shared" si="41"/>
        <v>5999.89</v>
      </c>
      <c r="H2644" t="str">
        <f>VLOOKUP(C2644,[1]products!$A:$B,2,FALSE)</f>
        <v>Trek Silque SLR 7 Women's - 2017</v>
      </c>
      <c r="I2644">
        <f>VLOOKUP(C2644,[1]products!$A:$D,4,FALSE)</f>
        <v>7</v>
      </c>
      <c r="J2644" t="str">
        <f>VLOOKUP(I2644,[2]categories!$A$1:$B$8,2,FALSE)</f>
        <v>Road Bikes</v>
      </c>
    </row>
    <row r="2645" customHeight="1" spans="1:10">
      <c r="A2645" s="1">
        <v>927</v>
      </c>
      <c r="B2645" s="1">
        <v>4</v>
      </c>
      <c r="C2645" s="1">
        <v>3</v>
      </c>
      <c r="D2645" s="1">
        <v>1</v>
      </c>
      <c r="E2645" s="1">
        <v>999.99</v>
      </c>
      <c r="F2645" s="1">
        <v>0.1</v>
      </c>
      <c r="G2645">
        <f t="shared" si="41"/>
        <v>999.89</v>
      </c>
      <c r="H2645" t="str">
        <f>VLOOKUP(C2645,[1]products!$A:$B,2,FALSE)</f>
        <v>Surly Wednesday Frameset - 2016</v>
      </c>
      <c r="I2645">
        <f>VLOOKUP(C2645,[1]products!$A:$D,4,FALSE)</f>
        <v>6</v>
      </c>
      <c r="J2645" t="str">
        <f>VLOOKUP(I2645,[2]categories!$A$1:$B$8,2,FALSE)</f>
        <v>Mountain Bikes</v>
      </c>
    </row>
    <row r="2646" customHeight="1" spans="1:10">
      <c r="A2646" s="1">
        <v>927</v>
      </c>
      <c r="B2646" s="1">
        <v>5</v>
      </c>
      <c r="C2646" s="1">
        <v>43</v>
      </c>
      <c r="D2646" s="1">
        <v>1</v>
      </c>
      <c r="E2646" s="1">
        <v>5299.99</v>
      </c>
      <c r="F2646" s="1">
        <v>0.07</v>
      </c>
      <c r="G2646">
        <f t="shared" si="41"/>
        <v>5299.92</v>
      </c>
      <c r="H2646" t="str">
        <f>VLOOKUP(C2646,[1]products!$A:$B,2,FALSE)</f>
        <v>Trek Fuel EX 9.8 27.5 Plus - 2017</v>
      </c>
      <c r="I2646">
        <f>VLOOKUP(C2646,[1]products!$A:$D,4,FALSE)</f>
        <v>6</v>
      </c>
      <c r="J2646" t="str">
        <f>VLOOKUP(I2646,[2]categories!$A$1:$B$8,2,FALSE)</f>
        <v>Mountain Bikes</v>
      </c>
    </row>
    <row r="2647" customHeight="1" spans="1:10">
      <c r="A2647" s="1">
        <v>928</v>
      </c>
      <c r="B2647" s="1">
        <v>1</v>
      </c>
      <c r="C2647" s="1">
        <v>71</v>
      </c>
      <c r="D2647" s="1">
        <v>2</v>
      </c>
      <c r="E2647" s="1">
        <v>416.99</v>
      </c>
      <c r="F2647" s="1">
        <v>0.05</v>
      </c>
      <c r="G2647">
        <f t="shared" si="41"/>
        <v>833.93</v>
      </c>
      <c r="H2647" t="str">
        <f>VLOOKUP(C2647,[1]products!$A:$B,2,FALSE)</f>
        <v>Sun Bicycles Atlas X-Type - 2017</v>
      </c>
      <c r="I2647">
        <f>VLOOKUP(C2647,[1]products!$A:$D,4,FALSE)</f>
        <v>3</v>
      </c>
      <c r="J2647" t="str">
        <f>VLOOKUP(I2647,[2]categories!$A$1:$B$8,2,FALSE)</f>
        <v>Cruisers Bicycles</v>
      </c>
    </row>
    <row r="2648" customHeight="1" spans="1:10">
      <c r="A2648" s="1">
        <v>928</v>
      </c>
      <c r="B2648" s="1">
        <v>2</v>
      </c>
      <c r="C2648" s="1">
        <v>83</v>
      </c>
      <c r="D2648" s="1">
        <v>1</v>
      </c>
      <c r="E2648" s="1">
        <v>149.99</v>
      </c>
      <c r="F2648" s="1">
        <v>0.2</v>
      </c>
      <c r="G2648">
        <f t="shared" si="41"/>
        <v>149.79</v>
      </c>
      <c r="H2648" t="str">
        <f>VLOOKUP(C2648,[1]products!$A:$B,2,FALSE)</f>
        <v>Trek Boy's Kickster - 2015/2017</v>
      </c>
      <c r="I2648">
        <f>VLOOKUP(C2648,[1]products!$A:$D,4,FALSE)</f>
        <v>1</v>
      </c>
      <c r="J2648" t="str">
        <f>VLOOKUP(I2648,[2]categories!$A$1:$B$8,2,FALSE)</f>
        <v>Children Bicycles</v>
      </c>
    </row>
    <row r="2649" customHeight="1" spans="1:10">
      <c r="A2649" s="1">
        <v>929</v>
      </c>
      <c r="B2649" s="1">
        <v>1</v>
      </c>
      <c r="C2649" s="1">
        <v>82</v>
      </c>
      <c r="D2649" s="1">
        <v>1</v>
      </c>
      <c r="E2649" s="1">
        <v>659.99</v>
      </c>
      <c r="F2649" s="1">
        <v>0.2</v>
      </c>
      <c r="G2649">
        <f t="shared" si="41"/>
        <v>659.79</v>
      </c>
      <c r="H2649" t="str">
        <f>VLOOKUP(C2649,[1]products!$A:$B,2,FALSE)</f>
        <v>Electra Amsterdam Original 3i Ladies' - 2017</v>
      </c>
      <c r="I2649">
        <f>VLOOKUP(C2649,[1]products!$A:$D,4,FALSE)</f>
        <v>3</v>
      </c>
      <c r="J2649" t="str">
        <f>VLOOKUP(I2649,[2]categories!$A$1:$B$8,2,FALSE)</f>
        <v>Cruisers Bicycles</v>
      </c>
    </row>
    <row r="2650" customHeight="1" spans="1:10">
      <c r="A2650" s="1">
        <v>929</v>
      </c>
      <c r="B2650" s="1">
        <v>2</v>
      </c>
      <c r="C2650" s="1">
        <v>63</v>
      </c>
      <c r="D2650" s="1">
        <v>2</v>
      </c>
      <c r="E2650" s="1">
        <v>3499.99</v>
      </c>
      <c r="F2650" s="1">
        <v>0.1</v>
      </c>
      <c r="G2650">
        <f t="shared" si="41"/>
        <v>6999.88</v>
      </c>
      <c r="H2650" t="str">
        <f>VLOOKUP(C2650,[1]products!$A:$B,2,FALSE)</f>
        <v>Trek Boone Race Shop Limited - 2017</v>
      </c>
      <c r="I2650">
        <f>VLOOKUP(C2650,[1]products!$A:$D,4,FALSE)</f>
        <v>4</v>
      </c>
      <c r="J2650" t="str">
        <f>VLOOKUP(I2650,[2]categories!$A$1:$B$8,2,FALSE)</f>
        <v>Cyclocross Bicycles</v>
      </c>
    </row>
    <row r="2651" customHeight="1" spans="1:10">
      <c r="A2651" s="1">
        <v>929</v>
      </c>
      <c r="B2651" s="1">
        <v>3</v>
      </c>
      <c r="C2651" s="1">
        <v>24</v>
      </c>
      <c r="D2651" s="1">
        <v>1</v>
      </c>
      <c r="E2651" s="1">
        <v>549.99</v>
      </c>
      <c r="F2651" s="1">
        <v>0.05</v>
      </c>
      <c r="G2651">
        <f t="shared" si="41"/>
        <v>549.94</v>
      </c>
      <c r="H2651" t="str">
        <f>VLOOKUP(C2651,[1]products!$A:$B,2,FALSE)</f>
        <v>Electra Townie Original 21D - 2016</v>
      </c>
      <c r="I2651">
        <f>VLOOKUP(C2651,[1]products!$A:$D,4,FALSE)</f>
        <v>2</v>
      </c>
      <c r="J2651" t="str">
        <f>VLOOKUP(I2651,[2]categories!$A$1:$B$8,2,FALSE)</f>
        <v>Comfort Bicycles</v>
      </c>
    </row>
    <row r="2652" customHeight="1" spans="1:10">
      <c r="A2652" s="1">
        <v>930</v>
      </c>
      <c r="B2652" s="1">
        <v>1</v>
      </c>
      <c r="C2652" s="1">
        <v>56</v>
      </c>
      <c r="D2652" s="1">
        <v>2</v>
      </c>
      <c r="E2652" s="1">
        <v>5499.99</v>
      </c>
      <c r="F2652" s="1">
        <v>0.07</v>
      </c>
      <c r="G2652">
        <f t="shared" si="41"/>
        <v>10999.91</v>
      </c>
      <c r="H2652" t="str">
        <f>VLOOKUP(C2652,[1]products!$A:$B,2,FALSE)</f>
        <v>Trek Domane SLR 6 Disc - 2017</v>
      </c>
      <c r="I2652">
        <f>VLOOKUP(C2652,[1]products!$A:$D,4,FALSE)</f>
        <v>7</v>
      </c>
      <c r="J2652" t="str">
        <f>VLOOKUP(I2652,[2]categories!$A$1:$B$8,2,FALSE)</f>
        <v>Road Bikes</v>
      </c>
    </row>
    <row r="2653" customHeight="1" spans="1:10">
      <c r="A2653" s="1">
        <v>930</v>
      </c>
      <c r="B2653" s="1">
        <v>2</v>
      </c>
      <c r="C2653" s="1">
        <v>82</v>
      </c>
      <c r="D2653" s="1">
        <v>1</v>
      </c>
      <c r="E2653" s="1">
        <v>659.99</v>
      </c>
      <c r="F2653" s="1">
        <v>0.07</v>
      </c>
      <c r="G2653">
        <f t="shared" si="41"/>
        <v>659.92</v>
      </c>
      <c r="H2653" t="str">
        <f>VLOOKUP(C2653,[1]products!$A:$B,2,FALSE)</f>
        <v>Electra Amsterdam Original 3i Ladies' - 2017</v>
      </c>
      <c r="I2653">
        <f>VLOOKUP(C2653,[1]products!$A:$D,4,FALSE)</f>
        <v>3</v>
      </c>
      <c r="J2653" t="str">
        <f>VLOOKUP(I2653,[2]categories!$A$1:$B$8,2,FALSE)</f>
        <v>Cruisers Bicycles</v>
      </c>
    </row>
    <row r="2654" customHeight="1" spans="1:10">
      <c r="A2654" s="1">
        <v>930</v>
      </c>
      <c r="B2654" s="1">
        <v>3</v>
      </c>
      <c r="C2654" s="1">
        <v>60</v>
      </c>
      <c r="D2654" s="1">
        <v>1</v>
      </c>
      <c r="E2654" s="1">
        <v>1559.99</v>
      </c>
      <c r="F2654" s="1">
        <v>0.1</v>
      </c>
      <c r="G2654">
        <f t="shared" si="41"/>
        <v>1559.89</v>
      </c>
      <c r="H2654" t="str">
        <f>VLOOKUP(C2654,[1]products!$A:$B,2,FALSE)</f>
        <v>Sun Bicycles ElectroLite - 2017</v>
      </c>
      <c r="I2654">
        <f>VLOOKUP(C2654,[1]products!$A:$D,4,FALSE)</f>
        <v>5</v>
      </c>
      <c r="J2654" t="str">
        <f>VLOOKUP(I2654,[2]categories!$A$1:$B$8,2,FALSE)</f>
        <v>Electric Bikes</v>
      </c>
    </row>
    <row r="2655" customHeight="1" spans="1:10">
      <c r="A2655" s="1">
        <v>930</v>
      </c>
      <c r="B2655" s="1">
        <v>4</v>
      </c>
      <c r="C2655" s="1">
        <v>65</v>
      </c>
      <c r="D2655" s="1">
        <v>2</v>
      </c>
      <c r="E2655" s="1">
        <v>346.99</v>
      </c>
      <c r="F2655" s="1">
        <v>0.05</v>
      </c>
      <c r="G2655">
        <f t="shared" si="41"/>
        <v>693.93</v>
      </c>
      <c r="H2655" t="str">
        <f>VLOOKUP(C2655,[1]products!$A:$B,2,FALSE)</f>
        <v>Sun Bicycles Lil Bolt Type-R - 2017</v>
      </c>
      <c r="I2655">
        <f>VLOOKUP(C2655,[1]products!$A:$D,4,FALSE)</f>
        <v>3</v>
      </c>
      <c r="J2655" t="str">
        <f>VLOOKUP(I2655,[2]categories!$A$1:$B$8,2,FALSE)</f>
        <v>Cruisers Bicycles</v>
      </c>
    </row>
    <row r="2656" customHeight="1" spans="1:10">
      <c r="A2656" s="1">
        <v>930</v>
      </c>
      <c r="B2656" s="1">
        <v>5</v>
      </c>
      <c r="C2656" s="1">
        <v>51</v>
      </c>
      <c r="D2656" s="1">
        <v>2</v>
      </c>
      <c r="E2656" s="1">
        <v>6499.99</v>
      </c>
      <c r="F2656" s="1">
        <v>0.1</v>
      </c>
      <c r="G2656">
        <f t="shared" si="41"/>
        <v>12999.88</v>
      </c>
      <c r="H2656" t="str">
        <f>VLOOKUP(C2656,[1]products!$A:$B,2,FALSE)</f>
        <v>Trek Silque SLR 8 Women's - 2017</v>
      </c>
      <c r="I2656">
        <f>VLOOKUP(C2656,[1]products!$A:$D,4,FALSE)</f>
        <v>7</v>
      </c>
      <c r="J2656" t="str">
        <f>VLOOKUP(I2656,[2]categories!$A$1:$B$8,2,FALSE)</f>
        <v>Road Bikes</v>
      </c>
    </row>
    <row r="2657" customHeight="1" spans="1:10">
      <c r="A2657" s="1">
        <v>931</v>
      </c>
      <c r="B2657" s="1">
        <v>1</v>
      </c>
      <c r="C2657" s="1">
        <v>49</v>
      </c>
      <c r="D2657" s="1">
        <v>2</v>
      </c>
      <c r="E2657" s="1">
        <v>3499.99</v>
      </c>
      <c r="F2657" s="1">
        <v>0.07</v>
      </c>
      <c r="G2657">
        <f t="shared" si="41"/>
        <v>6999.91</v>
      </c>
      <c r="H2657" t="str">
        <f>VLOOKUP(C2657,[1]products!$A:$B,2,FALSE)</f>
        <v>Trek Domane SL 6 - 2017</v>
      </c>
      <c r="I2657">
        <f>VLOOKUP(C2657,[1]products!$A:$D,4,FALSE)</f>
        <v>7</v>
      </c>
      <c r="J2657" t="str">
        <f>VLOOKUP(I2657,[2]categories!$A$1:$B$8,2,FALSE)</f>
        <v>Road Bikes</v>
      </c>
    </row>
    <row r="2658" customHeight="1" spans="1:10">
      <c r="A2658" s="1">
        <v>931</v>
      </c>
      <c r="B2658" s="1">
        <v>2</v>
      </c>
      <c r="C2658" s="1">
        <v>76</v>
      </c>
      <c r="D2658" s="1">
        <v>1</v>
      </c>
      <c r="E2658" s="1">
        <v>299.99</v>
      </c>
      <c r="F2658" s="1">
        <v>0.2</v>
      </c>
      <c r="G2658">
        <f t="shared" si="41"/>
        <v>299.79</v>
      </c>
      <c r="H2658" t="str">
        <f>VLOOKUP(C2658,[1]products!$A:$B,2,FALSE)</f>
        <v>Electra Girl's Hawaii 1 16" - 2017</v>
      </c>
      <c r="I2658">
        <f>VLOOKUP(C2658,[1]products!$A:$D,4,FALSE)</f>
        <v>3</v>
      </c>
      <c r="J2658" t="str">
        <f>VLOOKUP(I2658,[2]categories!$A$1:$B$8,2,FALSE)</f>
        <v>Cruisers Bicycles</v>
      </c>
    </row>
    <row r="2659" customHeight="1" spans="1:10">
      <c r="A2659" s="1">
        <v>932</v>
      </c>
      <c r="B2659" s="1">
        <v>1</v>
      </c>
      <c r="C2659" s="1">
        <v>74</v>
      </c>
      <c r="D2659" s="1">
        <v>1</v>
      </c>
      <c r="E2659" s="1">
        <v>439.99</v>
      </c>
      <c r="F2659" s="1">
        <v>0.05</v>
      </c>
      <c r="G2659">
        <f t="shared" si="41"/>
        <v>439.94</v>
      </c>
      <c r="H2659" t="str">
        <f>VLOOKUP(C2659,[1]products!$A:$B,2,FALSE)</f>
        <v>Electra Cruiser Lux 1 - 2017</v>
      </c>
      <c r="I2659">
        <f>VLOOKUP(C2659,[1]products!$A:$D,4,FALSE)</f>
        <v>3</v>
      </c>
      <c r="J2659" t="str">
        <f>VLOOKUP(I2659,[2]categories!$A$1:$B$8,2,FALSE)</f>
        <v>Cruisers Bicycles</v>
      </c>
    </row>
    <row r="2660" customHeight="1" spans="1:10">
      <c r="A2660" s="1">
        <v>933</v>
      </c>
      <c r="B2660" s="1">
        <v>1</v>
      </c>
      <c r="C2660" s="1">
        <v>77</v>
      </c>
      <c r="D2660" s="1">
        <v>1</v>
      </c>
      <c r="E2660" s="1">
        <v>799.99</v>
      </c>
      <c r="F2660" s="1">
        <v>0.07</v>
      </c>
      <c r="G2660">
        <f t="shared" si="41"/>
        <v>799.92</v>
      </c>
      <c r="H2660" t="str">
        <f>VLOOKUP(C2660,[1]products!$A:$B,2,FALSE)</f>
        <v>Electra Glam Punk 3i Ladies' - 2017</v>
      </c>
      <c r="I2660">
        <f>VLOOKUP(C2660,[1]products!$A:$D,4,FALSE)</f>
        <v>3</v>
      </c>
      <c r="J2660" t="str">
        <f>VLOOKUP(I2660,[2]categories!$A$1:$B$8,2,FALSE)</f>
        <v>Cruisers Bicycles</v>
      </c>
    </row>
    <row r="2661" customHeight="1" spans="1:10">
      <c r="A2661" s="1">
        <v>933</v>
      </c>
      <c r="B2661" s="1">
        <v>2</v>
      </c>
      <c r="C2661" s="1">
        <v>21</v>
      </c>
      <c r="D2661" s="1">
        <v>1</v>
      </c>
      <c r="E2661" s="1">
        <v>269.99</v>
      </c>
      <c r="F2661" s="1">
        <v>0.2</v>
      </c>
      <c r="G2661">
        <f t="shared" si="41"/>
        <v>269.79</v>
      </c>
      <c r="H2661" t="str">
        <f>VLOOKUP(C2661,[1]products!$A:$B,2,FALSE)</f>
        <v>Electra Cruiser 1 (24-Inch) - 2016</v>
      </c>
      <c r="I2661">
        <f>VLOOKUP(C2661,[1]products!$A:$D,4,FALSE)</f>
        <v>1</v>
      </c>
      <c r="J2661" t="str">
        <f>VLOOKUP(I2661,[2]categories!$A$1:$B$8,2,FALSE)</f>
        <v>Children Bicycles</v>
      </c>
    </row>
    <row r="2662" customHeight="1" spans="1:10">
      <c r="A2662" s="1">
        <v>933</v>
      </c>
      <c r="B2662" s="1">
        <v>3</v>
      </c>
      <c r="C2662" s="1">
        <v>75</v>
      </c>
      <c r="D2662" s="1">
        <v>2</v>
      </c>
      <c r="E2662" s="1">
        <v>599.99</v>
      </c>
      <c r="F2662" s="1">
        <v>0.05</v>
      </c>
      <c r="G2662">
        <f t="shared" si="41"/>
        <v>1199.93</v>
      </c>
      <c r="H2662" t="str">
        <f>VLOOKUP(C2662,[1]products!$A:$B,2,FALSE)</f>
        <v>Electra Cruiser Lux Fat Tire 1 Ladies - 2017</v>
      </c>
      <c r="I2662">
        <f>VLOOKUP(C2662,[1]products!$A:$D,4,FALSE)</f>
        <v>3</v>
      </c>
      <c r="J2662" t="str">
        <f>VLOOKUP(I2662,[2]categories!$A$1:$B$8,2,FALSE)</f>
        <v>Cruisers Bicycles</v>
      </c>
    </row>
    <row r="2663" customHeight="1" spans="1:10">
      <c r="A2663" s="1">
        <v>934</v>
      </c>
      <c r="B2663" s="1">
        <v>1</v>
      </c>
      <c r="C2663" s="1">
        <v>35</v>
      </c>
      <c r="D2663" s="1">
        <v>2</v>
      </c>
      <c r="E2663" s="1">
        <v>832.99</v>
      </c>
      <c r="F2663" s="1">
        <v>0.05</v>
      </c>
      <c r="G2663">
        <f t="shared" si="41"/>
        <v>1665.93</v>
      </c>
      <c r="H2663" t="str">
        <f>VLOOKUP(C2663,[1]products!$A:$B,2,FALSE)</f>
        <v>Sun Bicycles Spider 3i - 2017</v>
      </c>
      <c r="I2663">
        <f>VLOOKUP(C2663,[1]products!$A:$D,4,FALSE)</f>
        <v>6</v>
      </c>
      <c r="J2663" t="str">
        <f>VLOOKUP(I2663,[2]categories!$A$1:$B$8,2,FALSE)</f>
        <v>Mountain Bikes</v>
      </c>
    </row>
    <row r="2664" customHeight="1" spans="1:10">
      <c r="A2664" s="1">
        <v>934</v>
      </c>
      <c r="B2664" s="1">
        <v>2</v>
      </c>
      <c r="C2664" s="1">
        <v>48</v>
      </c>
      <c r="D2664" s="1">
        <v>1</v>
      </c>
      <c r="E2664" s="1">
        <v>1499.99</v>
      </c>
      <c r="F2664" s="1">
        <v>0.05</v>
      </c>
      <c r="G2664">
        <f t="shared" si="41"/>
        <v>1499.94</v>
      </c>
      <c r="H2664" t="str">
        <f>VLOOKUP(C2664,[1]products!$A:$B,2,FALSE)</f>
        <v>Trek Emonda S 4 - 2017</v>
      </c>
      <c r="I2664">
        <f>VLOOKUP(C2664,[1]products!$A:$D,4,FALSE)</f>
        <v>7</v>
      </c>
      <c r="J2664" t="str">
        <f>VLOOKUP(I2664,[2]categories!$A$1:$B$8,2,FALSE)</f>
        <v>Road Bikes</v>
      </c>
    </row>
    <row r="2665" customHeight="1" spans="1:10">
      <c r="A2665" s="1">
        <v>934</v>
      </c>
      <c r="B2665" s="1">
        <v>3</v>
      </c>
      <c r="C2665" s="1">
        <v>18</v>
      </c>
      <c r="D2665" s="1">
        <v>1</v>
      </c>
      <c r="E2665" s="1">
        <v>449</v>
      </c>
      <c r="F2665" s="1">
        <v>0.1</v>
      </c>
      <c r="G2665">
        <f t="shared" si="41"/>
        <v>448.9</v>
      </c>
      <c r="H2665" t="str">
        <f>VLOOKUP(C2665,[1]products!$A:$B,2,FALSE)</f>
        <v>Pure Cycles Western 3-Speed - Women's - 2015/2016</v>
      </c>
      <c r="I2665">
        <f>VLOOKUP(C2665,[1]products!$A:$D,4,FALSE)</f>
        <v>3</v>
      </c>
      <c r="J2665" t="str">
        <f>VLOOKUP(I2665,[2]categories!$A$1:$B$8,2,FALSE)</f>
        <v>Cruisers Bicycles</v>
      </c>
    </row>
    <row r="2666" customHeight="1" spans="1:10">
      <c r="A2666" s="1">
        <v>934</v>
      </c>
      <c r="B2666" s="1">
        <v>4</v>
      </c>
      <c r="C2666" s="1">
        <v>61</v>
      </c>
      <c r="D2666" s="1">
        <v>1</v>
      </c>
      <c r="E2666" s="1">
        <v>4999.99</v>
      </c>
      <c r="F2666" s="1">
        <v>0.07</v>
      </c>
      <c r="G2666">
        <f t="shared" si="41"/>
        <v>4999.92</v>
      </c>
      <c r="H2666" t="str">
        <f>VLOOKUP(C2666,[1]products!$A:$B,2,FALSE)</f>
        <v>Trek Powerfly 8 FS Plus - 2017</v>
      </c>
      <c r="I2666">
        <f>VLOOKUP(C2666,[1]products!$A:$D,4,FALSE)</f>
        <v>5</v>
      </c>
      <c r="J2666" t="str">
        <f>VLOOKUP(I2666,[2]categories!$A$1:$B$8,2,FALSE)</f>
        <v>Electric Bikes</v>
      </c>
    </row>
    <row r="2667" customHeight="1" spans="1:10">
      <c r="A2667" s="1">
        <v>934</v>
      </c>
      <c r="B2667" s="1">
        <v>5</v>
      </c>
      <c r="C2667" s="1">
        <v>56</v>
      </c>
      <c r="D2667" s="1">
        <v>2</v>
      </c>
      <c r="E2667" s="1">
        <v>5499.99</v>
      </c>
      <c r="F2667" s="1">
        <v>0.2</v>
      </c>
      <c r="G2667">
        <f t="shared" si="41"/>
        <v>10999.78</v>
      </c>
      <c r="H2667" t="str">
        <f>VLOOKUP(C2667,[1]products!$A:$B,2,FALSE)</f>
        <v>Trek Domane SLR 6 Disc - 2017</v>
      </c>
      <c r="I2667">
        <f>VLOOKUP(C2667,[1]products!$A:$D,4,FALSE)</f>
        <v>7</v>
      </c>
      <c r="J2667" t="str">
        <f>VLOOKUP(I2667,[2]categories!$A$1:$B$8,2,FALSE)</f>
        <v>Road Bikes</v>
      </c>
    </row>
    <row r="2668" customHeight="1" spans="1:10">
      <c r="A2668" s="1">
        <v>935</v>
      </c>
      <c r="B2668" s="1">
        <v>1</v>
      </c>
      <c r="C2668" s="1">
        <v>65</v>
      </c>
      <c r="D2668" s="1">
        <v>2</v>
      </c>
      <c r="E2668" s="1">
        <v>346.99</v>
      </c>
      <c r="F2668" s="1">
        <v>0.2</v>
      </c>
      <c r="G2668">
        <f t="shared" si="41"/>
        <v>693.78</v>
      </c>
      <c r="H2668" t="str">
        <f>VLOOKUP(C2668,[1]products!$A:$B,2,FALSE)</f>
        <v>Sun Bicycles Lil Bolt Type-R - 2017</v>
      </c>
      <c r="I2668">
        <f>VLOOKUP(C2668,[1]products!$A:$D,4,FALSE)</f>
        <v>3</v>
      </c>
      <c r="J2668" t="str">
        <f>VLOOKUP(I2668,[2]categories!$A$1:$B$8,2,FALSE)</f>
        <v>Cruisers Bicycles</v>
      </c>
    </row>
    <row r="2669" customHeight="1" spans="1:10">
      <c r="A2669" s="1">
        <v>935</v>
      </c>
      <c r="B2669" s="1">
        <v>2</v>
      </c>
      <c r="C2669" s="1">
        <v>76</v>
      </c>
      <c r="D2669" s="1">
        <v>2</v>
      </c>
      <c r="E2669" s="1">
        <v>299.99</v>
      </c>
      <c r="F2669" s="1">
        <v>0.07</v>
      </c>
      <c r="G2669">
        <f t="shared" si="41"/>
        <v>599.91</v>
      </c>
      <c r="H2669" t="str">
        <f>VLOOKUP(C2669,[1]products!$A:$B,2,FALSE)</f>
        <v>Electra Girl's Hawaii 1 16" - 2017</v>
      </c>
      <c r="I2669">
        <f>VLOOKUP(C2669,[1]products!$A:$D,4,FALSE)</f>
        <v>3</v>
      </c>
      <c r="J2669" t="str">
        <f>VLOOKUP(I2669,[2]categories!$A$1:$B$8,2,FALSE)</f>
        <v>Cruisers Bicycles</v>
      </c>
    </row>
    <row r="2670" customHeight="1" spans="1:10">
      <c r="A2670" s="1">
        <v>935</v>
      </c>
      <c r="B2670" s="1">
        <v>3</v>
      </c>
      <c r="C2670" s="1">
        <v>6</v>
      </c>
      <c r="D2670" s="1">
        <v>1</v>
      </c>
      <c r="E2670" s="1">
        <v>469.99</v>
      </c>
      <c r="F2670" s="1">
        <v>0.07</v>
      </c>
      <c r="G2670">
        <f t="shared" si="41"/>
        <v>469.92</v>
      </c>
      <c r="H2670" t="str">
        <f>VLOOKUP(C2670,[1]products!$A:$B,2,FALSE)</f>
        <v>Surly Ice Cream Truck Frameset - 2016</v>
      </c>
      <c r="I2670">
        <f>VLOOKUP(C2670,[1]products!$A:$D,4,FALSE)</f>
        <v>6</v>
      </c>
      <c r="J2670" t="str">
        <f>VLOOKUP(I2670,[2]categories!$A$1:$B$8,2,FALSE)</f>
        <v>Mountain Bikes</v>
      </c>
    </row>
    <row r="2671" customHeight="1" spans="1:10">
      <c r="A2671" s="1">
        <v>935</v>
      </c>
      <c r="B2671" s="1">
        <v>4</v>
      </c>
      <c r="C2671" s="1">
        <v>38</v>
      </c>
      <c r="D2671" s="1">
        <v>1</v>
      </c>
      <c r="E2671" s="1">
        <v>549.99</v>
      </c>
      <c r="F2671" s="1">
        <v>0.07</v>
      </c>
      <c r="G2671">
        <f t="shared" si="41"/>
        <v>549.92</v>
      </c>
      <c r="H2671" t="str">
        <f>VLOOKUP(C2671,[1]products!$A:$B,2,FALSE)</f>
        <v>Haro Flightline Two 26 Plus - 2017</v>
      </c>
      <c r="I2671">
        <f>VLOOKUP(C2671,[1]products!$A:$D,4,FALSE)</f>
        <v>6</v>
      </c>
      <c r="J2671" t="str">
        <f>VLOOKUP(I2671,[2]categories!$A$1:$B$8,2,FALSE)</f>
        <v>Mountain Bikes</v>
      </c>
    </row>
    <row r="2672" customHeight="1" spans="1:10">
      <c r="A2672" s="1">
        <v>936</v>
      </c>
      <c r="B2672" s="1">
        <v>1</v>
      </c>
      <c r="C2672" s="1">
        <v>70</v>
      </c>
      <c r="D2672" s="1">
        <v>1</v>
      </c>
      <c r="E2672" s="1">
        <v>659.99</v>
      </c>
      <c r="F2672" s="1">
        <v>0.1</v>
      </c>
      <c r="G2672">
        <f t="shared" si="41"/>
        <v>659.89</v>
      </c>
      <c r="H2672" t="str">
        <f>VLOOKUP(C2672,[1]products!$A:$B,2,FALSE)</f>
        <v>Electra Amsterdam Original 3i - 2015/2017</v>
      </c>
      <c r="I2672">
        <f>VLOOKUP(C2672,[1]products!$A:$D,4,FALSE)</f>
        <v>3</v>
      </c>
      <c r="J2672" t="str">
        <f>VLOOKUP(I2672,[2]categories!$A$1:$B$8,2,FALSE)</f>
        <v>Cruisers Bicycles</v>
      </c>
    </row>
    <row r="2673" customHeight="1" spans="1:10">
      <c r="A2673" s="1">
        <v>936</v>
      </c>
      <c r="B2673" s="1">
        <v>2</v>
      </c>
      <c r="C2673" s="1">
        <v>44</v>
      </c>
      <c r="D2673" s="1">
        <v>1</v>
      </c>
      <c r="E2673" s="1">
        <v>539.99</v>
      </c>
      <c r="F2673" s="1">
        <v>0.07</v>
      </c>
      <c r="G2673">
        <f t="shared" si="41"/>
        <v>539.92</v>
      </c>
      <c r="H2673" t="str">
        <f>VLOOKUP(C2673,[1]products!$A:$B,2,FALSE)</f>
        <v>Haro SR 1.1 - 2017</v>
      </c>
      <c r="I2673">
        <f>VLOOKUP(C2673,[1]products!$A:$D,4,FALSE)</f>
        <v>6</v>
      </c>
      <c r="J2673" t="str">
        <f>VLOOKUP(I2673,[2]categories!$A$1:$B$8,2,FALSE)</f>
        <v>Mountain Bikes</v>
      </c>
    </row>
    <row r="2674" customHeight="1" spans="1:10">
      <c r="A2674" s="1">
        <v>937</v>
      </c>
      <c r="B2674" s="1">
        <v>1</v>
      </c>
      <c r="C2674" s="1">
        <v>108</v>
      </c>
      <c r="D2674" s="1">
        <v>2</v>
      </c>
      <c r="E2674" s="1">
        <v>449.99</v>
      </c>
      <c r="F2674" s="1">
        <v>0.1</v>
      </c>
      <c r="G2674">
        <f t="shared" si="41"/>
        <v>899.88</v>
      </c>
      <c r="H2674" t="str">
        <f>VLOOKUP(C2674,[1]products!$A:$B,2,FALSE)</f>
        <v>Sun Bicycles Cruz 3 - Women's - 2017</v>
      </c>
      <c r="I2674">
        <f>VLOOKUP(C2674,[1]products!$A:$D,4,FALSE)</f>
        <v>2</v>
      </c>
      <c r="J2674" t="str">
        <f>VLOOKUP(I2674,[2]categories!$A$1:$B$8,2,FALSE)</f>
        <v>Comfort Bicycles</v>
      </c>
    </row>
    <row r="2675" customHeight="1" spans="1:10">
      <c r="A2675" s="1">
        <v>937</v>
      </c>
      <c r="B2675" s="1">
        <v>2</v>
      </c>
      <c r="C2675" s="1">
        <v>51</v>
      </c>
      <c r="D2675" s="1">
        <v>2</v>
      </c>
      <c r="E2675" s="1">
        <v>6499.99</v>
      </c>
      <c r="F2675" s="1">
        <v>0.07</v>
      </c>
      <c r="G2675">
        <f t="shared" si="41"/>
        <v>12999.91</v>
      </c>
      <c r="H2675" t="str">
        <f>VLOOKUP(C2675,[1]products!$A:$B,2,FALSE)</f>
        <v>Trek Silque SLR 8 Women's - 2017</v>
      </c>
      <c r="I2675">
        <f>VLOOKUP(C2675,[1]products!$A:$D,4,FALSE)</f>
        <v>7</v>
      </c>
      <c r="J2675" t="str">
        <f>VLOOKUP(I2675,[2]categories!$A$1:$B$8,2,FALSE)</f>
        <v>Road Bikes</v>
      </c>
    </row>
    <row r="2676" customHeight="1" spans="1:10">
      <c r="A2676" s="1">
        <v>937</v>
      </c>
      <c r="B2676" s="1">
        <v>3</v>
      </c>
      <c r="C2676" s="1">
        <v>58</v>
      </c>
      <c r="D2676" s="1">
        <v>2</v>
      </c>
      <c r="E2676" s="1">
        <v>4999.99</v>
      </c>
      <c r="F2676" s="1">
        <v>0.07</v>
      </c>
      <c r="G2676">
        <f t="shared" si="41"/>
        <v>9999.91</v>
      </c>
      <c r="H2676" t="str">
        <f>VLOOKUP(C2676,[1]products!$A:$B,2,FALSE)</f>
        <v>Trek Madone 9.2 - 2017</v>
      </c>
      <c r="I2676">
        <f>VLOOKUP(C2676,[1]products!$A:$D,4,FALSE)</f>
        <v>7</v>
      </c>
      <c r="J2676" t="str">
        <f>VLOOKUP(I2676,[2]categories!$A$1:$B$8,2,FALSE)</f>
        <v>Road Bikes</v>
      </c>
    </row>
    <row r="2677" customHeight="1" spans="1:10">
      <c r="A2677" s="1">
        <v>937</v>
      </c>
      <c r="B2677" s="1">
        <v>4</v>
      </c>
      <c r="C2677" s="1">
        <v>28</v>
      </c>
      <c r="D2677" s="1">
        <v>2</v>
      </c>
      <c r="E2677" s="1">
        <v>2499.99</v>
      </c>
      <c r="F2677" s="1">
        <v>0.07</v>
      </c>
      <c r="G2677">
        <f t="shared" si="41"/>
        <v>4999.91</v>
      </c>
      <c r="H2677" t="str">
        <f>VLOOKUP(C2677,[1]products!$A:$B,2,FALSE)</f>
        <v>Surly Karate Monkey 27.5+ Frameset - 2017</v>
      </c>
      <c r="I2677">
        <f>VLOOKUP(C2677,[1]products!$A:$D,4,FALSE)</f>
        <v>6</v>
      </c>
      <c r="J2677" t="str">
        <f>VLOOKUP(I2677,[2]categories!$A$1:$B$8,2,FALSE)</f>
        <v>Mountain Bikes</v>
      </c>
    </row>
    <row r="2678" customHeight="1" spans="1:10">
      <c r="A2678" s="1">
        <v>937</v>
      </c>
      <c r="B2678" s="1">
        <v>5</v>
      </c>
      <c r="C2678" s="1">
        <v>66</v>
      </c>
      <c r="D2678" s="1">
        <v>1</v>
      </c>
      <c r="E2678" s="1">
        <v>250.99</v>
      </c>
      <c r="F2678" s="1">
        <v>0.2</v>
      </c>
      <c r="G2678">
        <f t="shared" si="41"/>
        <v>250.79</v>
      </c>
      <c r="H2678" t="str">
        <f>VLOOKUP(C2678,[1]products!$A:$B,2,FALSE)</f>
        <v>Sun Bicycles Revolutions 24 - 2017</v>
      </c>
      <c r="I2678">
        <f>VLOOKUP(C2678,[1]products!$A:$D,4,FALSE)</f>
        <v>3</v>
      </c>
      <c r="J2678" t="str">
        <f>VLOOKUP(I2678,[2]categories!$A$1:$B$8,2,FALSE)</f>
        <v>Cruisers Bicycles</v>
      </c>
    </row>
    <row r="2679" customHeight="1" spans="1:10">
      <c r="A2679" s="1">
        <v>938</v>
      </c>
      <c r="B2679" s="1">
        <v>1</v>
      </c>
      <c r="C2679" s="1">
        <v>4</v>
      </c>
      <c r="D2679" s="1">
        <v>1</v>
      </c>
      <c r="E2679" s="1">
        <v>2899.99</v>
      </c>
      <c r="F2679" s="1">
        <v>0.05</v>
      </c>
      <c r="G2679">
        <f t="shared" si="41"/>
        <v>2899.94</v>
      </c>
      <c r="H2679" t="str">
        <f>VLOOKUP(C2679,[1]products!$A:$B,2,FALSE)</f>
        <v>Trek Fuel EX 8 29 - 2016</v>
      </c>
      <c r="I2679">
        <f>VLOOKUP(C2679,[1]products!$A:$D,4,FALSE)</f>
        <v>6</v>
      </c>
      <c r="J2679" t="str">
        <f>VLOOKUP(I2679,[2]categories!$A$1:$B$8,2,FALSE)</f>
        <v>Mountain Bikes</v>
      </c>
    </row>
    <row r="2680" customHeight="1" spans="1:10">
      <c r="A2680" s="1">
        <v>938</v>
      </c>
      <c r="B2680" s="1">
        <v>2</v>
      </c>
      <c r="C2680" s="1">
        <v>13</v>
      </c>
      <c r="D2680" s="1">
        <v>1</v>
      </c>
      <c r="E2680" s="1">
        <v>269.99</v>
      </c>
      <c r="F2680" s="1">
        <v>0.05</v>
      </c>
      <c r="G2680">
        <f t="shared" si="41"/>
        <v>269.94</v>
      </c>
      <c r="H2680" t="str">
        <f>VLOOKUP(C2680,[1]products!$A:$B,2,FALSE)</f>
        <v>Electra Cruiser 1 (24-Inch) - 2016</v>
      </c>
      <c r="I2680">
        <f>VLOOKUP(C2680,[1]products!$A:$D,4,FALSE)</f>
        <v>3</v>
      </c>
      <c r="J2680" t="str">
        <f>VLOOKUP(I2680,[2]categories!$A$1:$B$8,2,FALSE)</f>
        <v>Cruisers Bicycles</v>
      </c>
    </row>
    <row r="2681" customHeight="1" spans="1:10">
      <c r="A2681" s="1">
        <v>939</v>
      </c>
      <c r="B2681" s="1">
        <v>1</v>
      </c>
      <c r="C2681" s="1">
        <v>5</v>
      </c>
      <c r="D2681" s="1">
        <v>1</v>
      </c>
      <c r="E2681" s="1">
        <v>1320.99</v>
      </c>
      <c r="F2681" s="1">
        <v>0.1</v>
      </c>
      <c r="G2681">
        <f t="shared" si="41"/>
        <v>1320.89</v>
      </c>
      <c r="H2681" t="str">
        <f>VLOOKUP(C2681,[1]products!$A:$B,2,FALSE)</f>
        <v>Heller Shagamaw Frame - 2016</v>
      </c>
      <c r="I2681">
        <f>VLOOKUP(C2681,[1]products!$A:$D,4,FALSE)</f>
        <v>6</v>
      </c>
      <c r="J2681" t="str">
        <f>VLOOKUP(I2681,[2]categories!$A$1:$B$8,2,FALSE)</f>
        <v>Mountain Bikes</v>
      </c>
    </row>
    <row r="2682" customHeight="1" spans="1:10">
      <c r="A2682" s="1">
        <v>939</v>
      </c>
      <c r="B2682" s="1">
        <v>2</v>
      </c>
      <c r="C2682" s="1">
        <v>107</v>
      </c>
      <c r="D2682" s="1">
        <v>2</v>
      </c>
      <c r="E2682" s="1">
        <v>416.99</v>
      </c>
      <c r="F2682" s="1">
        <v>0.2</v>
      </c>
      <c r="G2682">
        <f t="shared" si="41"/>
        <v>833.78</v>
      </c>
      <c r="H2682" t="str">
        <f>VLOOKUP(C2682,[1]products!$A:$B,2,FALSE)</f>
        <v>Sun Bicycles Cruz 7 - 2017</v>
      </c>
      <c r="I2682">
        <f>VLOOKUP(C2682,[1]products!$A:$D,4,FALSE)</f>
        <v>2</v>
      </c>
      <c r="J2682" t="str">
        <f>VLOOKUP(I2682,[2]categories!$A$1:$B$8,2,FALSE)</f>
        <v>Comfort Bicycles</v>
      </c>
    </row>
    <row r="2683" customHeight="1" spans="1:10">
      <c r="A2683" s="1">
        <v>940</v>
      </c>
      <c r="B2683" s="1">
        <v>1</v>
      </c>
      <c r="C2683" s="1">
        <v>75</v>
      </c>
      <c r="D2683" s="1">
        <v>2</v>
      </c>
      <c r="E2683" s="1">
        <v>599.99</v>
      </c>
      <c r="F2683" s="1">
        <v>0.2</v>
      </c>
      <c r="G2683">
        <f t="shared" si="41"/>
        <v>1199.78</v>
      </c>
      <c r="H2683" t="str">
        <f>VLOOKUP(C2683,[1]products!$A:$B,2,FALSE)</f>
        <v>Electra Cruiser Lux Fat Tire 1 Ladies - 2017</v>
      </c>
      <c r="I2683">
        <f>VLOOKUP(C2683,[1]products!$A:$D,4,FALSE)</f>
        <v>3</v>
      </c>
      <c r="J2683" t="str">
        <f>VLOOKUP(I2683,[2]categories!$A$1:$B$8,2,FALSE)</f>
        <v>Cruisers Bicycles</v>
      </c>
    </row>
    <row r="2684" customHeight="1" spans="1:10">
      <c r="A2684" s="1">
        <v>941</v>
      </c>
      <c r="B2684" s="1">
        <v>1</v>
      </c>
      <c r="C2684" s="1">
        <v>25</v>
      </c>
      <c r="D2684" s="1">
        <v>1</v>
      </c>
      <c r="E2684" s="1">
        <v>499.99</v>
      </c>
      <c r="F2684" s="1">
        <v>0.1</v>
      </c>
      <c r="G2684">
        <f t="shared" si="41"/>
        <v>499.89</v>
      </c>
      <c r="H2684" t="str">
        <f>VLOOKUP(C2684,[1]products!$A:$B,2,FALSE)</f>
        <v>Electra Townie Original 7D - 2015/2016</v>
      </c>
      <c r="I2684">
        <f>VLOOKUP(C2684,[1]products!$A:$D,4,FALSE)</f>
        <v>2</v>
      </c>
      <c r="J2684" t="str">
        <f>VLOOKUP(I2684,[2]categories!$A$1:$B$8,2,FALSE)</f>
        <v>Comfort Bicycles</v>
      </c>
    </row>
    <row r="2685" customHeight="1" spans="1:10">
      <c r="A2685" s="1">
        <v>941</v>
      </c>
      <c r="B2685" s="1">
        <v>2</v>
      </c>
      <c r="C2685" s="1">
        <v>102</v>
      </c>
      <c r="D2685" s="1">
        <v>2</v>
      </c>
      <c r="E2685" s="1">
        <v>489.99</v>
      </c>
      <c r="F2685" s="1">
        <v>0.05</v>
      </c>
      <c r="G2685">
        <f t="shared" si="41"/>
        <v>979.93</v>
      </c>
      <c r="H2685" t="str">
        <f>VLOOKUP(C2685,[1]products!$A:$B,2,FALSE)</f>
        <v>Electra Townie Original 7D - 2017</v>
      </c>
      <c r="I2685">
        <f>VLOOKUP(C2685,[1]products!$A:$D,4,FALSE)</f>
        <v>2</v>
      </c>
      <c r="J2685" t="str">
        <f>VLOOKUP(I2685,[2]categories!$A$1:$B$8,2,FALSE)</f>
        <v>Comfort Bicycles</v>
      </c>
    </row>
    <row r="2686" customHeight="1" spans="1:10">
      <c r="A2686" s="1">
        <v>941</v>
      </c>
      <c r="B2686" s="1">
        <v>3</v>
      </c>
      <c r="C2686" s="1">
        <v>11</v>
      </c>
      <c r="D2686" s="1">
        <v>2</v>
      </c>
      <c r="E2686" s="1">
        <v>1680.99</v>
      </c>
      <c r="F2686" s="1">
        <v>0.07</v>
      </c>
      <c r="G2686">
        <f t="shared" si="41"/>
        <v>3361.91</v>
      </c>
      <c r="H2686" t="str">
        <f>VLOOKUP(C2686,[1]products!$A:$B,2,FALSE)</f>
        <v>Surly Straggler 650b - 2016</v>
      </c>
      <c r="I2686">
        <f>VLOOKUP(C2686,[1]products!$A:$D,4,FALSE)</f>
        <v>4</v>
      </c>
      <c r="J2686" t="str">
        <f>VLOOKUP(I2686,[2]categories!$A$1:$B$8,2,FALSE)</f>
        <v>Cyclocross Bicycles</v>
      </c>
    </row>
    <row r="2687" customHeight="1" spans="1:10">
      <c r="A2687" s="1">
        <v>942</v>
      </c>
      <c r="B2687" s="1">
        <v>1</v>
      </c>
      <c r="C2687" s="1">
        <v>98</v>
      </c>
      <c r="D2687" s="1">
        <v>2</v>
      </c>
      <c r="E2687" s="1">
        <v>489.99</v>
      </c>
      <c r="F2687" s="1">
        <v>0.05</v>
      </c>
      <c r="G2687">
        <f t="shared" si="41"/>
        <v>979.93</v>
      </c>
      <c r="H2687" t="str">
        <f>VLOOKUP(C2687,[1]products!$A:$B,2,FALSE)</f>
        <v>Electra Straight 8 3i (20-inch) - Boy's - 2017</v>
      </c>
      <c r="I2687">
        <f>VLOOKUP(C2687,[1]products!$A:$D,4,FALSE)</f>
        <v>1</v>
      </c>
      <c r="J2687" t="str">
        <f>VLOOKUP(I2687,[2]categories!$A$1:$B$8,2,FALSE)</f>
        <v>Children Bicycles</v>
      </c>
    </row>
    <row r="2688" customHeight="1" spans="1:10">
      <c r="A2688" s="1">
        <v>942</v>
      </c>
      <c r="B2688" s="1">
        <v>2</v>
      </c>
      <c r="C2688" s="1">
        <v>110</v>
      </c>
      <c r="D2688" s="1">
        <v>2</v>
      </c>
      <c r="E2688" s="1">
        <v>470.99</v>
      </c>
      <c r="F2688" s="1">
        <v>0.1</v>
      </c>
      <c r="G2688">
        <f t="shared" si="41"/>
        <v>941.88</v>
      </c>
      <c r="H2688" t="str">
        <f>VLOOKUP(C2688,[1]products!$A:$B,2,FALSE)</f>
        <v>Sun Bicycles Drifter 7 - 2017</v>
      </c>
      <c r="I2688">
        <f>VLOOKUP(C2688,[1]products!$A:$D,4,FALSE)</f>
        <v>2</v>
      </c>
      <c r="J2688" t="str">
        <f>VLOOKUP(I2688,[2]categories!$A$1:$B$8,2,FALSE)</f>
        <v>Comfort Bicycles</v>
      </c>
    </row>
    <row r="2689" customHeight="1" spans="1:10">
      <c r="A2689" s="1">
        <v>942</v>
      </c>
      <c r="B2689" s="1">
        <v>3</v>
      </c>
      <c r="C2689" s="1">
        <v>35</v>
      </c>
      <c r="D2689" s="1">
        <v>2</v>
      </c>
      <c r="E2689" s="1">
        <v>832.99</v>
      </c>
      <c r="F2689" s="1">
        <v>0.07</v>
      </c>
      <c r="G2689">
        <f t="shared" si="41"/>
        <v>1665.91</v>
      </c>
      <c r="H2689" t="str">
        <f>VLOOKUP(C2689,[1]products!$A:$B,2,FALSE)</f>
        <v>Sun Bicycles Spider 3i - 2017</v>
      </c>
      <c r="I2689">
        <f>VLOOKUP(C2689,[1]products!$A:$D,4,FALSE)</f>
        <v>6</v>
      </c>
      <c r="J2689" t="str">
        <f>VLOOKUP(I2689,[2]categories!$A$1:$B$8,2,FALSE)</f>
        <v>Mountain Bikes</v>
      </c>
    </row>
    <row r="2690" customHeight="1" spans="1:10">
      <c r="A2690" s="1">
        <v>942</v>
      </c>
      <c r="B2690" s="1">
        <v>4</v>
      </c>
      <c r="C2690" s="1">
        <v>103</v>
      </c>
      <c r="D2690" s="1">
        <v>1</v>
      </c>
      <c r="E2690" s="1">
        <v>551.99</v>
      </c>
      <c r="F2690" s="1">
        <v>0.05</v>
      </c>
      <c r="G2690">
        <f t="shared" si="41"/>
        <v>551.94</v>
      </c>
      <c r="H2690" t="str">
        <f>VLOOKUP(C2690,[1]products!$A:$B,2,FALSE)</f>
        <v>Sun Bicycles Streamway 3 - 2017</v>
      </c>
      <c r="I2690">
        <f>VLOOKUP(C2690,[1]products!$A:$D,4,FALSE)</f>
        <v>2</v>
      </c>
      <c r="J2690" t="str">
        <f>VLOOKUP(I2690,[2]categories!$A$1:$B$8,2,FALSE)</f>
        <v>Comfort Bicycles</v>
      </c>
    </row>
    <row r="2691" customHeight="1" spans="1:10">
      <c r="A2691" s="1">
        <v>942</v>
      </c>
      <c r="B2691" s="1">
        <v>5</v>
      </c>
      <c r="C2691" s="1">
        <v>100</v>
      </c>
      <c r="D2691" s="1">
        <v>1</v>
      </c>
      <c r="E2691" s="1">
        <v>489.99</v>
      </c>
      <c r="F2691" s="1">
        <v>0.05</v>
      </c>
      <c r="G2691">
        <f t="shared" ref="G2691:G2754" si="42">(E2691*D2691)-F2691</f>
        <v>489.94</v>
      </c>
      <c r="H2691" t="str">
        <f>VLOOKUP(C2691,[1]products!$A:$B,2,FALSE)</f>
        <v>Electra Townie 3i EQ (20-inch) - Boys' - 2017</v>
      </c>
      <c r="I2691">
        <f>VLOOKUP(C2691,[1]products!$A:$D,4,FALSE)</f>
        <v>1</v>
      </c>
      <c r="J2691" t="str">
        <f>VLOOKUP(I2691,[2]categories!$A$1:$B$8,2,FALSE)</f>
        <v>Children Bicycles</v>
      </c>
    </row>
    <row r="2692" customHeight="1" spans="1:10">
      <c r="A2692" s="1">
        <v>943</v>
      </c>
      <c r="B2692" s="1">
        <v>1</v>
      </c>
      <c r="C2692" s="1">
        <v>25</v>
      </c>
      <c r="D2692" s="1">
        <v>1</v>
      </c>
      <c r="E2692" s="1">
        <v>499.99</v>
      </c>
      <c r="F2692" s="1">
        <v>0.2</v>
      </c>
      <c r="G2692">
        <f t="shared" si="42"/>
        <v>499.79</v>
      </c>
      <c r="H2692" t="str">
        <f>VLOOKUP(C2692,[1]products!$A:$B,2,FALSE)</f>
        <v>Electra Townie Original 7D - 2015/2016</v>
      </c>
      <c r="I2692">
        <f>VLOOKUP(C2692,[1]products!$A:$D,4,FALSE)</f>
        <v>2</v>
      </c>
      <c r="J2692" t="str">
        <f>VLOOKUP(I2692,[2]categories!$A$1:$B$8,2,FALSE)</f>
        <v>Comfort Bicycles</v>
      </c>
    </row>
    <row r="2693" customHeight="1" spans="1:10">
      <c r="A2693" s="1">
        <v>943</v>
      </c>
      <c r="B2693" s="1">
        <v>2</v>
      </c>
      <c r="C2693" s="1">
        <v>82</v>
      </c>
      <c r="D2693" s="1">
        <v>1</v>
      </c>
      <c r="E2693" s="1">
        <v>659.99</v>
      </c>
      <c r="F2693" s="1">
        <v>0.2</v>
      </c>
      <c r="G2693">
        <f t="shared" si="42"/>
        <v>659.79</v>
      </c>
      <c r="H2693" t="str">
        <f>VLOOKUP(C2693,[1]products!$A:$B,2,FALSE)</f>
        <v>Electra Amsterdam Original 3i Ladies' - 2017</v>
      </c>
      <c r="I2693">
        <f>VLOOKUP(C2693,[1]products!$A:$D,4,FALSE)</f>
        <v>3</v>
      </c>
      <c r="J2693" t="str">
        <f>VLOOKUP(I2693,[2]categories!$A$1:$B$8,2,FALSE)</f>
        <v>Cruisers Bicycles</v>
      </c>
    </row>
    <row r="2694" customHeight="1" spans="1:10">
      <c r="A2694" s="1">
        <v>944</v>
      </c>
      <c r="B2694" s="1">
        <v>1</v>
      </c>
      <c r="C2694" s="1">
        <v>29</v>
      </c>
      <c r="D2694" s="1">
        <v>2</v>
      </c>
      <c r="E2694" s="1">
        <v>999.99</v>
      </c>
      <c r="F2694" s="1">
        <v>0.07</v>
      </c>
      <c r="G2694">
        <f t="shared" si="42"/>
        <v>1999.91</v>
      </c>
      <c r="H2694" t="str">
        <f>VLOOKUP(C2694,[1]products!$A:$B,2,FALSE)</f>
        <v>Trek X-Caliber 8 - 2017</v>
      </c>
      <c r="I2694">
        <f>VLOOKUP(C2694,[1]products!$A:$D,4,FALSE)</f>
        <v>6</v>
      </c>
      <c r="J2694" t="str">
        <f>VLOOKUP(I2694,[2]categories!$A$1:$B$8,2,FALSE)</f>
        <v>Mountain Bikes</v>
      </c>
    </row>
    <row r="2695" customHeight="1" spans="1:10">
      <c r="A2695" s="1">
        <v>944</v>
      </c>
      <c r="B2695" s="1">
        <v>2</v>
      </c>
      <c r="C2695" s="1">
        <v>16</v>
      </c>
      <c r="D2695" s="1">
        <v>2</v>
      </c>
      <c r="E2695" s="1">
        <v>599.99</v>
      </c>
      <c r="F2695" s="1">
        <v>0.1</v>
      </c>
      <c r="G2695">
        <f t="shared" si="42"/>
        <v>1199.88</v>
      </c>
      <c r="H2695" t="str">
        <f>VLOOKUP(C2695,[1]products!$A:$B,2,FALSE)</f>
        <v>Electra Townie Original 7D EQ - 2016</v>
      </c>
      <c r="I2695">
        <f>VLOOKUP(C2695,[1]products!$A:$D,4,FALSE)</f>
        <v>3</v>
      </c>
      <c r="J2695" t="str">
        <f>VLOOKUP(I2695,[2]categories!$A$1:$B$8,2,FALSE)</f>
        <v>Cruisers Bicycles</v>
      </c>
    </row>
    <row r="2696" customHeight="1" spans="1:10">
      <c r="A2696" s="1">
        <v>944</v>
      </c>
      <c r="B2696" s="1">
        <v>3</v>
      </c>
      <c r="C2696" s="1">
        <v>70</v>
      </c>
      <c r="D2696" s="1">
        <v>2</v>
      </c>
      <c r="E2696" s="1">
        <v>659.99</v>
      </c>
      <c r="F2696" s="1">
        <v>0.2</v>
      </c>
      <c r="G2696">
        <f t="shared" si="42"/>
        <v>1319.78</v>
      </c>
      <c r="H2696" t="str">
        <f>VLOOKUP(C2696,[1]products!$A:$B,2,FALSE)</f>
        <v>Electra Amsterdam Original 3i - 2015/2017</v>
      </c>
      <c r="I2696">
        <f>VLOOKUP(C2696,[1]products!$A:$D,4,FALSE)</f>
        <v>3</v>
      </c>
      <c r="J2696" t="str">
        <f>VLOOKUP(I2696,[2]categories!$A$1:$B$8,2,FALSE)</f>
        <v>Cruisers Bicycles</v>
      </c>
    </row>
    <row r="2697" customHeight="1" spans="1:10">
      <c r="A2697" s="1">
        <v>944</v>
      </c>
      <c r="B2697" s="1">
        <v>4</v>
      </c>
      <c r="C2697" s="1">
        <v>85</v>
      </c>
      <c r="D2697" s="1">
        <v>2</v>
      </c>
      <c r="E2697" s="1">
        <v>329.99</v>
      </c>
      <c r="F2697" s="1">
        <v>0.2</v>
      </c>
      <c r="G2697">
        <f t="shared" si="42"/>
        <v>659.78</v>
      </c>
      <c r="H2697" t="str">
        <f>VLOOKUP(C2697,[1]products!$A:$B,2,FALSE)</f>
        <v>Haro Downtown 16 - 2017</v>
      </c>
      <c r="I2697">
        <f>VLOOKUP(C2697,[1]products!$A:$D,4,FALSE)</f>
        <v>1</v>
      </c>
      <c r="J2697" t="str">
        <f>VLOOKUP(I2697,[2]categories!$A$1:$B$8,2,FALSE)</f>
        <v>Children Bicycles</v>
      </c>
    </row>
    <row r="2698" customHeight="1" spans="1:10">
      <c r="A2698" s="1">
        <v>944</v>
      </c>
      <c r="B2698" s="1">
        <v>5</v>
      </c>
      <c r="C2698" s="1">
        <v>69</v>
      </c>
      <c r="D2698" s="1">
        <v>2</v>
      </c>
      <c r="E2698" s="1">
        <v>416.99</v>
      </c>
      <c r="F2698" s="1">
        <v>0.07</v>
      </c>
      <c r="G2698">
        <f t="shared" si="42"/>
        <v>833.91</v>
      </c>
      <c r="H2698" t="str">
        <f>VLOOKUP(C2698,[1]products!$A:$B,2,FALSE)</f>
        <v>Sun Bicycles Cruz 7 - 2017</v>
      </c>
      <c r="I2698">
        <f>VLOOKUP(C2698,[1]products!$A:$D,4,FALSE)</f>
        <v>3</v>
      </c>
      <c r="J2698" t="str">
        <f>VLOOKUP(I2698,[2]categories!$A$1:$B$8,2,FALSE)</f>
        <v>Cruisers Bicycles</v>
      </c>
    </row>
    <row r="2699" customHeight="1" spans="1:10">
      <c r="A2699" s="1">
        <v>945</v>
      </c>
      <c r="B2699" s="1">
        <v>1</v>
      </c>
      <c r="C2699" s="1">
        <v>105</v>
      </c>
      <c r="D2699" s="1">
        <v>1</v>
      </c>
      <c r="E2699" s="1">
        <v>533.99</v>
      </c>
      <c r="F2699" s="1">
        <v>0.05</v>
      </c>
      <c r="G2699">
        <f t="shared" si="42"/>
        <v>533.94</v>
      </c>
      <c r="H2699" t="str">
        <f>VLOOKUP(C2699,[1]products!$A:$B,2,FALSE)</f>
        <v>Sun Bicycles Streamway 7 - 2017</v>
      </c>
      <c r="I2699">
        <f>VLOOKUP(C2699,[1]products!$A:$D,4,FALSE)</f>
        <v>2</v>
      </c>
      <c r="J2699" t="str">
        <f>VLOOKUP(I2699,[2]categories!$A$1:$B$8,2,FALSE)</f>
        <v>Comfort Bicycles</v>
      </c>
    </row>
    <row r="2700" customHeight="1" spans="1:10">
      <c r="A2700" s="1">
        <v>945</v>
      </c>
      <c r="B2700" s="1">
        <v>2</v>
      </c>
      <c r="C2700" s="1">
        <v>94</v>
      </c>
      <c r="D2700" s="1">
        <v>2</v>
      </c>
      <c r="E2700" s="1">
        <v>249.99</v>
      </c>
      <c r="F2700" s="1">
        <v>0.2</v>
      </c>
      <c r="G2700">
        <f t="shared" si="42"/>
        <v>499.78</v>
      </c>
      <c r="H2700" t="str">
        <f>VLOOKUP(C2700,[1]products!$A:$B,2,FALSE)</f>
        <v>Haro Shredder Pro 20 - 2017</v>
      </c>
      <c r="I2700">
        <f>VLOOKUP(C2700,[1]products!$A:$D,4,FALSE)</f>
        <v>1</v>
      </c>
      <c r="J2700" t="str">
        <f>VLOOKUP(I2700,[2]categories!$A$1:$B$8,2,FALSE)</f>
        <v>Children Bicycles</v>
      </c>
    </row>
    <row r="2701" customHeight="1" spans="1:10">
      <c r="A2701" s="1">
        <v>945</v>
      </c>
      <c r="B2701" s="1">
        <v>3</v>
      </c>
      <c r="C2701" s="1">
        <v>34</v>
      </c>
      <c r="D2701" s="1">
        <v>2</v>
      </c>
      <c r="E2701" s="1">
        <v>469.99</v>
      </c>
      <c r="F2701" s="1">
        <v>0.05</v>
      </c>
      <c r="G2701">
        <f t="shared" si="42"/>
        <v>939.93</v>
      </c>
      <c r="H2701" t="str">
        <f>VLOOKUP(C2701,[1]products!$A:$B,2,FALSE)</f>
        <v>Trek Session DH 27.5 Carbon Frameset - 2017</v>
      </c>
      <c r="I2701">
        <f>VLOOKUP(C2701,[1]products!$A:$D,4,FALSE)</f>
        <v>6</v>
      </c>
      <c r="J2701" t="str">
        <f>VLOOKUP(I2701,[2]categories!$A$1:$B$8,2,FALSE)</f>
        <v>Mountain Bikes</v>
      </c>
    </row>
    <row r="2702" customHeight="1" spans="1:10">
      <c r="A2702" s="1">
        <v>945</v>
      </c>
      <c r="B2702" s="1">
        <v>4</v>
      </c>
      <c r="C2702" s="1">
        <v>44</v>
      </c>
      <c r="D2702" s="1">
        <v>2</v>
      </c>
      <c r="E2702" s="1">
        <v>539.99</v>
      </c>
      <c r="F2702" s="1">
        <v>0.1</v>
      </c>
      <c r="G2702">
        <f t="shared" si="42"/>
        <v>1079.88</v>
      </c>
      <c r="H2702" t="str">
        <f>VLOOKUP(C2702,[1]products!$A:$B,2,FALSE)</f>
        <v>Haro SR 1.1 - 2017</v>
      </c>
      <c r="I2702">
        <f>VLOOKUP(C2702,[1]products!$A:$D,4,FALSE)</f>
        <v>6</v>
      </c>
      <c r="J2702" t="str">
        <f>VLOOKUP(I2702,[2]categories!$A$1:$B$8,2,FALSE)</f>
        <v>Mountain Bikes</v>
      </c>
    </row>
    <row r="2703" customHeight="1" spans="1:10">
      <c r="A2703" s="1">
        <v>945</v>
      </c>
      <c r="B2703" s="1">
        <v>5</v>
      </c>
      <c r="C2703" s="1">
        <v>50</v>
      </c>
      <c r="D2703" s="1">
        <v>2</v>
      </c>
      <c r="E2703" s="1">
        <v>5999.99</v>
      </c>
      <c r="F2703" s="1">
        <v>0.05</v>
      </c>
      <c r="G2703">
        <f t="shared" si="42"/>
        <v>11999.93</v>
      </c>
      <c r="H2703" t="str">
        <f>VLOOKUP(C2703,[1]products!$A:$B,2,FALSE)</f>
        <v>Trek Silque SLR 7 Women's - 2017</v>
      </c>
      <c r="I2703">
        <f>VLOOKUP(C2703,[1]products!$A:$D,4,FALSE)</f>
        <v>7</v>
      </c>
      <c r="J2703" t="str">
        <f>VLOOKUP(I2703,[2]categories!$A$1:$B$8,2,FALSE)</f>
        <v>Road Bikes</v>
      </c>
    </row>
    <row r="2704" customHeight="1" spans="1:10">
      <c r="A2704" s="1">
        <v>946</v>
      </c>
      <c r="B2704" s="1">
        <v>1</v>
      </c>
      <c r="C2704" s="1">
        <v>7</v>
      </c>
      <c r="D2704" s="1">
        <v>1</v>
      </c>
      <c r="E2704" s="1">
        <v>3999.99</v>
      </c>
      <c r="F2704" s="1">
        <v>0.1</v>
      </c>
      <c r="G2704">
        <f t="shared" si="42"/>
        <v>3999.89</v>
      </c>
      <c r="H2704" t="str">
        <f>VLOOKUP(C2704,[1]products!$A:$B,2,FALSE)</f>
        <v>Trek Slash 8 27.5 - 2016</v>
      </c>
      <c r="I2704">
        <f>VLOOKUP(C2704,[1]products!$A:$D,4,FALSE)</f>
        <v>6</v>
      </c>
      <c r="J2704" t="str">
        <f>VLOOKUP(I2704,[2]categories!$A$1:$B$8,2,FALSE)</f>
        <v>Mountain Bikes</v>
      </c>
    </row>
    <row r="2705" customHeight="1" spans="1:10">
      <c r="A2705" s="1">
        <v>946</v>
      </c>
      <c r="B2705" s="1">
        <v>2</v>
      </c>
      <c r="C2705" s="1">
        <v>85</v>
      </c>
      <c r="D2705" s="1">
        <v>2</v>
      </c>
      <c r="E2705" s="1">
        <v>329.99</v>
      </c>
      <c r="F2705" s="1">
        <v>0.2</v>
      </c>
      <c r="G2705">
        <f t="shared" si="42"/>
        <v>659.78</v>
      </c>
      <c r="H2705" t="str">
        <f>VLOOKUP(C2705,[1]products!$A:$B,2,FALSE)</f>
        <v>Haro Downtown 16 - 2017</v>
      </c>
      <c r="I2705">
        <f>VLOOKUP(C2705,[1]products!$A:$D,4,FALSE)</f>
        <v>1</v>
      </c>
      <c r="J2705" t="str">
        <f>VLOOKUP(I2705,[2]categories!$A$1:$B$8,2,FALSE)</f>
        <v>Children Bicycles</v>
      </c>
    </row>
    <row r="2706" customHeight="1" spans="1:10">
      <c r="A2706" s="1">
        <v>946</v>
      </c>
      <c r="B2706" s="1">
        <v>3</v>
      </c>
      <c r="C2706" s="1">
        <v>62</v>
      </c>
      <c r="D2706" s="1">
        <v>1</v>
      </c>
      <c r="E2706" s="1">
        <v>3499.99</v>
      </c>
      <c r="F2706" s="1">
        <v>0.05</v>
      </c>
      <c r="G2706">
        <f t="shared" si="42"/>
        <v>3499.94</v>
      </c>
      <c r="H2706" t="str">
        <f>VLOOKUP(C2706,[1]products!$A:$B,2,FALSE)</f>
        <v>Trek Boone 7 - 2017</v>
      </c>
      <c r="I2706">
        <f>VLOOKUP(C2706,[1]products!$A:$D,4,FALSE)</f>
        <v>4</v>
      </c>
      <c r="J2706" t="str">
        <f>VLOOKUP(I2706,[2]categories!$A$1:$B$8,2,FALSE)</f>
        <v>Cyclocross Bicycles</v>
      </c>
    </row>
    <row r="2707" customHeight="1" spans="1:10">
      <c r="A2707" s="1">
        <v>946</v>
      </c>
      <c r="B2707" s="1">
        <v>4</v>
      </c>
      <c r="C2707" s="1">
        <v>22</v>
      </c>
      <c r="D2707" s="1">
        <v>2</v>
      </c>
      <c r="E2707" s="1">
        <v>269.99</v>
      </c>
      <c r="F2707" s="1">
        <v>0.2</v>
      </c>
      <c r="G2707">
        <f t="shared" si="42"/>
        <v>539.78</v>
      </c>
      <c r="H2707" t="str">
        <f>VLOOKUP(C2707,[1]products!$A:$B,2,FALSE)</f>
        <v>Electra Girl's Hawaii 1 (16-inch) - 2015/2016</v>
      </c>
      <c r="I2707">
        <f>VLOOKUP(C2707,[1]products!$A:$D,4,FALSE)</f>
        <v>1</v>
      </c>
      <c r="J2707" t="str">
        <f>VLOOKUP(I2707,[2]categories!$A$1:$B$8,2,FALSE)</f>
        <v>Children Bicycles</v>
      </c>
    </row>
    <row r="2708" customHeight="1" spans="1:10">
      <c r="A2708" s="1">
        <v>946</v>
      </c>
      <c r="B2708" s="1">
        <v>5</v>
      </c>
      <c r="C2708" s="1">
        <v>56</v>
      </c>
      <c r="D2708" s="1">
        <v>2</v>
      </c>
      <c r="E2708" s="1">
        <v>5499.99</v>
      </c>
      <c r="F2708" s="1">
        <v>0.07</v>
      </c>
      <c r="G2708">
        <f t="shared" si="42"/>
        <v>10999.91</v>
      </c>
      <c r="H2708" t="str">
        <f>VLOOKUP(C2708,[1]products!$A:$B,2,FALSE)</f>
        <v>Trek Domane SLR 6 Disc - 2017</v>
      </c>
      <c r="I2708">
        <f>VLOOKUP(C2708,[1]products!$A:$D,4,FALSE)</f>
        <v>7</v>
      </c>
      <c r="J2708" t="str">
        <f>VLOOKUP(I2708,[2]categories!$A$1:$B$8,2,FALSE)</f>
        <v>Road Bikes</v>
      </c>
    </row>
    <row r="2709" customHeight="1" spans="1:10">
      <c r="A2709" s="1">
        <v>947</v>
      </c>
      <c r="B2709" s="1">
        <v>1</v>
      </c>
      <c r="C2709" s="1">
        <v>32</v>
      </c>
      <c r="D2709" s="1">
        <v>1</v>
      </c>
      <c r="E2709" s="1">
        <v>469.99</v>
      </c>
      <c r="F2709" s="1">
        <v>0.05</v>
      </c>
      <c r="G2709">
        <f t="shared" si="42"/>
        <v>469.94</v>
      </c>
      <c r="H2709" t="str">
        <f>VLOOKUP(C2709,[1]products!$A:$B,2,FALSE)</f>
        <v>Trek Farley Alloy Frameset - 2017</v>
      </c>
      <c r="I2709">
        <f>VLOOKUP(C2709,[1]products!$A:$D,4,FALSE)</f>
        <v>6</v>
      </c>
      <c r="J2709" t="str">
        <f>VLOOKUP(I2709,[2]categories!$A$1:$B$8,2,FALSE)</f>
        <v>Mountain Bikes</v>
      </c>
    </row>
    <row r="2710" customHeight="1" spans="1:10">
      <c r="A2710" s="1">
        <v>947</v>
      </c>
      <c r="B2710" s="1">
        <v>2</v>
      </c>
      <c r="C2710" s="1">
        <v>42</v>
      </c>
      <c r="D2710" s="1">
        <v>2</v>
      </c>
      <c r="E2710" s="1">
        <v>2299.99</v>
      </c>
      <c r="F2710" s="1">
        <v>0.07</v>
      </c>
      <c r="G2710">
        <f t="shared" si="42"/>
        <v>4599.91</v>
      </c>
      <c r="H2710" t="str">
        <f>VLOOKUP(C2710,[1]products!$A:$B,2,FALSE)</f>
        <v>Trek Fuel EX 5 27.5 Plus - 2017</v>
      </c>
      <c r="I2710">
        <f>VLOOKUP(C2710,[1]products!$A:$D,4,FALSE)</f>
        <v>6</v>
      </c>
      <c r="J2710" t="str">
        <f>VLOOKUP(I2710,[2]categories!$A$1:$B$8,2,FALSE)</f>
        <v>Mountain Bikes</v>
      </c>
    </row>
    <row r="2711" customHeight="1" spans="1:10">
      <c r="A2711" s="1">
        <v>947</v>
      </c>
      <c r="B2711" s="1">
        <v>3</v>
      </c>
      <c r="C2711" s="1">
        <v>44</v>
      </c>
      <c r="D2711" s="1">
        <v>1</v>
      </c>
      <c r="E2711" s="1">
        <v>539.99</v>
      </c>
      <c r="F2711" s="1">
        <v>0.07</v>
      </c>
      <c r="G2711">
        <f t="shared" si="42"/>
        <v>539.92</v>
      </c>
      <c r="H2711" t="str">
        <f>VLOOKUP(C2711,[1]products!$A:$B,2,FALSE)</f>
        <v>Haro SR 1.1 - 2017</v>
      </c>
      <c r="I2711">
        <f>VLOOKUP(C2711,[1]products!$A:$D,4,FALSE)</f>
        <v>6</v>
      </c>
      <c r="J2711" t="str">
        <f>VLOOKUP(I2711,[2]categories!$A$1:$B$8,2,FALSE)</f>
        <v>Mountain Bikes</v>
      </c>
    </row>
    <row r="2712" customHeight="1" spans="1:10">
      <c r="A2712" s="1">
        <v>948</v>
      </c>
      <c r="B2712" s="1">
        <v>1</v>
      </c>
      <c r="C2712" s="1">
        <v>23</v>
      </c>
      <c r="D2712" s="1">
        <v>2</v>
      </c>
      <c r="E2712" s="1">
        <v>299.99</v>
      </c>
      <c r="F2712" s="1">
        <v>0.2</v>
      </c>
      <c r="G2712">
        <f t="shared" si="42"/>
        <v>599.78</v>
      </c>
      <c r="H2712" t="str">
        <f>VLOOKUP(C2712,[1]products!$A:$B,2,FALSE)</f>
        <v>Electra Girl's Hawaii 1 (20-inch) - 2015/2016</v>
      </c>
      <c r="I2712">
        <f>VLOOKUP(C2712,[1]products!$A:$D,4,FALSE)</f>
        <v>1</v>
      </c>
      <c r="J2712" t="str">
        <f>VLOOKUP(I2712,[2]categories!$A$1:$B$8,2,FALSE)</f>
        <v>Children Bicycles</v>
      </c>
    </row>
    <row r="2713" customHeight="1" spans="1:10">
      <c r="A2713" s="1">
        <v>948</v>
      </c>
      <c r="B2713" s="1">
        <v>2</v>
      </c>
      <c r="C2713" s="1">
        <v>20</v>
      </c>
      <c r="D2713" s="1">
        <v>2</v>
      </c>
      <c r="E2713" s="1">
        <v>599.99</v>
      </c>
      <c r="F2713" s="1">
        <v>0.1</v>
      </c>
      <c r="G2713">
        <f t="shared" si="42"/>
        <v>1199.88</v>
      </c>
      <c r="H2713" t="str">
        <f>VLOOKUP(C2713,[1]products!$A:$B,2,FALSE)</f>
        <v>Electra Townie Original 7D EQ - Women's - 2016</v>
      </c>
      <c r="I2713">
        <f>VLOOKUP(C2713,[1]products!$A:$D,4,FALSE)</f>
        <v>3</v>
      </c>
      <c r="J2713" t="str">
        <f>VLOOKUP(I2713,[2]categories!$A$1:$B$8,2,FALSE)</f>
        <v>Cruisers Bicycles</v>
      </c>
    </row>
    <row r="2714" customHeight="1" spans="1:10">
      <c r="A2714" s="1">
        <v>948</v>
      </c>
      <c r="B2714" s="1">
        <v>3</v>
      </c>
      <c r="C2714" s="1">
        <v>101</v>
      </c>
      <c r="D2714" s="1">
        <v>1</v>
      </c>
      <c r="E2714" s="1">
        <v>339.99</v>
      </c>
      <c r="F2714" s="1">
        <v>0.2</v>
      </c>
      <c r="G2714">
        <f t="shared" si="42"/>
        <v>339.79</v>
      </c>
      <c r="H2714" t="str">
        <f>VLOOKUP(C2714,[1]products!$A:$B,2,FALSE)</f>
        <v>Electra Townie 7D (20-inch) - Boys' - 2017</v>
      </c>
      <c r="I2714">
        <f>VLOOKUP(C2714,[1]products!$A:$D,4,FALSE)</f>
        <v>1</v>
      </c>
      <c r="J2714" t="str">
        <f>VLOOKUP(I2714,[2]categories!$A$1:$B$8,2,FALSE)</f>
        <v>Children Bicycles</v>
      </c>
    </row>
    <row r="2715" customHeight="1" spans="1:10">
      <c r="A2715" s="1">
        <v>948</v>
      </c>
      <c r="B2715" s="1">
        <v>4</v>
      </c>
      <c r="C2715" s="1">
        <v>92</v>
      </c>
      <c r="D2715" s="1">
        <v>2</v>
      </c>
      <c r="E2715" s="1">
        <v>209.99</v>
      </c>
      <c r="F2715" s="1">
        <v>0.2</v>
      </c>
      <c r="G2715">
        <f t="shared" si="42"/>
        <v>419.78</v>
      </c>
      <c r="H2715" t="str">
        <f>VLOOKUP(C2715,[1]products!$A:$B,2,FALSE)</f>
        <v>Haro Shredder 20 - 2017</v>
      </c>
      <c r="I2715">
        <f>VLOOKUP(C2715,[1]products!$A:$D,4,FALSE)</f>
        <v>1</v>
      </c>
      <c r="J2715" t="str">
        <f>VLOOKUP(I2715,[2]categories!$A$1:$B$8,2,FALSE)</f>
        <v>Children Bicycles</v>
      </c>
    </row>
    <row r="2716" customHeight="1" spans="1:10">
      <c r="A2716" s="1">
        <v>948</v>
      </c>
      <c r="B2716" s="1">
        <v>5</v>
      </c>
      <c r="C2716" s="1">
        <v>72</v>
      </c>
      <c r="D2716" s="1">
        <v>2</v>
      </c>
      <c r="E2716" s="1">
        <v>619.99</v>
      </c>
      <c r="F2716" s="1">
        <v>0.2</v>
      </c>
      <c r="G2716">
        <f t="shared" si="42"/>
        <v>1239.78</v>
      </c>
      <c r="H2716" t="str">
        <f>VLOOKUP(C2716,[1]products!$A:$B,2,FALSE)</f>
        <v>Sun Bicycles Biscayne Tandem 7 - 2017</v>
      </c>
      <c r="I2716">
        <f>VLOOKUP(C2716,[1]products!$A:$D,4,FALSE)</f>
        <v>3</v>
      </c>
      <c r="J2716" t="str">
        <f>VLOOKUP(I2716,[2]categories!$A$1:$B$8,2,FALSE)</f>
        <v>Cruisers Bicycles</v>
      </c>
    </row>
    <row r="2717" customHeight="1" spans="1:10">
      <c r="A2717" s="1">
        <v>949</v>
      </c>
      <c r="B2717" s="1">
        <v>1</v>
      </c>
      <c r="C2717" s="1">
        <v>9</v>
      </c>
      <c r="D2717" s="1">
        <v>2</v>
      </c>
      <c r="E2717" s="1">
        <v>2999.99</v>
      </c>
      <c r="F2717" s="1">
        <v>0.1</v>
      </c>
      <c r="G2717">
        <f t="shared" si="42"/>
        <v>5999.88</v>
      </c>
      <c r="H2717" t="str">
        <f>VLOOKUP(C2717,[1]products!$A:$B,2,FALSE)</f>
        <v>Trek Conduit+ - 2016</v>
      </c>
      <c r="I2717">
        <f>VLOOKUP(C2717,[1]products!$A:$D,4,FALSE)</f>
        <v>5</v>
      </c>
      <c r="J2717" t="str">
        <f>VLOOKUP(I2717,[2]categories!$A$1:$B$8,2,FALSE)</f>
        <v>Electric Bikes</v>
      </c>
    </row>
    <row r="2718" customHeight="1" spans="1:10">
      <c r="A2718" s="1">
        <v>949</v>
      </c>
      <c r="B2718" s="1">
        <v>2</v>
      </c>
      <c r="C2718" s="1">
        <v>55</v>
      </c>
      <c r="D2718" s="1">
        <v>2</v>
      </c>
      <c r="E2718" s="1">
        <v>2699.99</v>
      </c>
      <c r="F2718" s="1">
        <v>0.05</v>
      </c>
      <c r="G2718">
        <f t="shared" si="42"/>
        <v>5399.93</v>
      </c>
      <c r="H2718" t="str">
        <f>VLOOKUP(C2718,[1]products!$A:$B,2,FALSE)</f>
        <v>Trek Domane S 6 - 2017</v>
      </c>
      <c r="I2718">
        <f>VLOOKUP(C2718,[1]products!$A:$D,4,FALSE)</f>
        <v>7</v>
      </c>
      <c r="J2718" t="str">
        <f>VLOOKUP(I2718,[2]categories!$A$1:$B$8,2,FALSE)</f>
        <v>Road Bikes</v>
      </c>
    </row>
    <row r="2719" customHeight="1" spans="1:10">
      <c r="A2719" s="1">
        <v>950</v>
      </c>
      <c r="B2719" s="1">
        <v>1</v>
      </c>
      <c r="C2719" s="1">
        <v>56</v>
      </c>
      <c r="D2719" s="1">
        <v>1</v>
      </c>
      <c r="E2719" s="1">
        <v>5499.99</v>
      </c>
      <c r="F2719" s="1">
        <v>0.05</v>
      </c>
      <c r="G2719">
        <f t="shared" si="42"/>
        <v>5499.94</v>
      </c>
      <c r="H2719" t="str">
        <f>VLOOKUP(C2719,[1]products!$A:$B,2,FALSE)</f>
        <v>Trek Domane SLR 6 Disc - 2017</v>
      </c>
      <c r="I2719">
        <f>VLOOKUP(C2719,[1]products!$A:$D,4,FALSE)</f>
        <v>7</v>
      </c>
      <c r="J2719" t="str">
        <f>VLOOKUP(I2719,[2]categories!$A$1:$B$8,2,FALSE)</f>
        <v>Road Bikes</v>
      </c>
    </row>
    <row r="2720" customHeight="1" spans="1:10">
      <c r="A2720" s="1">
        <v>951</v>
      </c>
      <c r="B2720" s="1">
        <v>1</v>
      </c>
      <c r="C2720" s="1">
        <v>59</v>
      </c>
      <c r="D2720" s="1">
        <v>1</v>
      </c>
      <c r="E2720" s="1">
        <v>2599.99</v>
      </c>
      <c r="F2720" s="1">
        <v>0.1</v>
      </c>
      <c r="G2720">
        <f t="shared" si="42"/>
        <v>2599.89</v>
      </c>
      <c r="H2720" t="str">
        <f>VLOOKUP(C2720,[1]products!$A:$B,2,FALSE)</f>
        <v>Trek Domane S 5 Disc - 2017</v>
      </c>
      <c r="I2720">
        <f>VLOOKUP(C2720,[1]products!$A:$D,4,FALSE)</f>
        <v>7</v>
      </c>
      <c r="J2720" t="str">
        <f>VLOOKUP(I2720,[2]categories!$A$1:$B$8,2,FALSE)</f>
        <v>Road Bikes</v>
      </c>
    </row>
    <row r="2721" customHeight="1" spans="1:10">
      <c r="A2721" s="1">
        <v>951</v>
      </c>
      <c r="B2721" s="1">
        <v>2</v>
      </c>
      <c r="C2721" s="1">
        <v>43</v>
      </c>
      <c r="D2721" s="1">
        <v>2</v>
      </c>
      <c r="E2721" s="1">
        <v>5299.99</v>
      </c>
      <c r="F2721" s="1">
        <v>0.1</v>
      </c>
      <c r="G2721">
        <f t="shared" si="42"/>
        <v>10599.88</v>
      </c>
      <c r="H2721" t="str">
        <f>VLOOKUP(C2721,[1]products!$A:$B,2,FALSE)</f>
        <v>Trek Fuel EX 9.8 27.5 Plus - 2017</v>
      </c>
      <c r="I2721">
        <f>VLOOKUP(C2721,[1]products!$A:$D,4,FALSE)</f>
        <v>6</v>
      </c>
      <c r="J2721" t="str">
        <f>VLOOKUP(I2721,[2]categories!$A$1:$B$8,2,FALSE)</f>
        <v>Mountain Bikes</v>
      </c>
    </row>
    <row r="2722" customHeight="1" spans="1:10">
      <c r="A2722" s="1">
        <v>951</v>
      </c>
      <c r="B2722" s="1">
        <v>3</v>
      </c>
      <c r="C2722" s="1">
        <v>62</v>
      </c>
      <c r="D2722" s="1">
        <v>2</v>
      </c>
      <c r="E2722" s="1">
        <v>3499.99</v>
      </c>
      <c r="F2722" s="1">
        <v>0.2</v>
      </c>
      <c r="G2722">
        <f t="shared" si="42"/>
        <v>6999.78</v>
      </c>
      <c r="H2722" t="str">
        <f>VLOOKUP(C2722,[1]products!$A:$B,2,FALSE)</f>
        <v>Trek Boone 7 - 2017</v>
      </c>
      <c r="I2722">
        <f>VLOOKUP(C2722,[1]products!$A:$D,4,FALSE)</f>
        <v>4</v>
      </c>
      <c r="J2722" t="str">
        <f>VLOOKUP(I2722,[2]categories!$A$1:$B$8,2,FALSE)</f>
        <v>Cyclocross Bicycles</v>
      </c>
    </row>
    <row r="2723" customHeight="1" spans="1:10">
      <c r="A2723" s="1">
        <v>952</v>
      </c>
      <c r="B2723" s="1">
        <v>1</v>
      </c>
      <c r="C2723" s="1">
        <v>20</v>
      </c>
      <c r="D2723" s="1">
        <v>2</v>
      </c>
      <c r="E2723" s="1">
        <v>599.99</v>
      </c>
      <c r="F2723" s="1">
        <v>0.07</v>
      </c>
      <c r="G2723">
        <f t="shared" si="42"/>
        <v>1199.91</v>
      </c>
      <c r="H2723" t="str">
        <f>VLOOKUP(C2723,[1]products!$A:$B,2,FALSE)</f>
        <v>Electra Townie Original 7D EQ - Women's - 2016</v>
      </c>
      <c r="I2723">
        <f>VLOOKUP(C2723,[1]products!$A:$D,4,FALSE)</f>
        <v>3</v>
      </c>
      <c r="J2723" t="str">
        <f>VLOOKUP(I2723,[2]categories!$A$1:$B$8,2,FALSE)</f>
        <v>Cruisers Bicycles</v>
      </c>
    </row>
    <row r="2724" customHeight="1" spans="1:10">
      <c r="A2724" s="1">
        <v>952</v>
      </c>
      <c r="B2724" s="1">
        <v>2</v>
      </c>
      <c r="C2724" s="1">
        <v>57</v>
      </c>
      <c r="D2724" s="1">
        <v>1</v>
      </c>
      <c r="E2724" s="1">
        <v>1999.99</v>
      </c>
      <c r="F2724" s="1">
        <v>0.05</v>
      </c>
      <c r="G2724">
        <f t="shared" si="42"/>
        <v>1999.94</v>
      </c>
      <c r="H2724" t="str">
        <f>VLOOKUP(C2724,[1]products!$A:$B,2,FALSE)</f>
        <v>Trek Emonda S 5 - 2017</v>
      </c>
      <c r="I2724">
        <f>VLOOKUP(C2724,[1]products!$A:$D,4,FALSE)</f>
        <v>7</v>
      </c>
      <c r="J2724" t="str">
        <f>VLOOKUP(I2724,[2]categories!$A$1:$B$8,2,FALSE)</f>
        <v>Road Bikes</v>
      </c>
    </row>
    <row r="2725" customHeight="1" spans="1:10">
      <c r="A2725" s="1">
        <v>953</v>
      </c>
      <c r="B2725" s="1">
        <v>1</v>
      </c>
      <c r="C2725" s="1">
        <v>23</v>
      </c>
      <c r="D2725" s="1">
        <v>2</v>
      </c>
      <c r="E2725" s="1">
        <v>299.99</v>
      </c>
      <c r="F2725" s="1">
        <v>0.07</v>
      </c>
      <c r="G2725">
        <f t="shared" si="42"/>
        <v>599.91</v>
      </c>
      <c r="H2725" t="str">
        <f>VLOOKUP(C2725,[1]products!$A:$B,2,FALSE)</f>
        <v>Electra Girl's Hawaii 1 (20-inch) - 2015/2016</v>
      </c>
      <c r="I2725">
        <f>VLOOKUP(C2725,[1]products!$A:$D,4,FALSE)</f>
        <v>1</v>
      </c>
      <c r="J2725" t="str">
        <f>VLOOKUP(I2725,[2]categories!$A$1:$B$8,2,FALSE)</f>
        <v>Children Bicycles</v>
      </c>
    </row>
    <row r="2726" customHeight="1" spans="1:10">
      <c r="A2726" s="1">
        <v>954</v>
      </c>
      <c r="B2726" s="1">
        <v>1</v>
      </c>
      <c r="C2726" s="1">
        <v>4</v>
      </c>
      <c r="D2726" s="1">
        <v>2</v>
      </c>
      <c r="E2726" s="1">
        <v>2899.99</v>
      </c>
      <c r="F2726" s="1">
        <v>0.1</v>
      </c>
      <c r="G2726">
        <f t="shared" si="42"/>
        <v>5799.88</v>
      </c>
      <c r="H2726" t="str">
        <f>VLOOKUP(C2726,[1]products!$A:$B,2,FALSE)</f>
        <v>Trek Fuel EX 8 29 - 2016</v>
      </c>
      <c r="I2726">
        <f>VLOOKUP(C2726,[1]products!$A:$D,4,FALSE)</f>
        <v>6</v>
      </c>
      <c r="J2726" t="str">
        <f>VLOOKUP(I2726,[2]categories!$A$1:$B$8,2,FALSE)</f>
        <v>Mountain Bikes</v>
      </c>
    </row>
    <row r="2727" customHeight="1" spans="1:10">
      <c r="A2727" s="1">
        <v>955</v>
      </c>
      <c r="B2727" s="1">
        <v>1</v>
      </c>
      <c r="C2727" s="1">
        <v>43</v>
      </c>
      <c r="D2727" s="1">
        <v>1</v>
      </c>
      <c r="E2727" s="1">
        <v>5299.99</v>
      </c>
      <c r="F2727" s="1">
        <v>0.1</v>
      </c>
      <c r="G2727">
        <f t="shared" si="42"/>
        <v>5299.89</v>
      </c>
      <c r="H2727" t="str">
        <f>VLOOKUP(C2727,[1]products!$A:$B,2,FALSE)</f>
        <v>Trek Fuel EX 9.8 27.5 Plus - 2017</v>
      </c>
      <c r="I2727">
        <f>VLOOKUP(C2727,[1]products!$A:$D,4,FALSE)</f>
        <v>6</v>
      </c>
      <c r="J2727" t="str">
        <f>VLOOKUP(I2727,[2]categories!$A$1:$B$8,2,FALSE)</f>
        <v>Mountain Bikes</v>
      </c>
    </row>
    <row r="2728" customHeight="1" spans="1:10">
      <c r="A2728" s="1">
        <v>955</v>
      </c>
      <c r="B2728" s="1">
        <v>2</v>
      </c>
      <c r="C2728" s="1">
        <v>31</v>
      </c>
      <c r="D2728" s="1">
        <v>2</v>
      </c>
      <c r="E2728" s="1">
        <v>1632.99</v>
      </c>
      <c r="F2728" s="1">
        <v>0.07</v>
      </c>
      <c r="G2728">
        <f t="shared" si="42"/>
        <v>3265.91</v>
      </c>
      <c r="H2728" t="str">
        <f>VLOOKUP(C2728,[1]products!$A:$B,2,FALSE)</f>
        <v>Surly Wednesday - 2017</v>
      </c>
      <c r="I2728">
        <f>VLOOKUP(C2728,[1]products!$A:$D,4,FALSE)</f>
        <v>6</v>
      </c>
      <c r="J2728" t="str">
        <f>VLOOKUP(I2728,[2]categories!$A$1:$B$8,2,FALSE)</f>
        <v>Mountain Bikes</v>
      </c>
    </row>
    <row r="2729" customHeight="1" spans="1:10">
      <c r="A2729" s="1">
        <v>955</v>
      </c>
      <c r="B2729" s="1">
        <v>3</v>
      </c>
      <c r="C2729" s="1">
        <v>96</v>
      </c>
      <c r="D2729" s="1">
        <v>1</v>
      </c>
      <c r="E2729" s="1">
        <v>349.99</v>
      </c>
      <c r="F2729" s="1">
        <v>0.05</v>
      </c>
      <c r="G2729">
        <f t="shared" si="42"/>
        <v>349.94</v>
      </c>
      <c r="H2729" t="str">
        <f>VLOOKUP(C2729,[1]products!$A:$B,2,FALSE)</f>
        <v>Electra Moto 3i (20-inch) - Boy's - 2017</v>
      </c>
      <c r="I2729">
        <f>VLOOKUP(C2729,[1]products!$A:$D,4,FALSE)</f>
        <v>1</v>
      </c>
      <c r="J2729" t="str">
        <f>VLOOKUP(I2729,[2]categories!$A$1:$B$8,2,FALSE)</f>
        <v>Children Bicycles</v>
      </c>
    </row>
    <row r="2730" customHeight="1" spans="1:10">
      <c r="A2730" s="1">
        <v>955</v>
      </c>
      <c r="B2730" s="1">
        <v>4</v>
      </c>
      <c r="C2730" s="1">
        <v>63</v>
      </c>
      <c r="D2730" s="1">
        <v>1</v>
      </c>
      <c r="E2730" s="1">
        <v>3499.99</v>
      </c>
      <c r="F2730" s="1">
        <v>0.2</v>
      </c>
      <c r="G2730">
        <f t="shared" si="42"/>
        <v>3499.79</v>
      </c>
      <c r="H2730" t="str">
        <f>VLOOKUP(C2730,[1]products!$A:$B,2,FALSE)</f>
        <v>Trek Boone Race Shop Limited - 2017</v>
      </c>
      <c r="I2730">
        <f>VLOOKUP(C2730,[1]products!$A:$D,4,FALSE)</f>
        <v>4</v>
      </c>
      <c r="J2730" t="str">
        <f>VLOOKUP(I2730,[2]categories!$A$1:$B$8,2,FALSE)</f>
        <v>Cyclocross Bicycles</v>
      </c>
    </row>
    <row r="2731" customHeight="1" spans="1:10">
      <c r="A2731" s="1">
        <v>955</v>
      </c>
      <c r="B2731" s="1">
        <v>5</v>
      </c>
      <c r="C2731" s="1">
        <v>88</v>
      </c>
      <c r="D2731" s="1">
        <v>1</v>
      </c>
      <c r="E2731" s="1">
        <v>189.99</v>
      </c>
      <c r="F2731" s="1">
        <v>0.05</v>
      </c>
      <c r="G2731">
        <f t="shared" si="42"/>
        <v>189.94</v>
      </c>
      <c r="H2731" t="str">
        <f>VLOOKUP(C2731,[1]products!$A:$B,2,FALSE)</f>
        <v>Trek Precaliber 12 Girls - 2017</v>
      </c>
      <c r="I2731">
        <f>VLOOKUP(C2731,[1]products!$A:$D,4,FALSE)</f>
        <v>1</v>
      </c>
      <c r="J2731" t="str">
        <f>VLOOKUP(I2731,[2]categories!$A$1:$B$8,2,FALSE)</f>
        <v>Children Bicycles</v>
      </c>
    </row>
    <row r="2732" customHeight="1" spans="1:10">
      <c r="A2732" s="1">
        <v>956</v>
      </c>
      <c r="B2732" s="1">
        <v>1</v>
      </c>
      <c r="C2732" s="1">
        <v>76</v>
      </c>
      <c r="D2732" s="1">
        <v>2</v>
      </c>
      <c r="E2732" s="1">
        <v>299.99</v>
      </c>
      <c r="F2732" s="1">
        <v>0.1</v>
      </c>
      <c r="G2732">
        <f t="shared" si="42"/>
        <v>599.88</v>
      </c>
      <c r="H2732" t="str">
        <f>VLOOKUP(C2732,[1]products!$A:$B,2,FALSE)</f>
        <v>Electra Girl's Hawaii 1 16" - 2017</v>
      </c>
      <c r="I2732">
        <f>VLOOKUP(C2732,[1]products!$A:$D,4,FALSE)</f>
        <v>3</v>
      </c>
      <c r="J2732" t="str">
        <f>VLOOKUP(I2732,[2]categories!$A$1:$B$8,2,FALSE)</f>
        <v>Cruisers Bicycles</v>
      </c>
    </row>
    <row r="2733" customHeight="1" spans="1:10">
      <c r="A2733" s="1">
        <v>956</v>
      </c>
      <c r="B2733" s="1">
        <v>2</v>
      </c>
      <c r="C2733" s="1">
        <v>23</v>
      </c>
      <c r="D2733" s="1">
        <v>1</v>
      </c>
      <c r="E2733" s="1">
        <v>299.99</v>
      </c>
      <c r="F2733" s="1">
        <v>0.2</v>
      </c>
      <c r="G2733">
        <f t="shared" si="42"/>
        <v>299.79</v>
      </c>
      <c r="H2733" t="str">
        <f>VLOOKUP(C2733,[1]products!$A:$B,2,FALSE)</f>
        <v>Electra Girl's Hawaii 1 (20-inch) - 2015/2016</v>
      </c>
      <c r="I2733">
        <f>VLOOKUP(C2733,[1]products!$A:$D,4,FALSE)</f>
        <v>1</v>
      </c>
      <c r="J2733" t="str">
        <f>VLOOKUP(I2733,[2]categories!$A$1:$B$8,2,FALSE)</f>
        <v>Children Bicycles</v>
      </c>
    </row>
    <row r="2734" customHeight="1" spans="1:10">
      <c r="A2734" s="1">
        <v>956</v>
      </c>
      <c r="B2734" s="1">
        <v>3</v>
      </c>
      <c r="C2734" s="1">
        <v>73</v>
      </c>
      <c r="D2734" s="1">
        <v>2</v>
      </c>
      <c r="E2734" s="1">
        <v>749.99</v>
      </c>
      <c r="F2734" s="1">
        <v>0.1</v>
      </c>
      <c r="G2734">
        <f t="shared" si="42"/>
        <v>1499.88</v>
      </c>
      <c r="H2734" t="str">
        <f>VLOOKUP(C2734,[1]products!$A:$B,2,FALSE)</f>
        <v>Sun Bicycles Brickell Tandem 7 - 2017</v>
      </c>
      <c r="I2734">
        <f>VLOOKUP(C2734,[1]products!$A:$D,4,FALSE)</f>
        <v>3</v>
      </c>
      <c r="J2734" t="str">
        <f>VLOOKUP(I2734,[2]categories!$A$1:$B$8,2,FALSE)</f>
        <v>Cruisers Bicycles</v>
      </c>
    </row>
    <row r="2735" customHeight="1" spans="1:10">
      <c r="A2735" s="1">
        <v>956</v>
      </c>
      <c r="B2735" s="1">
        <v>4</v>
      </c>
      <c r="C2735" s="1">
        <v>13</v>
      </c>
      <c r="D2735" s="1">
        <v>2</v>
      </c>
      <c r="E2735" s="1">
        <v>269.99</v>
      </c>
      <c r="F2735" s="1">
        <v>0.2</v>
      </c>
      <c r="G2735">
        <f t="shared" si="42"/>
        <v>539.78</v>
      </c>
      <c r="H2735" t="str">
        <f>VLOOKUP(C2735,[1]products!$A:$B,2,FALSE)</f>
        <v>Electra Cruiser 1 (24-Inch) - 2016</v>
      </c>
      <c r="I2735">
        <f>VLOOKUP(C2735,[1]products!$A:$D,4,FALSE)</f>
        <v>3</v>
      </c>
      <c r="J2735" t="str">
        <f>VLOOKUP(I2735,[2]categories!$A$1:$B$8,2,FALSE)</f>
        <v>Cruisers Bicycles</v>
      </c>
    </row>
    <row r="2736" customHeight="1" spans="1:10">
      <c r="A2736" s="1">
        <v>956</v>
      </c>
      <c r="B2736" s="1">
        <v>5</v>
      </c>
      <c r="C2736" s="1">
        <v>79</v>
      </c>
      <c r="D2736" s="1">
        <v>2</v>
      </c>
      <c r="E2736" s="1">
        <v>402.99</v>
      </c>
      <c r="F2736" s="1">
        <v>0.1</v>
      </c>
      <c r="G2736">
        <f t="shared" si="42"/>
        <v>805.88</v>
      </c>
      <c r="H2736" t="str">
        <f>VLOOKUP(C2736,[1]products!$A:$B,2,FALSE)</f>
        <v>Sun Bicycles Boardwalk (24-inch Wheels) - 2017</v>
      </c>
      <c r="I2736">
        <f>VLOOKUP(C2736,[1]products!$A:$D,4,FALSE)</f>
        <v>3</v>
      </c>
      <c r="J2736" t="str">
        <f>VLOOKUP(I2736,[2]categories!$A$1:$B$8,2,FALSE)</f>
        <v>Cruisers Bicycles</v>
      </c>
    </row>
    <row r="2737" customHeight="1" spans="1:10">
      <c r="A2737" s="1">
        <v>957</v>
      </c>
      <c r="B2737" s="1">
        <v>1</v>
      </c>
      <c r="C2737" s="1">
        <v>108</v>
      </c>
      <c r="D2737" s="1">
        <v>2</v>
      </c>
      <c r="E2737" s="1">
        <v>449.99</v>
      </c>
      <c r="F2737" s="1">
        <v>0.05</v>
      </c>
      <c r="G2737">
        <f t="shared" si="42"/>
        <v>899.93</v>
      </c>
      <c r="H2737" t="str">
        <f>VLOOKUP(C2737,[1]products!$A:$B,2,FALSE)</f>
        <v>Sun Bicycles Cruz 3 - Women's - 2017</v>
      </c>
      <c r="I2737">
        <f>VLOOKUP(C2737,[1]products!$A:$D,4,FALSE)</f>
        <v>2</v>
      </c>
      <c r="J2737" t="str">
        <f>VLOOKUP(I2737,[2]categories!$A$1:$B$8,2,FALSE)</f>
        <v>Comfort Bicycles</v>
      </c>
    </row>
    <row r="2738" customHeight="1" spans="1:10">
      <c r="A2738" s="1">
        <v>957</v>
      </c>
      <c r="B2738" s="1">
        <v>2</v>
      </c>
      <c r="C2738" s="1">
        <v>14</v>
      </c>
      <c r="D2738" s="1">
        <v>2</v>
      </c>
      <c r="E2738" s="1">
        <v>269.99</v>
      </c>
      <c r="F2738" s="1">
        <v>0.07</v>
      </c>
      <c r="G2738">
        <f t="shared" si="42"/>
        <v>539.91</v>
      </c>
      <c r="H2738" t="str">
        <f>VLOOKUP(C2738,[1]products!$A:$B,2,FALSE)</f>
        <v>Electra Girl's Hawaii 1 (16-inch) - 2015/2016</v>
      </c>
      <c r="I2738">
        <f>VLOOKUP(C2738,[1]products!$A:$D,4,FALSE)</f>
        <v>3</v>
      </c>
      <c r="J2738" t="str">
        <f>VLOOKUP(I2738,[2]categories!$A$1:$B$8,2,FALSE)</f>
        <v>Cruisers Bicycles</v>
      </c>
    </row>
    <row r="2739" customHeight="1" spans="1:10">
      <c r="A2739" s="1">
        <v>957</v>
      </c>
      <c r="B2739" s="1">
        <v>3</v>
      </c>
      <c r="C2739" s="1">
        <v>70</v>
      </c>
      <c r="D2739" s="1">
        <v>2</v>
      </c>
      <c r="E2739" s="1">
        <v>659.99</v>
      </c>
      <c r="F2739" s="1">
        <v>0.05</v>
      </c>
      <c r="G2739">
        <f t="shared" si="42"/>
        <v>1319.93</v>
      </c>
      <c r="H2739" t="str">
        <f>VLOOKUP(C2739,[1]products!$A:$B,2,FALSE)</f>
        <v>Electra Amsterdam Original 3i - 2015/2017</v>
      </c>
      <c r="I2739">
        <f>VLOOKUP(C2739,[1]products!$A:$D,4,FALSE)</f>
        <v>3</v>
      </c>
      <c r="J2739" t="str">
        <f>VLOOKUP(I2739,[2]categories!$A$1:$B$8,2,FALSE)</f>
        <v>Cruisers Bicycles</v>
      </c>
    </row>
    <row r="2740" customHeight="1" spans="1:10">
      <c r="A2740" s="1">
        <v>957</v>
      </c>
      <c r="B2740" s="1">
        <v>4</v>
      </c>
      <c r="C2740" s="1">
        <v>66</v>
      </c>
      <c r="D2740" s="1">
        <v>1</v>
      </c>
      <c r="E2740" s="1">
        <v>250.99</v>
      </c>
      <c r="F2740" s="1">
        <v>0.07</v>
      </c>
      <c r="G2740">
        <f t="shared" si="42"/>
        <v>250.92</v>
      </c>
      <c r="H2740" t="str">
        <f>VLOOKUP(C2740,[1]products!$A:$B,2,FALSE)</f>
        <v>Sun Bicycles Revolutions 24 - 2017</v>
      </c>
      <c r="I2740">
        <f>VLOOKUP(C2740,[1]products!$A:$D,4,FALSE)</f>
        <v>3</v>
      </c>
      <c r="J2740" t="str">
        <f>VLOOKUP(I2740,[2]categories!$A$1:$B$8,2,FALSE)</f>
        <v>Cruisers Bicycles</v>
      </c>
    </row>
    <row r="2741" customHeight="1" spans="1:10">
      <c r="A2741" s="1">
        <v>957</v>
      </c>
      <c r="B2741" s="1">
        <v>5</v>
      </c>
      <c r="C2741" s="1">
        <v>111</v>
      </c>
      <c r="D2741" s="1">
        <v>1</v>
      </c>
      <c r="E2741" s="1">
        <v>470.99</v>
      </c>
      <c r="F2741" s="1">
        <v>0.05</v>
      </c>
      <c r="G2741">
        <f t="shared" si="42"/>
        <v>470.94</v>
      </c>
      <c r="H2741" t="str">
        <f>VLOOKUP(C2741,[1]products!$A:$B,2,FALSE)</f>
        <v>Sun Bicycles Drifter 7 - Women's - 2017</v>
      </c>
      <c r="I2741">
        <f>VLOOKUP(C2741,[1]products!$A:$D,4,FALSE)</f>
        <v>2</v>
      </c>
      <c r="J2741" t="str">
        <f>VLOOKUP(I2741,[2]categories!$A$1:$B$8,2,FALSE)</f>
        <v>Comfort Bicycles</v>
      </c>
    </row>
    <row r="2742" customHeight="1" spans="1:10">
      <c r="A2742" s="1">
        <v>958</v>
      </c>
      <c r="B2742" s="1">
        <v>1</v>
      </c>
      <c r="C2742" s="1">
        <v>51</v>
      </c>
      <c r="D2742" s="1">
        <v>1</v>
      </c>
      <c r="E2742" s="1">
        <v>6499.99</v>
      </c>
      <c r="F2742" s="1">
        <v>0.1</v>
      </c>
      <c r="G2742">
        <f t="shared" si="42"/>
        <v>6499.89</v>
      </c>
      <c r="H2742" t="str">
        <f>VLOOKUP(C2742,[1]products!$A:$B,2,FALSE)</f>
        <v>Trek Silque SLR 8 Women's - 2017</v>
      </c>
      <c r="I2742">
        <f>VLOOKUP(C2742,[1]products!$A:$D,4,FALSE)</f>
        <v>7</v>
      </c>
      <c r="J2742" t="str">
        <f>VLOOKUP(I2742,[2]categories!$A$1:$B$8,2,FALSE)</f>
        <v>Road Bikes</v>
      </c>
    </row>
    <row r="2743" customHeight="1" spans="1:10">
      <c r="A2743" s="1">
        <v>958</v>
      </c>
      <c r="B2743" s="1">
        <v>2</v>
      </c>
      <c r="C2743" s="1">
        <v>76</v>
      </c>
      <c r="D2743" s="1">
        <v>1</v>
      </c>
      <c r="E2743" s="1">
        <v>299.99</v>
      </c>
      <c r="F2743" s="1">
        <v>0.2</v>
      </c>
      <c r="G2743">
        <f t="shared" si="42"/>
        <v>299.79</v>
      </c>
      <c r="H2743" t="str">
        <f>VLOOKUP(C2743,[1]products!$A:$B,2,FALSE)</f>
        <v>Electra Girl's Hawaii 1 16" - 2017</v>
      </c>
      <c r="I2743">
        <f>VLOOKUP(C2743,[1]products!$A:$D,4,FALSE)</f>
        <v>3</v>
      </c>
      <c r="J2743" t="str">
        <f>VLOOKUP(I2743,[2]categories!$A$1:$B$8,2,FALSE)</f>
        <v>Cruisers Bicycles</v>
      </c>
    </row>
    <row r="2744" customHeight="1" spans="1:10">
      <c r="A2744" s="1">
        <v>959</v>
      </c>
      <c r="B2744" s="1">
        <v>1</v>
      </c>
      <c r="C2744" s="1">
        <v>15</v>
      </c>
      <c r="D2744" s="1">
        <v>1</v>
      </c>
      <c r="E2744" s="1">
        <v>529.99</v>
      </c>
      <c r="F2744" s="1">
        <v>0.2</v>
      </c>
      <c r="G2744">
        <f t="shared" si="42"/>
        <v>529.79</v>
      </c>
      <c r="H2744" t="str">
        <f>VLOOKUP(C2744,[1]products!$A:$B,2,FALSE)</f>
        <v>Electra Moto 1 - 2016</v>
      </c>
      <c r="I2744">
        <f>VLOOKUP(C2744,[1]products!$A:$D,4,FALSE)</f>
        <v>3</v>
      </c>
      <c r="J2744" t="str">
        <f>VLOOKUP(I2744,[2]categories!$A$1:$B$8,2,FALSE)</f>
        <v>Cruisers Bicycles</v>
      </c>
    </row>
    <row r="2745" customHeight="1" spans="1:10">
      <c r="A2745" s="1">
        <v>959</v>
      </c>
      <c r="B2745" s="1">
        <v>2</v>
      </c>
      <c r="C2745" s="1">
        <v>72</v>
      </c>
      <c r="D2745" s="1">
        <v>1</v>
      </c>
      <c r="E2745" s="1">
        <v>619.99</v>
      </c>
      <c r="F2745" s="1">
        <v>0.1</v>
      </c>
      <c r="G2745">
        <f t="shared" si="42"/>
        <v>619.89</v>
      </c>
      <c r="H2745" t="str">
        <f>VLOOKUP(C2745,[1]products!$A:$B,2,FALSE)</f>
        <v>Sun Bicycles Biscayne Tandem 7 - 2017</v>
      </c>
      <c r="I2745">
        <f>VLOOKUP(C2745,[1]products!$A:$D,4,FALSE)</f>
        <v>3</v>
      </c>
      <c r="J2745" t="str">
        <f>VLOOKUP(I2745,[2]categories!$A$1:$B$8,2,FALSE)</f>
        <v>Cruisers Bicycles</v>
      </c>
    </row>
    <row r="2746" customHeight="1" spans="1:10">
      <c r="A2746" s="1">
        <v>959</v>
      </c>
      <c r="B2746" s="1">
        <v>3</v>
      </c>
      <c r="C2746" s="1">
        <v>41</v>
      </c>
      <c r="D2746" s="1">
        <v>1</v>
      </c>
      <c r="E2746" s="1">
        <v>1469.99</v>
      </c>
      <c r="F2746" s="1">
        <v>0.05</v>
      </c>
      <c r="G2746">
        <f t="shared" si="42"/>
        <v>1469.94</v>
      </c>
      <c r="H2746" t="str">
        <f>VLOOKUP(C2746,[1]products!$A:$B,2,FALSE)</f>
        <v>Haro Shift R3 - 2017</v>
      </c>
      <c r="I2746">
        <f>VLOOKUP(C2746,[1]products!$A:$D,4,FALSE)</f>
        <v>6</v>
      </c>
      <c r="J2746" t="str">
        <f>VLOOKUP(I2746,[2]categories!$A$1:$B$8,2,FALSE)</f>
        <v>Mountain Bikes</v>
      </c>
    </row>
    <row r="2747" customHeight="1" spans="1:10">
      <c r="A2747" s="1">
        <v>959</v>
      </c>
      <c r="B2747" s="1">
        <v>4</v>
      </c>
      <c r="C2747" s="1">
        <v>65</v>
      </c>
      <c r="D2747" s="1">
        <v>1</v>
      </c>
      <c r="E2747" s="1">
        <v>346.99</v>
      </c>
      <c r="F2747" s="1">
        <v>0.07</v>
      </c>
      <c r="G2747">
        <f t="shared" si="42"/>
        <v>346.92</v>
      </c>
      <c r="H2747" t="str">
        <f>VLOOKUP(C2747,[1]products!$A:$B,2,FALSE)</f>
        <v>Sun Bicycles Lil Bolt Type-R - 2017</v>
      </c>
      <c r="I2747">
        <f>VLOOKUP(C2747,[1]products!$A:$D,4,FALSE)</f>
        <v>3</v>
      </c>
      <c r="J2747" t="str">
        <f>VLOOKUP(I2747,[2]categories!$A$1:$B$8,2,FALSE)</f>
        <v>Cruisers Bicycles</v>
      </c>
    </row>
    <row r="2748" customHeight="1" spans="1:10">
      <c r="A2748" s="1">
        <v>960</v>
      </c>
      <c r="B2748" s="1">
        <v>1</v>
      </c>
      <c r="C2748" s="1">
        <v>73</v>
      </c>
      <c r="D2748" s="1">
        <v>2</v>
      </c>
      <c r="E2748" s="1">
        <v>749.99</v>
      </c>
      <c r="F2748" s="1">
        <v>0.05</v>
      </c>
      <c r="G2748">
        <f t="shared" si="42"/>
        <v>1499.93</v>
      </c>
      <c r="H2748" t="str">
        <f>VLOOKUP(C2748,[1]products!$A:$B,2,FALSE)</f>
        <v>Sun Bicycles Brickell Tandem 7 - 2017</v>
      </c>
      <c r="I2748">
        <f>VLOOKUP(C2748,[1]products!$A:$D,4,FALSE)</f>
        <v>3</v>
      </c>
      <c r="J2748" t="str">
        <f>VLOOKUP(I2748,[2]categories!$A$1:$B$8,2,FALSE)</f>
        <v>Cruisers Bicycles</v>
      </c>
    </row>
    <row r="2749" customHeight="1" spans="1:10">
      <c r="A2749" s="1">
        <v>960</v>
      </c>
      <c r="B2749" s="1">
        <v>2</v>
      </c>
      <c r="C2749" s="1">
        <v>52</v>
      </c>
      <c r="D2749" s="1">
        <v>1</v>
      </c>
      <c r="E2749" s="1">
        <v>875.99</v>
      </c>
      <c r="F2749" s="1">
        <v>0.1</v>
      </c>
      <c r="G2749">
        <f t="shared" si="42"/>
        <v>875.89</v>
      </c>
      <c r="H2749" t="str">
        <f>VLOOKUP(C2749,[1]products!$A:$B,2,FALSE)</f>
        <v>Surly Steamroller - 2017</v>
      </c>
      <c r="I2749">
        <f>VLOOKUP(C2749,[1]products!$A:$D,4,FALSE)</f>
        <v>7</v>
      </c>
      <c r="J2749" t="str">
        <f>VLOOKUP(I2749,[2]categories!$A$1:$B$8,2,FALSE)</f>
        <v>Road Bikes</v>
      </c>
    </row>
    <row r="2750" customHeight="1" spans="1:10">
      <c r="A2750" s="1">
        <v>960</v>
      </c>
      <c r="B2750" s="1">
        <v>3</v>
      </c>
      <c r="C2750" s="1">
        <v>48</v>
      </c>
      <c r="D2750" s="1">
        <v>2</v>
      </c>
      <c r="E2750" s="1">
        <v>1499.99</v>
      </c>
      <c r="F2750" s="1">
        <v>0.05</v>
      </c>
      <c r="G2750">
        <f t="shared" si="42"/>
        <v>2999.93</v>
      </c>
      <c r="H2750" t="str">
        <f>VLOOKUP(C2750,[1]products!$A:$B,2,FALSE)</f>
        <v>Trek Emonda S 4 - 2017</v>
      </c>
      <c r="I2750">
        <f>VLOOKUP(C2750,[1]products!$A:$D,4,FALSE)</f>
        <v>7</v>
      </c>
      <c r="J2750" t="str">
        <f>VLOOKUP(I2750,[2]categories!$A$1:$B$8,2,FALSE)</f>
        <v>Road Bikes</v>
      </c>
    </row>
    <row r="2751" customHeight="1" spans="1:10">
      <c r="A2751" s="1">
        <v>960</v>
      </c>
      <c r="B2751" s="1">
        <v>4</v>
      </c>
      <c r="C2751" s="1">
        <v>83</v>
      </c>
      <c r="D2751" s="1">
        <v>2</v>
      </c>
      <c r="E2751" s="1">
        <v>149.99</v>
      </c>
      <c r="F2751" s="1">
        <v>0.1</v>
      </c>
      <c r="G2751">
        <f t="shared" si="42"/>
        <v>299.88</v>
      </c>
      <c r="H2751" t="str">
        <f>VLOOKUP(C2751,[1]products!$A:$B,2,FALSE)</f>
        <v>Trek Boy's Kickster - 2015/2017</v>
      </c>
      <c r="I2751">
        <f>VLOOKUP(C2751,[1]products!$A:$D,4,FALSE)</f>
        <v>1</v>
      </c>
      <c r="J2751" t="str">
        <f>VLOOKUP(I2751,[2]categories!$A$1:$B$8,2,FALSE)</f>
        <v>Children Bicycles</v>
      </c>
    </row>
    <row r="2752" customHeight="1" spans="1:10">
      <c r="A2752" s="1">
        <v>961</v>
      </c>
      <c r="B2752" s="1">
        <v>1</v>
      </c>
      <c r="C2752" s="1">
        <v>105</v>
      </c>
      <c r="D2752" s="1">
        <v>1</v>
      </c>
      <c r="E2752" s="1">
        <v>533.99</v>
      </c>
      <c r="F2752" s="1">
        <v>0.1</v>
      </c>
      <c r="G2752">
        <f t="shared" si="42"/>
        <v>533.89</v>
      </c>
      <c r="H2752" t="str">
        <f>VLOOKUP(C2752,[1]products!$A:$B,2,FALSE)</f>
        <v>Sun Bicycles Streamway 7 - 2017</v>
      </c>
      <c r="I2752">
        <f>VLOOKUP(C2752,[1]products!$A:$D,4,FALSE)</f>
        <v>2</v>
      </c>
      <c r="J2752" t="str">
        <f>VLOOKUP(I2752,[2]categories!$A$1:$B$8,2,FALSE)</f>
        <v>Comfort Bicycles</v>
      </c>
    </row>
    <row r="2753" customHeight="1" spans="1:10">
      <c r="A2753" s="1">
        <v>961</v>
      </c>
      <c r="B2753" s="1">
        <v>2</v>
      </c>
      <c r="C2753" s="1">
        <v>47</v>
      </c>
      <c r="D2753" s="1">
        <v>2</v>
      </c>
      <c r="E2753" s="1">
        <v>5299.99</v>
      </c>
      <c r="F2753" s="1">
        <v>0.2</v>
      </c>
      <c r="G2753">
        <f t="shared" si="42"/>
        <v>10599.78</v>
      </c>
      <c r="H2753" t="str">
        <f>VLOOKUP(C2753,[1]products!$A:$B,2,FALSE)</f>
        <v>Trek Remedy 9.8 - 2017</v>
      </c>
      <c r="I2753">
        <f>VLOOKUP(C2753,[1]products!$A:$D,4,FALSE)</f>
        <v>6</v>
      </c>
      <c r="J2753" t="str">
        <f>VLOOKUP(I2753,[2]categories!$A$1:$B$8,2,FALSE)</f>
        <v>Mountain Bikes</v>
      </c>
    </row>
    <row r="2754" customHeight="1" spans="1:10">
      <c r="A2754" s="1">
        <v>961</v>
      </c>
      <c r="B2754" s="1">
        <v>3</v>
      </c>
      <c r="C2754" s="1">
        <v>65</v>
      </c>
      <c r="D2754" s="1">
        <v>2</v>
      </c>
      <c r="E2754" s="1">
        <v>346.99</v>
      </c>
      <c r="F2754" s="1">
        <v>0.07</v>
      </c>
      <c r="G2754">
        <f t="shared" si="42"/>
        <v>693.91</v>
      </c>
      <c r="H2754" t="str">
        <f>VLOOKUP(C2754,[1]products!$A:$B,2,FALSE)</f>
        <v>Sun Bicycles Lil Bolt Type-R - 2017</v>
      </c>
      <c r="I2754">
        <f>VLOOKUP(C2754,[1]products!$A:$D,4,FALSE)</f>
        <v>3</v>
      </c>
      <c r="J2754" t="str">
        <f>VLOOKUP(I2754,[2]categories!$A$1:$B$8,2,FALSE)</f>
        <v>Cruisers Bicycles</v>
      </c>
    </row>
    <row r="2755" customHeight="1" spans="1:10">
      <c r="A2755" s="1">
        <v>962</v>
      </c>
      <c r="B2755" s="1">
        <v>1</v>
      </c>
      <c r="C2755" s="1">
        <v>65</v>
      </c>
      <c r="D2755" s="1">
        <v>2</v>
      </c>
      <c r="E2755" s="1">
        <v>346.99</v>
      </c>
      <c r="F2755" s="1">
        <v>0.07</v>
      </c>
      <c r="G2755">
        <f t="shared" ref="G2755:G2818" si="43">(E2755*D2755)-F2755</f>
        <v>693.91</v>
      </c>
      <c r="H2755" t="str">
        <f>VLOOKUP(C2755,[1]products!$A:$B,2,FALSE)</f>
        <v>Sun Bicycles Lil Bolt Type-R - 2017</v>
      </c>
      <c r="I2755">
        <f>VLOOKUP(C2755,[1]products!$A:$D,4,FALSE)</f>
        <v>3</v>
      </c>
      <c r="J2755" t="str">
        <f>VLOOKUP(I2755,[2]categories!$A$1:$B$8,2,FALSE)</f>
        <v>Cruisers Bicycles</v>
      </c>
    </row>
    <row r="2756" customHeight="1" spans="1:10">
      <c r="A2756" s="1">
        <v>962</v>
      </c>
      <c r="B2756" s="1">
        <v>2</v>
      </c>
      <c r="C2756" s="1">
        <v>64</v>
      </c>
      <c r="D2756" s="1">
        <v>2</v>
      </c>
      <c r="E2756" s="1">
        <v>489.99</v>
      </c>
      <c r="F2756" s="1">
        <v>0.07</v>
      </c>
      <c r="G2756">
        <f t="shared" si="43"/>
        <v>979.91</v>
      </c>
      <c r="H2756" t="str">
        <f>VLOOKUP(C2756,[1]products!$A:$B,2,FALSE)</f>
        <v>Electra Townie Original 7D - 2017</v>
      </c>
      <c r="I2756">
        <f>VLOOKUP(C2756,[1]products!$A:$D,4,FALSE)</f>
        <v>3</v>
      </c>
      <c r="J2756" t="str">
        <f>VLOOKUP(I2756,[2]categories!$A$1:$B$8,2,FALSE)</f>
        <v>Cruisers Bicycles</v>
      </c>
    </row>
    <row r="2757" customHeight="1" spans="1:10">
      <c r="A2757" s="1">
        <v>963</v>
      </c>
      <c r="B2757" s="1">
        <v>1</v>
      </c>
      <c r="C2757" s="1">
        <v>4</v>
      </c>
      <c r="D2757" s="1">
        <v>1</v>
      </c>
      <c r="E2757" s="1">
        <v>2899.99</v>
      </c>
      <c r="F2757" s="1">
        <v>0.07</v>
      </c>
      <c r="G2757">
        <f t="shared" si="43"/>
        <v>2899.92</v>
      </c>
      <c r="H2757" t="str">
        <f>VLOOKUP(C2757,[1]products!$A:$B,2,FALSE)</f>
        <v>Trek Fuel EX 8 29 - 2016</v>
      </c>
      <c r="I2757">
        <f>VLOOKUP(C2757,[1]products!$A:$D,4,FALSE)</f>
        <v>6</v>
      </c>
      <c r="J2757" t="str">
        <f>VLOOKUP(I2757,[2]categories!$A$1:$B$8,2,FALSE)</f>
        <v>Mountain Bikes</v>
      </c>
    </row>
    <row r="2758" customHeight="1" spans="1:10">
      <c r="A2758" s="1">
        <v>964</v>
      </c>
      <c r="B2758" s="1">
        <v>1</v>
      </c>
      <c r="C2758" s="1">
        <v>90</v>
      </c>
      <c r="D2758" s="1">
        <v>1</v>
      </c>
      <c r="E2758" s="1">
        <v>209.99</v>
      </c>
      <c r="F2758" s="1">
        <v>0.2</v>
      </c>
      <c r="G2758">
        <f t="shared" si="43"/>
        <v>209.79</v>
      </c>
      <c r="H2758" t="str">
        <f>VLOOKUP(C2758,[1]products!$A:$B,2,FALSE)</f>
        <v>Trek Precaliber 16 Girls - 2017</v>
      </c>
      <c r="I2758">
        <f>VLOOKUP(C2758,[1]products!$A:$D,4,FALSE)</f>
        <v>1</v>
      </c>
      <c r="J2758" t="str">
        <f>VLOOKUP(I2758,[2]categories!$A$1:$B$8,2,FALSE)</f>
        <v>Children Bicycles</v>
      </c>
    </row>
    <row r="2759" customHeight="1" spans="1:10">
      <c r="A2759" s="1">
        <v>964</v>
      </c>
      <c r="B2759" s="1">
        <v>2</v>
      </c>
      <c r="C2759" s="1">
        <v>74</v>
      </c>
      <c r="D2759" s="1">
        <v>1</v>
      </c>
      <c r="E2759" s="1">
        <v>439.99</v>
      </c>
      <c r="F2759" s="1">
        <v>0.2</v>
      </c>
      <c r="G2759">
        <f t="shared" si="43"/>
        <v>439.79</v>
      </c>
      <c r="H2759" t="str">
        <f>VLOOKUP(C2759,[1]products!$A:$B,2,FALSE)</f>
        <v>Electra Cruiser Lux 1 - 2017</v>
      </c>
      <c r="I2759">
        <f>VLOOKUP(C2759,[1]products!$A:$D,4,FALSE)</f>
        <v>3</v>
      </c>
      <c r="J2759" t="str">
        <f>VLOOKUP(I2759,[2]categories!$A$1:$B$8,2,FALSE)</f>
        <v>Cruisers Bicycles</v>
      </c>
    </row>
    <row r="2760" customHeight="1" spans="1:10">
      <c r="A2760" s="1">
        <v>965</v>
      </c>
      <c r="B2760" s="1">
        <v>1</v>
      </c>
      <c r="C2760" s="1">
        <v>90</v>
      </c>
      <c r="D2760" s="1">
        <v>2</v>
      </c>
      <c r="E2760" s="1">
        <v>209.99</v>
      </c>
      <c r="F2760" s="1">
        <v>0.1</v>
      </c>
      <c r="G2760">
        <f t="shared" si="43"/>
        <v>419.88</v>
      </c>
      <c r="H2760" t="str">
        <f>VLOOKUP(C2760,[1]products!$A:$B,2,FALSE)</f>
        <v>Trek Precaliber 16 Girls - 2017</v>
      </c>
      <c r="I2760">
        <f>VLOOKUP(C2760,[1]products!$A:$D,4,FALSE)</f>
        <v>1</v>
      </c>
      <c r="J2760" t="str">
        <f>VLOOKUP(I2760,[2]categories!$A$1:$B$8,2,FALSE)</f>
        <v>Children Bicycles</v>
      </c>
    </row>
    <row r="2761" customHeight="1" spans="1:10">
      <c r="A2761" s="1">
        <v>966</v>
      </c>
      <c r="B2761" s="1">
        <v>1</v>
      </c>
      <c r="C2761" s="1">
        <v>88</v>
      </c>
      <c r="D2761" s="1">
        <v>1</v>
      </c>
      <c r="E2761" s="1">
        <v>189.99</v>
      </c>
      <c r="F2761" s="1">
        <v>0.05</v>
      </c>
      <c r="G2761">
        <f t="shared" si="43"/>
        <v>189.94</v>
      </c>
      <c r="H2761" t="str">
        <f>VLOOKUP(C2761,[1]products!$A:$B,2,FALSE)</f>
        <v>Trek Precaliber 12 Girls - 2017</v>
      </c>
      <c r="I2761">
        <f>VLOOKUP(C2761,[1]products!$A:$D,4,FALSE)</f>
        <v>1</v>
      </c>
      <c r="J2761" t="str">
        <f>VLOOKUP(I2761,[2]categories!$A$1:$B$8,2,FALSE)</f>
        <v>Children Bicycles</v>
      </c>
    </row>
    <row r="2762" customHeight="1" spans="1:10">
      <c r="A2762" s="1">
        <v>966</v>
      </c>
      <c r="B2762" s="1">
        <v>2</v>
      </c>
      <c r="C2762" s="1">
        <v>73</v>
      </c>
      <c r="D2762" s="1">
        <v>1</v>
      </c>
      <c r="E2762" s="1">
        <v>749.99</v>
      </c>
      <c r="F2762" s="1">
        <v>0.07</v>
      </c>
      <c r="G2762">
        <f t="shared" si="43"/>
        <v>749.92</v>
      </c>
      <c r="H2762" t="str">
        <f>VLOOKUP(C2762,[1]products!$A:$B,2,FALSE)</f>
        <v>Sun Bicycles Brickell Tandem 7 - 2017</v>
      </c>
      <c r="I2762">
        <f>VLOOKUP(C2762,[1]products!$A:$D,4,FALSE)</f>
        <v>3</v>
      </c>
      <c r="J2762" t="str">
        <f>VLOOKUP(I2762,[2]categories!$A$1:$B$8,2,FALSE)</f>
        <v>Cruisers Bicycles</v>
      </c>
    </row>
    <row r="2763" customHeight="1" spans="1:10">
      <c r="A2763" s="1">
        <v>967</v>
      </c>
      <c r="B2763" s="1">
        <v>1</v>
      </c>
      <c r="C2763" s="1">
        <v>66</v>
      </c>
      <c r="D2763" s="1">
        <v>1</v>
      </c>
      <c r="E2763" s="1">
        <v>250.99</v>
      </c>
      <c r="F2763" s="1">
        <v>0.2</v>
      </c>
      <c r="G2763">
        <f t="shared" si="43"/>
        <v>250.79</v>
      </c>
      <c r="H2763" t="str">
        <f>VLOOKUP(C2763,[1]products!$A:$B,2,FALSE)</f>
        <v>Sun Bicycles Revolutions 24 - 2017</v>
      </c>
      <c r="I2763">
        <f>VLOOKUP(C2763,[1]products!$A:$D,4,FALSE)</f>
        <v>3</v>
      </c>
      <c r="J2763" t="str">
        <f>VLOOKUP(I2763,[2]categories!$A$1:$B$8,2,FALSE)</f>
        <v>Cruisers Bicycles</v>
      </c>
    </row>
    <row r="2764" customHeight="1" spans="1:10">
      <c r="A2764" s="1">
        <v>967</v>
      </c>
      <c r="B2764" s="1">
        <v>2</v>
      </c>
      <c r="C2764" s="1">
        <v>77</v>
      </c>
      <c r="D2764" s="1">
        <v>2</v>
      </c>
      <c r="E2764" s="1">
        <v>799.99</v>
      </c>
      <c r="F2764" s="1">
        <v>0.05</v>
      </c>
      <c r="G2764">
        <f t="shared" si="43"/>
        <v>1599.93</v>
      </c>
      <c r="H2764" t="str">
        <f>VLOOKUP(C2764,[1]products!$A:$B,2,FALSE)</f>
        <v>Electra Glam Punk 3i Ladies' - 2017</v>
      </c>
      <c r="I2764">
        <f>VLOOKUP(C2764,[1]products!$A:$D,4,FALSE)</f>
        <v>3</v>
      </c>
      <c r="J2764" t="str">
        <f>VLOOKUP(I2764,[2]categories!$A$1:$B$8,2,FALSE)</f>
        <v>Cruisers Bicycles</v>
      </c>
    </row>
    <row r="2765" customHeight="1" spans="1:10">
      <c r="A2765" s="1">
        <v>967</v>
      </c>
      <c r="B2765" s="1">
        <v>3</v>
      </c>
      <c r="C2765" s="1">
        <v>87</v>
      </c>
      <c r="D2765" s="1">
        <v>1</v>
      </c>
      <c r="E2765" s="1">
        <v>189.99</v>
      </c>
      <c r="F2765" s="1">
        <v>0.1</v>
      </c>
      <c r="G2765">
        <f t="shared" si="43"/>
        <v>189.89</v>
      </c>
      <c r="H2765" t="str">
        <f>VLOOKUP(C2765,[1]products!$A:$B,2,FALSE)</f>
        <v>Trek Precaliber 12 Boys - 2017</v>
      </c>
      <c r="I2765">
        <f>VLOOKUP(C2765,[1]products!$A:$D,4,FALSE)</f>
        <v>1</v>
      </c>
      <c r="J2765" t="str">
        <f>VLOOKUP(I2765,[2]categories!$A$1:$B$8,2,FALSE)</f>
        <v>Children Bicycles</v>
      </c>
    </row>
    <row r="2766" customHeight="1" spans="1:10">
      <c r="A2766" s="1">
        <v>967</v>
      </c>
      <c r="B2766" s="1">
        <v>4</v>
      </c>
      <c r="C2766" s="1">
        <v>103</v>
      </c>
      <c r="D2766" s="1">
        <v>1</v>
      </c>
      <c r="E2766" s="1">
        <v>551.99</v>
      </c>
      <c r="F2766" s="1">
        <v>0.2</v>
      </c>
      <c r="G2766">
        <f t="shared" si="43"/>
        <v>551.79</v>
      </c>
      <c r="H2766" t="str">
        <f>VLOOKUP(C2766,[1]products!$A:$B,2,FALSE)</f>
        <v>Sun Bicycles Streamway 3 - 2017</v>
      </c>
      <c r="I2766">
        <f>VLOOKUP(C2766,[1]products!$A:$D,4,FALSE)</f>
        <v>2</v>
      </c>
      <c r="J2766" t="str">
        <f>VLOOKUP(I2766,[2]categories!$A$1:$B$8,2,FALSE)</f>
        <v>Comfort Bicycles</v>
      </c>
    </row>
    <row r="2767" customHeight="1" spans="1:10">
      <c r="A2767" s="1">
        <v>968</v>
      </c>
      <c r="B2767" s="1">
        <v>1</v>
      </c>
      <c r="C2767" s="1">
        <v>87</v>
      </c>
      <c r="D2767" s="1">
        <v>1</v>
      </c>
      <c r="E2767" s="1">
        <v>189.99</v>
      </c>
      <c r="F2767" s="1">
        <v>0.2</v>
      </c>
      <c r="G2767">
        <f t="shared" si="43"/>
        <v>189.79</v>
      </c>
      <c r="H2767" t="str">
        <f>VLOOKUP(C2767,[1]products!$A:$B,2,FALSE)</f>
        <v>Trek Precaliber 12 Boys - 2017</v>
      </c>
      <c r="I2767">
        <f>VLOOKUP(C2767,[1]products!$A:$D,4,FALSE)</f>
        <v>1</v>
      </c>
      <c r="J2767" t="str">
        <f>VLOOKUP(I2767,[2]categories!$A$1:$B$8,2,FALSE)</f>
        <v>Children Bicycles</v>
      </c>
    </row>
    <row r="2768" customHeight="1" spans="1:10">
      <c r="A2768" s="1">
        <v>968</v>
      </c>
      <c r="B2768" s="1">
        <v>2</v>
      </c>
      <c r="C2768" s="1">
        <v>61</v>
      </c>
      <c r="D2768" s="1">
        <v>2</v>
      </c>
      <c r="E2768" s="1">
        <v>4999.99</v>
      </c>
      <c r="F2768" s="1">
        <v>0.05</v>
      </c>
      <c r="G2768">
        <f t="shared" si="43"/>
        <v>9999.93</v>
      </c>
      <c r="H2768" t="str">
        <f>VLOOKUP(C2768,[1]products!$A:$B,2,FALSE)</f>
        <v>Trek Powerfly 8 FS Plus - 2017</v>
      </c>
      <c r="I2768">
        <f>VLOOKUP(C2768,[1]products!$A:$D,4,FALSE)</f>
        <v>5</v>
      </c>
      <c r="J2768" t="str">
        <f>VLOOKUP(I2768,[2]categories!$A$1:$B$8,2,FALSE)</f>
        <v>Electric Bikes</v>
      </c>
    </row>
    <row r="2769" customHeight="1" spans="1:10">
      <c r="A2769" s="1">
        <v>968</v>
      </c>
      <c r="B2769" s="1">
        <v>3</v>
      </c>
      <c r="C2769" s="1">
        <v>10</v>
      </c>
      <c r="D2769" s="1">
        <v>2</v>
      </c>
      <c r="E2769" s="1">
        <v>1549</v>
      </c>
      <c r="F2769" s="1">
        <v>0.05</v>
      </c>
      <c r="G2769">
        <f t="shared" si="43"/>
        <v>3097.95</v>
      </c>
      <c r="H2769" t="str">
        <f>VLOOKUP(C2769,[1]products!$A:$B,2,FALSE)</f>
        <v>Surly Straggler - 2016</v>
      </c>
      <c r="I2769">
        <f>VLOOKUP(C2769,[1]products!$A:$D,4,FALSE)</f>
        <v>4</v>
      </c>
      <c r="J2769" t="str">
        <f>VLOOKUP(I2769,[2]categories!$A$1:$B$8,2,FALSE)</f>
        <v>Cyclocross Bicycles</v>
      </c>
    </row>
    <row r="2770" customHeight="1" spans="1:10">
      <c r="A2770" s="1">
        <v>969</v>
      </c>
      <c r="B2770" s="1">
        <v>1</v>
      </c>
      <c r="C2770" s="1">
        <v>74</v>
      </c>
      <c r="D2770" s="1">
        <v>1</v>
      </c>
      <c r="E2770" s="1">
        <v>439.99</v>
      </c>
      <c r="F2770" s="1">
        <v>0.2</v>
      </c>
      <c r="G2770">
        <f t="shared" si="43"/>
        <v>439.79</v>
      </c>
      <c r="H2770" t="str">
        <f>VLOOKUP(C2770,[1]products!$A:$B,2,FALSE)</f>
        <v>Electra Cruiser Lux 1 - 2017</v>
      </c>
      <c r="I2770">
        <f>VLOOKUP(C2770,[1]products!$A:$D,4,FALSE)</f>
        <v>3</v>
      </c>
      <c r="J2770" t="str">
        <f>VLOOKUP(I2770,[2]categories!$A$1:$B$8,2,FALSE)</f>
        <v>Cruisers Bicycles</v>
      </c>
    </row>
    <row r="2771" customHeight="1" spans="1:10">
      <c r="A2771" s="1">
        <v>969</v>
      </c>
      <c r="B2771" s="1">
        <v>2</v>
      </c>
      <c r="C2771" s="1">
        <v>36</v>
      </c>
      <c r="D2771" s="1">
        <v>1</v>
      </c>
      <c r="E2771" s="1">
        <v>832.99</v>
      </c>
      <c r="F2771" s="1">
        <v>0.1</v>
      </c>
      <c r="G2771">
        <f t="shared" si="43"/>
        <v>832.89</v>
      </c>
      <c r="H2771" t="str">
        <f>VLOOKUP(C2771,[1]products!$A:$B,2,FALSE)</f>
        <v>Surly Troll Frameset - 2017</v>
      </c>
      <c r="I2771">
        <f>VLOOKUP(C2771,[1]products!$A:$D,4,FALSE)</f>
        <v>6</v>
      </c>
      <c r="J2771" t="str">
        <f>VLOOKUP(I2771,[2]categories!$A$1:$B$8,2,FALSE)</f>
        <v>Mountain Bikes</v>
      </c>
    </row>
    <row r="2772" customHeight="1" spans="1:10">
      <c r="A2772" s="1">
        <v>970</v>
      </c>
      <c r="B2772" s="1">
        <v>1</v>
      </c>
      <c r="C2772" s="1">
        <v>85</v>
      </c>
      <c r="D2772" s="1">
        <v>1</v>
      </c>
      <c r="E2772" s="1">
        <v>329.99</v>
      </c>
      <c r="F2772" s="1">
        <v>0.1</v>
      </c>
      <c r="G2772">
        <f t="shared" si="43"/>
        <v>329.89</v>
      </c>
      <c r="H2772" t="str">
        <f>VLOOKUP(C2772,[1]products!$A:$B,2,FALSE)</f>
        <v>Haro Downtown 16 - 2017</v>
      </c>
      <c r="I2772">
        <f>VLOOKUP(C2772,[1]products!$A:$D,4,FALSE)</f>
        <v>1</v>
      </c>
      <c r="J2772" t="str">
        <f>VLOOKUP(I2772,[2]categories!$A$1:$B$8,2,FALSE)</f>
        <v>Children Bicycles</v>
      </c>
    </row>
    <row r="2773" customHeight="1" spans="1:10">
      <c r="A2773" s="1">
        <v>970</v>
      </c>
      <c r="B2773" s="1">
        <v>2</v>
      </c>
      <c r="C2773" s="1">
        <v>48</v>
      </c>
      <c r="D2773" s="1">
        <v>2</v>
      </c>
      <c r="E2773" s="1">
        <v>1499.99</v>
      </c>
      <c r="F2773" s="1">
        <v>0.1</v>
      </c>
      <c r="G2773">
        <f t="shared" si="43"/>
        <v>2999.88</v>
      </c>
      <c r="H2773" t="str">
        <f>VLOOKUP(C2773,[1]products!$A:$B,2,FALSE)</f>
        <v>Trek Emonda S 4 - 2017</v>
      </c>
      <c r="I2773">
        <f>VLOOKUP(C2773,[1]products!$A:$D,4,FALSE)</f>
        <v>7</v>
      </c>
      <c r="J2773" t="str">
        <f>VLOOKUP(I2773,[2]categories!$A$1:$B$8,2,FALSE)</f>
        <v>Road Bikes</v>
      </c>
    </row>
    <row r="2774" customHeight="1" spans="1:10">
      <c r="A2774" s="1">
        <v>970</v>
      </c>
      <c r="B2774" s="1">
        <v>3</v>
      </c>
      <c r="C2774" s="1">
        <v>54</v>
      </c>
      <c r="D2774" s="1">
        <v>2</v>
      </c>
      <c r="E2774" s="1">
        <v>3199.99</v>
      </c>
      <c r="F2774" s="1">
        <v>0.1</v>
      </c>
      <c r="G2774">
        <f t="shared" si="43"/>
        <v>6399.88</v>
      </c>
      <c r="H2774" t="str">
        <f>VLOOKUP(C2774,[1]products!$A:$B,2,FALSE)</f>
        <v>Trek Domane SL Disc Frameset - 2017</v>
      </c>
      <c r="I2774">
        <f>VLOOKUP(C2774,[1]products!$A:$D,4,FALSE)</f>
        <v>7</v>
      </c>
      <c r="J2774" t="str">
        <f>VLOOKUP(I2774,[2]categories!$A$1:$B$8,2,FALSE)</f>
        <v>Road Bikes</v>
      </c>
    </row>
    <row r="2775" customHeight="1" spans="1:10">
      <c r="A2775" s="1">
        <v>970</v>
      </c>
      <c r="B2775" s="1">
        <v>4</v>
      </c>
      <c r="C2775" s="1">
        <v>68</v>
      </c>
      <c r="D2775" s="1">
        <v>1</v>
      </c>
      <c r="E2775" s="1">
        <v>449.99</v>
      </c>
      <c r="F2775" s="1">
        <v>0.1</v>
      </c>
      <c r="G2775">
        <f t="shared" si="43"/>
        <v>449.89</v>
      </c>
      <c r="H2775" t="str">
        <f>VLOOKUP(C2775,[1]products!$A:$B,2,FALSE)</f>
        <v>Sun Bicycles Cruz 3 - 2017</v>
      </c>
      <c r="I2775">
        <f>VLOOKUP(C2775,[1]products!$A:$D,4,FALSE)</f>
        <v>3</v>
      </c>
      <c r="J2775" t="str">
        <f>VLOOKUP(I2775,[2]categories!$A$1:$B$8,2,FALSE)</f>
        <v>Cruisers Bicycles</v>
      </c>
    </row>
    <row r="2776" customHeight="1" spans="1:10">
      <c r="A2776" s="1">
        <v>971</v>
      </c>
      <c r="B2776" s="1">
        <v>1</v>
      </c>
      <c r="C2776" s="1">
        <v>70</v>
      </c>
      <c r="D2776" s="1">
        <v>2</v>
      </c>
      <c r="E2776" s="1">
        <v>659.99</v>
      </c>
      <c r="F2776" s="1">
        <v>0.05</v>
      </c>
      <c r="G2776">
        <f t="shared" si="43"/>
        <v>1319.93</v>
      </c>
      <c r="H2776" t="str">
        <f>VLOOKUP(C2776,[1]products!$A:$B,2,FALSE)</f>
        <v>Electra Amsterdam Original 3i - 2015/2017</v>
      </c>
      <c r="I2776">
        <f>VLOOKUP(C2776,[1]products!$A:$D,4,FALSE)</f>
        <v>3</v>
      </c>
      <c r="J2776" t="str">
        <f>VLOOKUP(I2776,[2]categories!$A$1:$B$8,2,FALSE)</f>
        <v>Cruisers Bicycles</v>
      </c>
    </row>
    <row r="2777" customHeight="1" spans="1:10">
      <c r="A2777" s="1">
        <v>971</v>
      </c>
      <c r="B2777" s="1">
        <v>2</v>
      </c>
      <c r="C2777" s="1">
        <v>65</v>
      </c>
      <c r="D2777" s="1">
        <v>2</v>
      </c>
      <c r="E2777" s="1">
        <v>346.99</v>
      </c>
      <c r="F2777" s="1">
        <v>0.07</v>
      </c>
      <c r="G2777">
        <f t="shared" si="43"/>
        <v>693.91</v>
      </c>
      <c r="H2777" t="str">
        <f>VLOOKUP(C2777,[1]products!$A:$B,2,FALSE)</f>
        <v>Sun Bicycles Lil Bolt Type-R - 2017</v>
      </c>
      <c r="I2777">
        <f>VLOOKUP(C2777,[1]products!$A:$D,4,FALSE)</f>
        <v>3</v>
      </c>
      <c r="J2777" t="str">
        <f>VLOOKUP(I2777,[2]categories!$A$1:$B$8,2,FALSE)</f>
        <v>Cruisers Bicycles</v>
      </c>
    </row>
    <row r="2778" customHeight="1" spans="1:10">
      <c r="A2778" s="1">
        <v>971</v>
      </c>
      <c r="B2778" s="1">
        <v>3</v>
      </c>
      <c r="C2778" s="1">
        <v>8</v>
      </c>
      <c r="D2778" s="1">
        <v>2</v>
      </c>
      <c r="E2778" s="1">
        <v>1799.99</v>
      </c>
      <c r="F2778" s="1">
        <v>0.05</v>
      </c>
      <c r="G2778">
        <f t="shared" si="43"/>
        <v>3599.93</v>
      </c>
      <c r="H2778" t="str">
        <f>VLOOKUP(C2778,[1]products!$A:$B,2,FALSE)</f>
        <v>Trek Remedy 29 Carbon Frameset - 2016</v>
      </c>
      <c r="I2778">
        <f>VLOOKUP(C2778,[1]products!$A:$D,4,FALSE)</f>
        <v>6</v>
      </c>
      <c r="J2778" t="str">
        <f>VLOOKUP(I2778,[2]categories!$A$1:$B$8,2,FALSE)</f>
        <v>Mountain Bikes</v>
      </c>
    </row>
    <row r="2779" customHeight="1" spans="1:10">
      <c r="A2779" s="1">
        <v>971</v>
      </c>
      <c r="B2779" s="1">
        <v>4</v>
      </c>
      <c r="C2779" s="1">
        <v>12</v>
      </c>
      <c r="D2779" s="1">
        <v>2</v>
      </c>
      <c r="E2779" s="1">
        <v>549.99</v>
      </c>
      <c r="F2779" s="1">
        <v>0.07</v>
      </c>
      <c r="G2779">
        <f t="shared" si="43"/>
        <v>1099.91</v>
      </c>
      <c r="H2779" t="str">
        <f>VLOOKUP(C2779,[1]products!$A:$B,2,FALSE)</f>
        <v>Electra Townie Original 21D - 2016</v>
      </c>
      <c r="I2779">
        <f>VLOOKUP(C2779,[1]products!$A:$D,4,FALSE)</f>
        <v>3</v>
      </c>
      <c r="J2779" t="str">
        <f>VLOOKUP(I2779,[2]categories!$A$1:$B$8,2,FALSE)</f>
        <v>Cruisers Bicycles</v>
      </c>
    </row>
    <row r="2780" customHeight="1" spans="1:10">
      <c r="A2780" s="1">
        <v>971</v>
      </c>
      <c r="B2780" s="1">
        <v>5</v>
      </c>
      <c r="C2780" s="1">
        <v>38</v>
      </c>
      <c r="D2780" s="1">
        <v>1</v>
      </c>
      <c r="E2780" s="1">
        <v>549.99</v>
      </c>
      <c r="F2780" s="1">
        <v>0.2</v>
      </c>
      <c r="G2780">
        <f t="shared" si="43"/>
        <v>549.79</v>
      </c>
      <c r="H2780" t="str">
        <f>VLOOKUP(C2780,[1]products!$A:$B,2,FALSE)</f>
        <v>Haro Flightline Two 26 Plus - 2017</v>
      </c>
      <c r="I2780">
        <f>VLOOKUP(C2780,[1]products!$A:$D,4,FALSE)</f>
        <v>6</v>
      </c>
      <c r="J2780" t="str">
        <f>VLOOKUP(I2780,[2]categories!$A$1:$B$8,2,FALSE)</f>
        <v>Mountain Bikes</v>
      </c>
    </row>
    <row r="2781" customHeight="1" spans="1:10">
      <c r="A2781" s="1">
        <v>972</v>
      </c>
      <c r="B2781" s="1">
        <v>1</v>
      </c>
      <c r="C2781" s="1">
        <v>100</v>
      </c>
      <c r="D2781" s="1">
        <v>1</v>
      </c>
      <c r="E2781" s="1">
        <v>489.99</v>
      </c>
      <c r="F2781" s="1">
        <v>0.2</v>
      </c>
      <c r="G2781">
        <f t="shared" si="43"/>
        <v>489.79</v>
      </c>
      <c r="H2781" t="str">
        <f>VLOOKUP(C2781,[1]products!$A:$B,2,FALSE)</f>
        <v>Electra Townie 3i EQ (20-inch) - Boys' - 2017</v>
      </c>
      <c r="I2781">
        <f>VLOOKUP(C2781,[1]products!$A:$D,4,FALSE)</f>
        <v>1</v>
      </c>
      <c r="J2781" t="str">
        <f>VLOOKUP(I2781,[2]categories!$A$1:$B$8,2,FALSE)</f>
        <v>Children Bicycles</v>
      </c>
    </row>
    <row r="2782" customHeight="1" spans="1:10">
      <c r="A2782" s="1">
        <v>972</v>
      </c>
      <c r="B2782" s="1">
        <v>2</v>
      </c>
      <c r="C2782" s="1">
        <v>63</v>
      </c>
      <c r="D2782" s="1">
        <v>1</v>
      </c>
      <c r="E2782" s="1">
        <v>3499.99</v>
      </c>
      <c r="F2782" s="1">
        <v>0.07</v>
      </c>
      <c r="G2782">
        <f t="shared" si="43"/>
        <v>3499.92</v>
      </c>
      <c r="H2782" t="str">
        <f>VLOOKUP(C2782,[1]products!$A:$B,2,FALSE)</f>
        <v>Trek Boone Race Shop Limited - 2017</v>
      </c>
      <c r="I2782">
        <f>VLOOKUP(C2782,[1]products!$A:$D,4,FALSE)</f>
        <v>4</v>
      </c>
      <c r="J2782" t="str">
        <f>VLOOKUP(I2782,[2]categories!$A$1:$B$8,2,FALSE)</f>
        <v>Cyclocross Bicycles</v>
      </c>
    </row>
    <row r="2783" customHeight="1" spans="1:10">
      <c r="A2783" s="1">
        <v>973</v>
      </c>
      <c r="B2783" s="1">
        <v>1</v>
      </c>
      <c r="C2783" s="1">
        <v>4</v>
      </c>
      <c r="D2783" s="1">
        <v>2</v>
      </c>
      <c r="E2783" s="1">
        <v>2899.99</v>
      </c>
      <c r="F2783" s="1">
        <v>0.1</v>
      </c>
      <c r="G2783">
        <f t="shared" si="43"/>
        <v>5799.88</v>
      </c>
      <c r="H2783" t="str">
        <f>VLOOKUP(C2783,[1]products!$A:$B,2,FALSE)</f>
        <v>Trek Fuel EX 8 29 - 2016</v>
      </c>
      <c r="I2783">
        <f>VLOOKUP(C2783,[1]products!$A:$D,4,FALSE)</f>
        <v>6</v>
      </c>
      <c r="J2783" t="str">
        <f>VLOOKUP(I2783,[2]categories!$A$1:$B$8,2,FALSE)</f>
        <v>Mountain Bikes</v>
      </c>
    </row>
    <row r="2784" customHeight="1" spans="1:10">
      <c r="A2784" s="1">
        <v>973</v>
      </c>
      <c r="B2784" s="1">
        <v>2</v>
      </c>
      <c r="C2784" s="1">
        <v>28</v>
      </c>
      <c r="D2784" s="1">
        <v>2</v>
      </c>
      <c r="E2784" s="1">
        <v>2499.99</v>
      </c>
      <c r="F2784" s="1">
        <v>0.1</v>
      </c>
      <c r="G2784">
        <f t="shared" si="43"/>
        <v>4999.88</v>
      </c>
      <c r="H2784" t="str">
        <f>VLOOKUP(C2784,[1]products!$A:$B,2,FALSE)</f>
        <v>Surly Karate Monkey 27.5+ Frameset - 2017</v>
      </c>
      <c r="I2784">
        <f>VLOOKUP(C2784,[1]products!$A:$D,4,FALSE)</f>
        <v>6</v>
      </c>
      <c r="J2784" t="str">
        <f>VLOOKUP(I2784,[2]categories!$A$1:$B$8,2,FALSE)</f>
        <v>Mountain Bikes</v>
      </c>
    </row>
    <row r="2785" customHeight="1" spans="1:10">
      <c r="A2785" s="1">
        <v>973</v>
      </c>
      <c r="B2785" s="1">
        <v>3</v>
      </c>
      <c r="C2785" s="1">
        <v>47</v>
      </c>
      <c r="D2785" s="1">
        <v>2</v>
      </c>
      <c r="E2785" s="1">
        <v>5299.99</v>
      </c>
      <c r="F2785" s="1">
        <v>0.05</v>
      </c>
      <c r="G2785">
        <f t="shared" si="43"/>
        <v>10599.93</v>
      </c>
      <c r="H2785" t="str">
        <f>VLOOKUP(C2785,[1]products!$A:$B,2,FALSE)</f>
        <v>Trek Remedy 9.8 - 2017</v>
      </c>
      <c r="I2785">
        <f>VLOOKUP(C2785,[1]products!$A:$D,4,FALSE)</f>
        <v>6</v>
      </c>
      <c r="J2785" t="str">
        <f>VLOOKUP(I2785,[2]categories!$A$1:$B$8,2,FALSE)</f>
        <v>Mountain Bikes</v>
      </c>
    </row>
    <row r="2786" customHeight="1" spans="1:10">
      <c r="A2786" s="1">
        <v>973</v>
      </c>
      <c r="B2786" s="1">
        <v>4</v>
      </c>
      <c r="C2786" s="1">
        <v>71</v>
      </c>
      <c r="D2786" s="1">
        <v>1</v>
      </c>
      <c r="E2786" s="1">
        <v>416.99</v>
      </c>
      <c r="F2786" s="1">
        <v>0.07</v>
      </c>
      <c r="G2786">
        <f t="shared" si="43"/>
        <v>416.92</v>
      </c>
      <c r="H2786" t="str">
        <f>VLOOKUP(C2786,[1]products!$A:$B,2,FALSE)</f>
        <v>Sun Bicycles Atlas X-Type - 2017</v>
      </c>
      <c r="I2786">
        <f>VLOOKUP(C2786,[1]products!$A:$D,4,FALSE)</f>
        <v>3</v>
      </c>
      <c r="J2786" t="str">
        <f>VLOOKUP(I2786,[2]categories!$A$1:$B$8,2,FALSE)</f>
        <v>Cruisers Bicycles</v>
      </c>
    </row>
    <row r="2787" customHeight="1" spans="1:10">
      <c r="A2787" s="1">
        <v>974</v>
      </c>
      <c r="B2787" s="1">
        <v>1</v>
      </c>
      <c r="C2787" s="1">
        <v>33</v>
      </c>
      <c r="D2787" s="1">
        <v>2</v>
      </c>
      <c r="E2787" s="1">
        <v>469.99</v>
      </c>
      <c r="F2787" s="1">
        <v>0.1</v>
      </c>
      <c r="G2787">
        <f t="shared" si="43"/>
        <v>939.88</v>
      </c>
      <c r="H2787" t="str">
        <f>VLOOKUP(C2787,[1]products!$A:$B,2,FALSE)</f>
        <v>Surly Wednesday Frameset - 2017</v>
      </c>
      <c r="I2787">
        <f>VLOOKUP(C2787,[1]products!$A:$D,4,FALSE)</f>
        <v>6</v>
      </c>
      <c r="J2787" t="str">
        <f>VLOOKUP(I2787,[2]categories!$A$1:$B$8,2,FALSE)</f>
        <v>Mountain Bikes</v>
      </c>
    </row>
    <row r="2788" customHeight="1" spans="1:10">
      <c r="A2788" s="1">
        <v>974</v>
      </c>
      <c r="B2788" s="1">
        <v>2</v>
      </c>
      <c r="C2788" s="1">
        <v>22</v>
      </c>
      <c r="D2788" s="1">
        <v>2</v>
      </c>
      <c r="E2788" s="1">
        <v>269.99</v>
      </c>
      <c r="F2788" s="1">
        <v>0.2</v>
      </c>
      <c r="G2788">
        <f t="shared" si="43"/>
        <v>539.78</v>
      </c>
      <c r="H2788" t="str">
        <f>VLOOKUP(C2788,[1]products!$A:$B,2,FALSE)</f>
        <v>Electra Girl's Hawaii 1 (16-inch) - 2015/2016</v>
      </c>
      <c r="I2788">
        <f>VLOOKUP(C2788,[1]products!$A:$D,4,FALSE)</f>
        <v>1</v>
      </c>
      <c r="J2788" t="str">
        <f>VLOOKUP(I2788,[2]categories!$A$1:$B$8,2,FALSE)</f>
        <v>Children Bicycles</v>
      </c>
    </row>
    <row r="2789" customHeight="1" spans="1:10">
      <c r="A2789" s="1">
        <v>975</v>
      </c>
      <c r="B2789" s="1">
        <v>1</v>
      </c>
      <c r="C2789" s="1">
        <v>110</v>
      </c>
      <c r="D2789" s="1">
        <v>2</v>
      </c>
      <c r="E2789" s="1">
        <v>470.99</v>
      </c>
      <c r="F2789" s="1">
        <v>0.2</v>
      </c>
      <c r="G2789">
        <f t="shared" si="43"/>
        <v>941.78</v>
      </c>
      <c r="H2789" t="str">
        <f>VLOOKUP(C2789,[1]products!$A:$B,2,FALSE)</f>
        <v>Sun Bicycles Drifter 7 - 2017</v>
      </c>
      <c r="I2789">
        <f>VLOOKUP(C2789,[1]products!$A:$D,4,FALSE)</f>
        <v>2</v>
      </c>
      <c r="J2789" t="str">
        <f>VLOOKUP(I2789,[2]categories!$A$1:$B$8,2,FALSE)</f>
        <v>Comfort Bicycles</v>
      </c>
    </row>
    <row r="2790" customHeight="1" spans="1:10">
      <c r="A2790" s="1">
        <v>976</v>
      </c>
      <c r="B2790" s="1">
        <v>1</v>
      </c>
      <c r="C2790" s="1">
        <v>26</v>
      </c>
      <c r="D2790" s="1">
        <v>2</v>
      </c>
      <c r="E2790" s="1">
        <v>599.99</v>
      </c>
      <c r="F2790" s="1">
        <v>0.1</v>
      </c>
      <c r="G2790">
        <f t="shared" si="43"/>
        <v>1199.88</v>
      </c>
      <c r="H2790" t="str">
        <f>VLOOKUP(C2790,[1]products!$A:$B,2,FALSE)</f>
        <v>Electra Townie Original 7D EQ - 2016</v>
      </c>
      <c r="I2790">
        <f>VLOOKUP(C2790,[1]products!$A:$D,4,FALSE)</f>
        <v>2</v>
      </c>
      <c r="J2790" t="str">
        <f>VLOOKUP(I2790,[2]categories!$A$1:$B$8,2,FALSE)</f>
        <v>Comfort Bicycles</v>
      </c>
    </row>
    <row r="2791" customHeight="1" spans="1:10">
      <c r="A2791" s="1">
        <v>976</v>
      </c>
      <c r="B2791" s="1">
        <v>2</v>
      </c>
      <c r="C2791" s="1">
        <v>39</v>
      </c>
      <c r="D2791" s="1">
        <v>1</v>
      </c>
      <c r="E2791" s="1">
        <v>1499.99</v>
      </c>
      <c r="F2791" s="1">
        <v>0.07</v>
      </c>
      <c r="G2791">
        <f t="shared" si="43"/>
        <v>1499.92</v>
      </c>
      <c r="H2791" t="str">
        <f>VLOOKUP(C2791,[1]products!$A:$B,2,FALSE)</f>
        <v>Trek Stache 5 - 2017</v>
      </c>
      <c r="I2791">
        <f>VLOOKUP(C2791,[1]products!$A:$D,4,FALSE)</f>
        <v>6</v>
      </c>
      <c r="J2791" t="str">
        <f>VLOOKUP(I2791,[2]categories!$A$1:$B$8,2,FALSE)</f>
        <v>Mountain Bikes</v>
      </c>
    </row>
    <row r="2792" customHeight="1" spans="1:10">
      <c r="A2792" s="1">
        <v>977</v>
      </c>
      <c r="B2792" s="1">
        <v>1</v>
      </c>
      <c r="C2792" s="1">
        <v>52</v>
      </c>
      <c r="D2792" s="1">
        <v>2</v>
      </c>
      <c r="E2792" s="1">
        <v>875.99</v>
      </c>
      <c r="F2792" s="1">
        <v>0.1</v>
      </c>
      <c r="G2792">
        <f t="shared" si="43"/>
        <v>1751.88</v>
      </c>
      <c r="H2792" t="str">
        <f>VLOOKUP(C2792,[1]products!$A:$B,2,FALSE)</f>
        <v>Surly Steamroller - 2017</v>
      </c>
      <c r="I2792">
        <f>VLOOKUP(C2792,[1]products!$A:$D,4,FALSE)</f>
        <v>7</v>
      </c>
      <c r="J2792" t="str">
        <f>VLOOKUP(I2792,[2]categories!$A$1:$B$8,2,FALSE)</f>
        <v>Road Bikes</v>
      </c>
    </row>
    <row r="2793" customHeight="1" spans="1:10">
      <c r="A2793" s="1">
        <v>977</v>
      </c>
      <c r="B2793" s="1">
        <v>2</v>
      </c>
      <c r="C2793" s="1">
        <v>69</v>
      </c>
      <c r="D2793" s="1">
        <v>2</v>
      </c>
      <c r="E2793" s="1">
        <v>416.99</v>
      </c>
      <c r="F2793" s="1">
        <v>0.05</v>
      </c>
      <c r="G2793">
        <f t="shared" si="43"/>
        <v>833.93</v>
      </c>
      <c r="H2793" t="str">
        <f>VLOOKUP(C2793,[1]products!$A:$B,2,FALSE)</f>
        <v>Sun Bicycles Cruz 7 - 2017</v>
      </c>
      <c r="I2793">
        <f>VLOOKUP(C2793,[1]products!$A:$D,4,FALSE)</f>
        <v>3</v>
      </c>
      <c r="J2793" t="str">
        <f>VLOOKUP(I2793,[2]categories!$A$1:$B$8,2,FALSE)</f>
        <v>Cruisers Bicycles</v>
      </c>
    </row>
    <row r="2794" customHeight="1" spans="1:10">
      <c r="A2794" s="1">
        <v>977</v>
      </c>
      <c r="B2794" s="1">
        <v>3</v>
      </c>
      <c r="C2794" s="1">
        <v>27</v>
      </c>
      <c r="D2794" s="1">
        <v>1</v>
      </c>
      <c r="E2794" s="1">
        <v>999.99</v>
      </c>
      <c r="F2794" s="1">
        <v>0.05</v>
      </c>
      <c r="G2794">
        <f t="shared" si="43"/>
        <v>999.94</v>
      </c>
      <c r="H2794" t="str">
        <f>VLOOKUP(C2794,[1]products!$A:$B,2,FALSE)</f>
        <v>Surly Big Dummy Frameset - 2017</v>
      </c>
      <c r="I2794">
        <f>VLOOKUP(C2794,[1]products!$A:$D,4,FALSE)</f>
        <v>6</v>
      </c>
      <c r="J2794" t="str">
        <f>VLOOKUP(I2794,[2]categories!$A$1:$B$8,2,FALSE)</f>
        <v>Mountain Bikes</v>
      </c>
    </row>
    <row r="2795" customHeight="1" spans="1:10">
      <c r="A2795" s="1">
        <v>977</v>
      </c>
      <c r="B2795" s="1">
        <v>4</v>
      </c>
      <c r="C2795" s="1">
        <v>80</v>
      </c>
      <c r="D2795" s="1">
        <v>2</v>
      </c>
      <c r="E2795" s="1">
        <v>761.99</v>
      </c>
      <c r="F2795" s="1">
        <v>0.05</v>
      </c>
      <c r="G2795">
        <f t="shared" si="43"/>
        <v>1523.93</v>
      </c>
      <c r="H2795" t="str">
        <f>VLOOKUP(C2795,[1]products!$A:$B,2,FALSE)</f>
        <v>Sun Bicycles Brickell Tandem CB - 2017</v>
      </c>
      <c r="I2795">
        <f>VLOOKUP(C2795,[1]products!$A:$D,4,FALSE)</f>
        <v>3</v>
      </c>
      <c r="J2795" t="str">
        <f>VLOOKUP(I2795,[2]categories!$A$1:$B$8,2,FALSE)</f>
        <v>Cruisers Bicycles</v>
      </c>
    </row>
    <row r="2796" customHeight="1" spans="1:10">
      <c r="A2796" s="1">
        <v>978</v>
      </c>
      <c r="B2796" s="1">
        <v>1</v>
      </c>
      <c r="C2796" s="1">
        <v>106</v>
      </c>
      <c r="D2796" s="1">
        <v>2</v>
      </c>
      <c r="E2796" s="1">
        <v>449.99</v>
      </c>
      <c r="F2796" s="1">
        <v>0.05</v>
      </c>
      <c r="G2796">
        <f t="shared" si="43"/>
        <v>899.93</v>
      </c>
      <c r="H2796" t="str">
        <f>VLOOKUP(C2796,[1]products!$A:$B,2,FALSE)</f>
        <v>Sun Bicycles Cruz 3 - 2017</v>
      </c>
      <c r="I2796">
        <f>VLOOKUP(C2796,[1]products!$A:$D,4,FALSE)</f>
        <v>2</v>
      </c>
      <c r="J2796" t="str">
        <f>VLOOKUP(I2796,[2]categories!$A$1:$B$8,2,FALSE)</f>
        <v>Comfort Bicycles</v>
      </c>
    </row>
    <row r="2797" customHeight="1" spans="1:10">
      <c r="A2797" s="1">
        <v>978</v>
      </c>
      <c r="B2797" s="1">
        <v>2</v>
      </c>
      <c r="C2797" s="1">
        <v>25</v>
      </c>
      <c r="D2797" s="1">
        <v>2</v>
      </c>
      <c r="E2797" s="1">
        <v>499.99</v>
      </c>
      <c r="F2797" s="1">
        <v>0.2</v>
      </c>
      <c r="G2797">
        <f t="shared" si="43"/>
        <v>999.78</v>
      </c>
      <c r="H2797" t="str">
        <f>VLOOKUP(C2797,[1]products!$A:$B,2,FALSE)</f>
        <v>Electra Townie Original 7D - 2015/2016</v>
      </c>
      <c r="I2797">
        <f>VLOOKUP(C2797,[1]products!$A:$D,4,FALSE)</f>
        <v>2</v>
      </c>
      <c r="J2797" t="str">
        <f>VLOOKUP(I2797,[2]categories!$A$1:$B$8,2,FALSE)</f>
        <v>Comfort Bicycles</v>
      </c>
    </row>
    <row r="2798" customHeight="1" spans="1:10">
      <c r="A2798" s="1">
        <v>978</v>
      </c>
      <c r="B2798" s="1">
        <v>3</v>
      </c>
      <c r="C2798" s="1">
        <v>108</v>
      </c>
      <c r="D2798" s="1">
        <v>2</v>
      </c>
      <c r="E2798" s="1">
        <v>449.99</v>
      </c>
      <c r="F2798" s="1">
        <v>0.05</v>
      </c>
      <c r="G2798">
        <f t="shared" si="43"/>
        <v>899.93</v>
      </c>
      <c r="H2798" t="str">
        <f>VLOOKUP(C2798,[1]products!$A:$B,2,FALSE)</f>
        <v>Sun Bicycles Cruz 3 - Women's - 2017</v>
      </c>
      <c r="I2798">
        <f>VLOOKUP(C2798,[1]products!$A:$D,4,FALSE)</f>
        <v>2</v>
      </c>
      <c r="J2798" t="str">
        <f>VLOOKUP(I2798,[2]categories!$A$1:$B$8,2,FALSE)</f>
        <v>Comfort Bicycles</v>
      </c>
    </row>
    <row r="2799" customHeight="1" spans="1:10">
      <c r="A2799" s="1">
        <v>979</v>
      </c>
      <c r="B2799" s="1">
        <v>1</v>
      </c>
      <c r="C2799" s="1">
        <v>55</v>
      </c>
      <c r="D2799" s="1">
        <v>1</v>
      </c>
      <c r="E2799" s="1">
        <v>2699.99</v>
      </c>
      <c r="F2799" s="1">
        <v>0.05</v>
      </c>
      <c r="G2799">
        <f t="shared" si="43"/>
        <v>2699.94</v>
      </c>
      <c r="H2799" t="str">
        <f>VLOOKUP(C2799,[1]products!$A:$B,2,FALSE)</f>
        <v>Trek Domane S 6 - 2017</v>
      </c>
      <c r="I2799">
        <f>VLOOKUP(C2799,[1]products!$A:$D,4,FALSE)</f>
        <v>7</v>
      </c>
      <c r="J2799" t="str">
        <f>VLOOKUP(I2799,[2]categories!$A$1:$B$8,2,FALSE)</f>
        <v>Road Bikes</v>
      </c>
    </row>
    <row r="2800" customHeight="1" spans="1:10">
      <c r="A2800" s="1">
        <v>979</v>
      </c>
      <c r="B2800" s="1">
        <v>2</v>
      </c>
      <c r="C2800" s="1">
        <v>71</v>
      </c>
      <c r="D2800" s="1">
        <v>2</v>
      </c>
      <c r="E2800" s="1">
        <v>416.99</v>
      </c>
      <c r="F2800" s="1">
        <v>0.2</v>
      </c>
      <c r="G2800">
        <f t="shared" si="43"/>
        <v>833.78</v>
      </c>
      <c r="H2800" t="str">
        <f>VLOOKUP(C2800,[1]products!$A:$B,2,FALSE)</f>
        <v>Sun Bicycles Atlas X-Type - 2017</v>
      </c>
      <c r="I2800">
        <f>VLOOKUP(C2800,[1]products!$A:$D,4,FALSE)</f>
        <v>3</v>
      </c>
      <c r="J2800" t="str">
        <f>VLOOKUP(I2800,[2]categories!$A$1:$B$8,2,FALSE)</f>
        <v>Cruisers Bicycles</v>
      </c>
    </row>
    <row r="2801" customHeight="1" spans="1:10">
      <c r="A2801" s="1">
        <v>979</v>
      </c>
      <c r="B2801" s="1">
        <v>3</v>
      </c>
      <c r="C2801" s="1">
        <v>12</v>
      </c>
      <c r="D2801" s="1">
        <v>2</v>
      </c>
      <c r="E2801" s="1">
        <v>549.99</v>
      </c>
      <c r="F2801" s="1">
        <v>0.1</v>
      </c>
      <c r="G2801">
        <f t="shared" si="43"/>
        <v>1099.88</v>
      </c>
      <c r="H2801" t="str">
        <f>VLOOKUP(C2801,[1]products!$A:$B,2,FALSE)</f>
        <v>Electra Townie Original 21D - 2016</v>
      </c>
      <c r="I2801">
        <f>VLOOKUP(C2801,[1]products!$A:$D,4,FALSE)</f>
        <v>3</v>
      </c>
      <c r="J2801" t="str">
        <f>VLOOKUP(I2801,[2]categories!$A$1:$B$8,2,FALSE)</f>
        <v>Cruisers Bicycles</v>
      </c>
    </row>
    <row r="2802" customHeight="1" spans="1:10">
      <c r="A2802" s="1">
        <v>979</v>
      </c>
      <c r="B2802" s="1">
        <v>4</v>
      </c>
      <c r="C2802" s="1">
        <v>52</v>
      </c>
      <c r="D2802" s="1">
        <v>1</v>
      </c>
      <c r="E2802" s="1">
        <v>875.99</v>
      </c>
      <c r="F2802" s="1">
        <v>0.2</v>
      </c>
      <c r="G2802">
        <f t="shared" si="43"/>
        <v>875.79</v>
      </c>
      <c r="H2802" t="str">
        <f>VLOOKUP(C2802,[1]products!$A:$B,2,FALSE)</f>
        <v>Surly Steamroller - 2017</v>
      </c>
      <c r="I2802">
        <f>VLOOKUP(C2802,[1]products!$A:$D,4,FALSE)</f>
        <v>7</v>
      </c>
      <c r="J2802" t="str">
        <f>VLOOKUP(I2802,[2]categories!$A$1:$B$8,2,FALSE)</f>
        <v>Road Bikes</v>
      </c>
    </row>
    <row r="2803" customHeight="1" spans="1:10">
      <c r="A2803" s="1">
        <v>980</v>
      </c>
      <c r="B2803" s="1">
        <v>1</v>
      </c>
      <c r="C2803" s="1">
        <v>49</v>
      </c>
      <c r="D2803" s="1">
        <v>2</v>
      </c>
      <c r="E2803" s="1">
        <v>3499.99</v>
      </c>
      <c r="F2803" s="1">
        <v>0.2</v>
      </c>
      <c r="G2803">
        <f t="shared" si="43"/>
        <v>6999.78</v>
      </c>
      <c r="H2803" t="str">
        <f>VLOOKUP(C2803,[1]products!$A:$B,2,FALSE)</f>
        <v>Trek Domane SL 6 - 2017</v>
      </c>
      <c r="I2803">
        <f>VLOOKUP(C2803,[1]products!$A:$D,4,FALSE)</f>
        <v>7</v>
      </c>
      <c r="J2803" t="str">
        <f>VLOOKUP(I2803,[2]categories!$A$1:$B$8,2,FALSE)</f>
        <v>Road Bikes</v>
      </c>
    </row>
    <row r="2804" customHeight="1" spans="1:10">
      <c r="A2804" s="1">
        <v>980</v>
      </c>
      <c r="B2804" s="1">
        <v>2</v>
      </c>
      <c r="C2804" s="1">
        <v>9</v>
      </c>
      <c r="D2804" s="1">
        <v>1</v>
      </c>
      <c r="E2804" s="1">
        <v>2999.99</v>
      </c>
      <c r="F2804" s="1">
        <v>0.1</v>
      </c>
      <c r="G2804">
        <f t="shared" si="43"/>
        <v>2999.89</v>
      </c>
      <c r="H2804" t="str">
        <f>VLOOKUP(C2804,[1]products!$A:$B,2,FALSE)</f>
        <v>Trek Conduit+ - 2016</v>
      </c>
      <c r="I2804">
        <f>VLOOKUP(C2804,[1]products!$A:$D,4,FALSE)</f>
        <v>5</v>
      </c>
      <c r="J2804" t="str">
        <f>VLOOKUP(I2804,[2]categories!$A$1:$B$8,2,FALSE)</f>
        <v>Electric Bikes</v>
      </c>
    </row>
    <row r="2805" customHeight="1" spans="1:10">
      <c r="A2805" s="1">
        <v>980</v>
      </c>
      <c r="B2805" s="1">
        <v>3</v>
      </c>
      <c r="C2805" s="1">
        <v>64</v>
      </c>
      <c r="D2805" s="1">
        <v>1</v>
      </c>
      <c r="E2805" s="1">
        <v>489.99</v>
      </c>
      <c r="F2805" s="1">
        <v>0.1</v>
      </c>
      <c r="G2805">
        <f t="shared" si="43"/>
        <v>489.89</v>
      </c>
      <c r="H2805" t="str">
        <f>VLOOKUP(C2805,[1]products!$A:$B,2,FALSE)</f>
        <v>Electra Townie Original 7D - 2017</v>
      </c>
      <c r="I2805">
        <f>VLOOKUP(C2805,[1]products!$A:$D,4,FALSE)</f>
        <v>3</v>
      </c>
      <c r="J2805" t="str">
        <f>VLOOKUP(I2805,[2]categories!$A$1:$B$8,2,FALSE)</f>
        <v>Cruisers Bicycles</v>
      </c>
    </row>
    <row r="2806" customHeight="1" spans="1:10">
      <c r="A2806" s="1">
        <v>981</v>
      </c>
      <c r="B2806" s="1">
        <v>1</v>
      </c>
      <c r="C2806" s="1">
        <v>35</v>
      </c>
      <c r="D2806" s="1">
        <v>1</v>
      </c>
      <c r="E2806" s="1">
        <v>832.99</v>
      </c>
      <c r="F2806" s="1">
        <v>0.1</v>
      </c>
      <c r="G2806">
        <f t="shared" si="43"/>
        <v>832.89</v>
      </c>
      <c r="H2806" t="str">
        <f>VLOOKUP(C2806,[1]products!$A:$B,2,FALSE)</f>
        <v>Sun Bicycles Spider 3i - 2017</v>
      </c>
      <c r="I2806">
        <f>VLOOKUP(C2806,[1]products!$A:$D,4,FALSE)</f>
        <v>6</v>
      </c>
      <c r="J2806" t="str">
        <f>VLOOKUP(I2806,[2]categories!$A$1:$B$8,2,FALSE)</f>
        <v>Mountain Bikes</v>
      </c>
    </row>
    <row r="2807" customHeight="1" spans="1:10">
      <c r="A2807" s="1">
        <v>981</v>
      </c>
      <c r="B2807" s="1">
        <v>2</v>
      </c>
      <c r="C2807" s="1">
        <v>95</v>
      </c>
      <c r="D2807" s="1">
        <v>2</v>
      </c>
      <c r="E2807" s="1">
        <v>299.99</v>
      </c>
      <c r="F2807" s="1">
        <v>0.05</v>
      </c>
      <c r="G2807">
        <f t="shared" si="43"/>
        <v>599.93</v>
      </c>
      <c r="H2807" t="str">
        <f>VLOOKUP(C2807,[1]products!$A:$B,2,FALSE)</f>
        <v>Electra Girl's Hawaii 1 16" - 2017</v>
      </c>
      <c r="I2807">
        <f>VLOOKUP(C2807,[1]products!$A:$D,4,FALSE)</f>
        <v>1</v>
      </c>
      <c r="J2807" t="str">
        <f>VLOOKUP(I2807,[2]categories!$A$1:$B$8,2,FALSE)</f>
        <v>Children Bicycles</v>
      </c>
    </row>
    <row r="2808" customHeight="1" spans="1:10">
      <c r="A2808" s="1">
        <v>981</v>
      </c>
      <c r="B2808" s="1">
        <v>3</v>
      </c>
      <c r="C2808" s="1">
        <v>21</v>
      </c>
      <c r="D2808" s="1">
        <v>2</v>
      </c>
      <c r="E2808" s="1">
        <v>269.99</v>
      </c>
      <c r="F2808" s="1">
        <v>0.07</v>
      </c>
      <c r="G2808">
        <f t="shared" si="43"/>
        <v>539.91</v>
      </c>
      <c r="H2808" t="str">
        <f>VLOOKUP(C2808,[1]products!$A:$B,2,FALSE)</f>
        <v>Electra Cruiser 1 (24-Inch) - 2016</v>
      </c>
      <c r="I2808">
        <f>VLOOKUP(C2808,[1]products!$A:$D,4,FALSE)</f>
        <v>1</v>
      </c>
      <c r="J2808" t="str">
        <f>VLOOKUP(I2808,[2]categories!$A$1:$B$8,2,FALSE)</f>
        <v>Children Bicycles</v>
      </c>
    </row>
    <row r="2809" customHeight="1" spans="1:10">
      <c r="A2809" s="1">
        <v>981</v>
      </c>
      <c r="B2809" s="1">
        <v>4</v>
      </c>
      <c r="C2809" s="1">
        <v>36</v>
      </c>
      <c r="D2809" s="1">
        <v>2</v>
      </c>
      <c r="E2809" s="1">
        <v>832.99</v>
      </c>
      <c r="F2809" s="1">
        <v>0.1</v>
      </c>
      <c r="G2809">
        <f t="shared" si="43"/>
        <v>1665.88</v>
      </c>
      <c r="H2809" t="str">
        <f>VLOOKUP(C2809,[1]products!$A:$B,2,FALSE)</f>
        <v>Surly Troll Frameset - 2017</v>
      </c>
      <c r="I2809">
        <f>VLOOKUP(C2809,[1]products!$A:$D,4,FALSE)</f>
        <v>6</v>
      </c>
      <c r="J2809" t="str">
        <f>VLOOKUP(I2809,[2]categories!$A$1:$B$8,2,FALSE)</f>
        <v>Mountain Bikes</v>
      </c>
    </row>
    <row r="2810" customHeight="1" spans="1:10">
      <c r="A2810" s="1">
        <v>981</v>
      </c>
      <c r="B2810" s="1">
        <v>5</v>
      </c>
      <c r="C2810" s="1">
        <v>61</v>
      </c>
      <c r="D2810" s="1">
        <v>1</v>
      </c>
      <c r="E2810" s="1">
        <v>4999.99</v>
      </c>
      <c r="F2810" s="1">
        <v>0.07</v>
      </c>
      <c r="G2810">
        <f t="shared" si="43"/>
        <v>4999.92</v>
      </c>
      <c r="H2810" t="str">
        <f>VLOOKUP(C2810,[1]products!$A:$B,2,FALSE)</f>
        <v>Trek Powerfly 8 FS Plus - 2017</v>
      </c>
      <c r="I2810">
        <f>VLOOKUP(C2810,[1]products!$A:$D,4,FALSE)</f>
        <v>5</v>
      </c>
      <c r="J2810" t="str">
        <f>VLOOKUP(I2810,[2]categories!$A$1:$B$8,2,FALSE)</f>
        <v>Electric Bikes</v>
      </c>
    </row>
    <row r="2811" customHeight="1" spans="1:10">
      <c r="A2811" s="1">
        <v>982</v>
      </c>
      <c r="B2811" s="1">
        <v>1</v>
      </c>
      <c r="C2811" s="1">
        <v>22</v>
      </c>
      <c r="D2811" s="1">
        <v>2</v>
      </c>
      <c r="E2811" s="1">
        <v>269.99</v>
      </c>
      <c r="F2811" s="1">
        <v>0.1</v>
      </c>
      <c r="G2811">
        <f t="shared" si="43"/>
        <v>539.88</v>
      </c>
      <c r="H2811" t="str">
        <f>VLOOKUP(C2811,[1]products!$A:$B,2,FALSE)</f>
        <v>Electra Girl's Hawaii 1 (16-inch) - 2015/2016</v>
      </c>
      <c r="I2811">
        <f>VLOOKUP(C2811,[1]products!$A:$D,4,FALSE)</f>
        <v>1</v>
      </c>
      <c r="J2811" t="str">
        <f>VLOOKUP(I2811,[2]categories!$A$1:$B$8,2,FALSE)</f>
        <v>Children Bicycles</v>
      </c>
    </row>
    <row r="2812" customHeight="1" spans="1:10">
      <c r="A2812" s="1">
        <v>982</v>
      </c>
      <c r="B2812" s="1">
        <v>2</v>
      </c>
      <c r="C2812" s="1">
        <v>110</v>
      </c>
      <c r="D2812" s="1">
        <v>1</v>
      </c>
      <c r="E2812" s="1">
        <v>470.99</v>
      </c>
      <c r="F2812" s="1">
        <v>0.07</v>
      </c>
      <c r="G2812">
        <f t="shared" si="43"/>
        <v>470.92</v>
      </c>
      <c r="H2812" t="str">
        <f>VLOOKUP(C2812,[1]products!$A:$B,2,FALSE)</f>
        <v>Sun Bicycles Drifter 7 - 2017</v>
      </c>
      <c r="I2812">
        <f>VLOOKUP(C2812,[1]products!$A:$D,4,FALSE)</f>
        <v>2</v>
      </c>
      <c r="J2812" t="str">
        <f>VLOOKUP(I2812,[2]categories!$A$1:$B$8,2,FALSE)</f>
        <v>Comfort Bicycles</v>
      </c>
    </row>
    <row r="2813" customHeight="1" spans="1:10">
      <c r="A2813" s="1">
        <v>982</v>
      </c>
      <c r="B2813" s="1">
        <v>3</v>
      </c>
      <c r="C2813" s="1">
        <v>52</v>
      </c>
      <c r="D2813" s="1">
        <v>1</v>
      </c>
      <c r="E2813" s="1">
        <v>875.99</v>
      </c>
      <c r="F2813" s="1">
        <v>0.07</v>
      </c>
      <c r="G2813">
        <f t="shared" si="43"/>
        <v>875.92</v>
      </c>
      <c r="H2813" t="str">
        <f>VLOOKUP(C2813,[1]products!$A:$B,2,FALSE)</f>
        <v>Surly Steamroller - 2017</v>
      </c>
      <c r="I2813">
        <f>VLOOKUP(C2813,[1]products!$A:$D,4,FALSE)</f>
        <v>7</v>
      </c>
      <c r="J2813" t="str">
        <f>VLOOKUP(I2813,[2]categories!$A$1:$B$8,2,FALSE)</f>
        <v>Road Bikes</v>
      </c>
    </row>
    <row r="2814" customHeight="1" spans="1:10">
      <c r="A2814" s="1">
        <v>982</v>
      </c>
      <c r="B2814" s="1">
        <v>4</v>
      </c>
      <c r="C2814" s="1">
        <v>40</v>
      </c>
      <c r="D2814" s="1">
        <v>2</v>
      </c>
      <c r="E2814" s="1">
        <v>4999.99</v>
      </c>
      <c r="F2814" s="1">
        <v>0.05</v>
      </c>
      <c r="G2814">
        <f t="shared" si="43"/>
        <v>9999.93</v>
      </c>
      <c r="H2814" t="str">
        <f>VLOOKUP(C2814,[1]products!$A:$B,2,FALSE)</f>
        <v>Trek Fuel EX 9.8 29 - 2017</v>
      </c>
      <c r="I2814">
        <f>VLOOKUP(C2814,[1]products!$A:$D,4,FALSE)</f>
        <v>6</v>
      </c>
      <c r="J2814" t="str">
        <f>VLOOKUP(I2814,[2]categories!$A$1:$B$8,2,FALSE)</f>
        <v>Mountain Bikes</v>
      </c>
    </row>
    <row r="2815" customHeight="1" spans="1:10">
      <c r="A2815" s="1">
        <v>983</v>
      </c>
      <c r="B2815" s="1">
        <v>1</v>
      </c>
      <c r="C2815" s="1">
        <v>63</v>
      </c>
      <c r="D2815" s="1">
        <v>1</v>
      </c>
      <c r="E2815" s="1">
        <v>3499.99</v>
      </c>
      <c r="F2815" s="1">
        <v>0.1</v>
      </c>
      <c r="G2815">
        <f t="shared" si="43"/>
        <v>3499.89</v>
      </c>
      <c r="H2815" t="str">
        <f>VLOOKUP(C2815,[1]products!$A:$B,2,FALSE)</f>
        <v>Trek Boone Race Shop Limited - 2017</v>
      </c>
      <c r="I2815">
        <f>VLOOKUP(C2815,[1]products!$A:$D,4,FALSE)</f>
        <v>4</v>
      </c>
      <c r="J2815" t="str">
        <f>VLOOKUP(I2815,[2]categories!$A$1:$B$8,2,FALSE)</f>
        <v>Cyclocross Bicycles</v>
      </c>
    </row>
    <row r="2816" customHeight="1" spans="1:10">
      <c r="A2816" s="1">
        <v>983</v>
      </c>
      <c r="B2816" s="1">
        <v>2</v>
      </c>
      <c r="C2816" s="1">
        <v>20</v>
      </c>
      <c r="D2816" s="1">
        <v>2</v>
      </c>
      <c r="E2816" s="1">
        <v>599.99</v>
      </c>
      <c r="F2816" s="1">
        <v>0.2</v>
      </c>
      <c r="G2816">
        <f t="shared" si="43"/>
        <v>1199.78</v>
      </c>
      <c r="H2816" t="str">
        <f>VLOOKUP(C2816,[1]products!$A:$B,2,FALSE)</f>
        <v>Electra Townie Original 7D EQ - Women's - 2016</v>
      </c>
      <c r="I2816">
        <f>VLOOKUP(C2816,[1]products!$A:$D,4,FALSE)</f>
        <v>3</v>
      </c>
      <c r="J2816" t="str">
        <f>VLOOKUP(I2816,[2]categories!$A$1:$B$8,2,FALSE)</f>
        <v>Cruisers Bicycles</v>
      </c>
    </row>
    <row r="2817" customHeight="1" spans="1:10">
      <c r="A2817" s="1">
        <v>983</v>
      </c>
      <c r="B2817" s="1">
        <v>3</v>
      </c>
      <c r="C2817" s="1">
        <v>68</v>
      </c>
      <c r="D2817" s="1">
        <v>1</v>
      </c>
      <c r="E2817" s="1">
        <v>449.99</v>
      </c>
      <c r="F2817" s="1">
        <v>0.07</v>
      </c>
      <c r="G2817">
        <f t="shared" si="43"/>
        <v>449.92</v>
      </c>
      <c r="H2817" t="str">
        <f>VLOOKUP(C2817,[1]products!$A:$B,2,FALSE)</f>
        <v>Sun Bicycles Cruz 3 - 2017</v>
      </c>
      <c r="I2817">
        <f>VLOOKUP(C2817,[1]products!$A:$D,4,FALSE)</f>
        <v>3</v>
      </c>
      <c r="J2817" t="str">
        <f>VLOOKUP(I2817,[2]categories!$A$1:$B$8,2,FALSE)</f>
        <v>Cruisers Bicycles</v>
      </c>
    </row>
    <row r="2818" customHeight="1" spans="1:10">
      <c r="A2818" s="1">
        <v>983</v>
      </c>
      <c r="B2818" s="1">
        <v>4</v>
      </c>
      <c r="C2818" s="1">
        <v>81</v>
      </c>
      <c r="D2818" s="1">
        <v>2</v>
      </c>
      <c r="E2818" s="1">
        <v>1099.99</v>
      </c>
      <c r="F2818" s="1">
        <v>0.07</v>
      </c>
      <c r="G2818">
        <f t="shared" si="43"/>
        <v>2199.91</v>
      </c>
      <c r="H2818" t="str">
        <f>VLOOKUP(C2818,[1]products!$A:$B,2,FALSE)</f>
        <v>Electra Amsterdam Fashion 7i Ladies' - 2017</v>
      </c>
      <c r="I2818">
        <f>VLOOKUP(C2818,[1]products!$A:$D,4,FALSE)</f>
        <v>3</v>
      </c>
      <c r="J2818" t="str">
        <f>VLOOKUP(I2818,[2]categories!$A$1:$B$8,2,FALSE)</f>
        <v>Cruisers Bicycles</v>
      </c>
    </row>
    <row r="2819" customHeight="1" spans="1:10">
      <c r="A2819" s="1">
        <v>983</v>
      </c>
      <c r="B2819" s="1">
        <v>5</v>
      </c>
      <c r="C2819" s="1">
        <v>88</v>
      </c>
      <c r="D2819" s="1">
        <v>1</v>
      </c>
      <c r="E2819" s="1">
        <v>189.99</v>
      </c>
      <c r="F2819" s="1">
        <v>0.05</v>
      </c>
      <c r="G2819">
        <f t="shared" ref="G2819:G2882" si="44">(E2819*D2819)-F2819</f>
        <v>189.94</v>
      </c>
      <c r="H2819" t="str">
        <f>VLOOKUP(C2819,[1]products!$A:$B,2,FALSE)</f>
        <v>Trek Precaliber 12 Girls - 2017</v>
      </c>
      <c r="I2819">
        <f>VLOOKUP(C2819,[1]products!$A:$D,4,FALSE)</f>
        <v>1</v>
      </c>
      <c r="J2819" t="str">
        <f>VLOOKUP(I2819,[2]categories!$A$1:$B$8,2,FALSE)</f>
        <v>Children Bicycles</v>
      </c>
    </row>
    <row r="2820" customHeight="1" spans="1:10">
      <c r="A2820" s="1">
        <v>984</v>
      </c>
      <c r="B2820" s="1">
        <v>1</v>
      </c>
      <c r="C2820" s="1">
        <v>68</v>
      </c>
      <c r="D2820" s="1">
        <v>1</v>
      </c>
      <c r="E2820" s="1">
        <v>449.99</v>
      </c>
      <c r="F2820" s="1">
        <v>0.2</v>
      </c>
      <c r="G2820">
        <f t="shared" si="44"/>
        <v>449.79</v>
      </c>
      <c r="H2820" t="str">
        <f>VLOOKUP(C2820,[1]products!$A:$B,2,FALSE)</f>
        <v>Sun Bicycles Cruz 3 - 2017</v>
      </c>
      <c r="I2820">
        <f>VLOOKUP(C2820,[1]products!$A:$D,4,FALSE)</f>
        <v>3</v>
      </c>
      <c r="J2820" t="str">
        <f>VLOOKUP(I2820,[2]categories!$A$1:$B$8,2,FALSE)</f>
        <v>Cruisers Bicycles</v>
      </c>
    </row>
    <row r="2821" customHeight="1" spans="1:10">
      <c r="A2821" s="1">
        <v>984</v>
      </c>
      <c r="B2821" s="1">
        <v>2</v>
      </c>
      <c r="C2821" s="1">
        <v>81</v>
      </c>
      <c r="D2821" s="1">
        <v>2</v>
      </c>
      <c r="E2821" s="1">
        <v>1099.99</v>
      </c>
      <c r="F2821" s="1">
        <v>0.2</v>
      </c>
      <c r="G2821">
        <f t="shared" si="44"/>
        <v>2199.78</v>
      </c>
      <c r="H2821" t="str">
        <f>VLOOKUP(C2821,[1]products!$A:$B,2,FALSE)</f>
        <v>Electra Amsterdam Fashion 7i Ladies' - 2017</v>
      </c>
      <c r="I2821">
        <f>VLOOKUP(C2821,[1]products!$A:$D,4,FALSE)</f>
        <v>3</v>
      </c>
      <c r="J2821" t="str">
        <f>VLOOKUP(I2821,[2]categories!$A$1:$B$8,2,FALSE)</f>
        <v>Cruisers Bicycles</v>
      </c>
    </row>
    <row r="2822" customHeight="1" spans="1:10">
      <c r="A2822" s="1">
        <v>984</v>
      </c>
      <c r="B2822" s="1">
        <v>3</v>
      </c>
      <c r="C2822" s="1">
        <v>12</v>
      </c>
      <c r="D2822" s="1">
        <v>1</v>
      </c>
      <c r="E2822" s="1">
        <v>549.99</v>
      </c>
      <c r="F2822" s="1">
        <v>0.1</v>
      </c>
      <c r="G2822">
        <f t="shared" si="44"/>
        <v>549.89</v>
      </c>
      <c r="H2822" t="str">
        <f>VLOOKUP(C2822,[1]products!$A:$B,2,FALSE)</f>
        <v>Electra Townie Original 21D - 2016</v>
      </c>
      <c r="I2822">
        <f>VLOOKUP(C2822,[1]products!$A:$D,4,FALSE)</f>
        <v>3</v>
      </c>
      <c r="J2822" t="str">
        <f>VLOOKUP(I2822,[2]categories!$A$1:$B$8,2,FALSE)</f>
        <v>Cruisers Bicycles</v>
      </c>
    </row>
    <row r="2823" customHeight="1" spans="1:10">
      <c r="A2823" s="1">
        <v>984</v>
      </c>
      <c r="B2823" s="1">
        <v>4</v>
      </c>
      <c r="C2823" s="1">
        <v>111</v>
      </c>
      <c r="D2823" s="1">
        <v>1</v>
      </c>
      <c r="E2823" s="1">
        <v>470.99</v>
      </c>
      <c r="F2823" s="1">
        <v>0.2</v>
      </c>
      <c r="G2823">
        <f t="shared" si="44"/>
        <v>470.79</v>
      </c>
      <c r="H2823" t="str">
        <f>VLOOKUP(C2823,[1]products!$A:$B,2,FALSE)</f>
        <v>Sun Bicycles Drifter 7 - Women's - 2017</v>
      </c>
      <c r="I2823">
        <f>VLOOKUP(C2823,[1]products!$A:$D,4,FALSE)</f>
        <v>2</v>
      </c>
      <c r="J2823" t="str">
        <f>VLOOKUP(I2823,[2]categories!$A$1:$B$8,2,FALSE)</f>
        <v>Comfort Bicycles</v>
      </c>
    </row>
    <row r="2824" customHeight="1" spans="1:10">
      <c r="A2824" s="1">
        <v>985</v>
      </c>
      <c r="B2824" s="1">
        <v>1</v>
      </c>
      <c r="C2824" s="1">
        <v>5</v>
      </c>
      <c r="D2824" s="1">
        <v>2</v>
      </c>
      <c r="E2824" s="1">
        <v>1320.99</v>
      </c>
      <c r="F2824" s="1">
        <v>0.07</v>
      </c>
      <c r="G2824">
        <f t="shared" si="44"/>
        <v>2641.91</v>
      </c>
      <c r="H2824" t="str">
        <f>VLOOKUP(C2824,[1]products!$A:$B,2,FALSE)</f>
        <v>Heller Shagamaw Frame - 2016</v>
      </c>
      <c r="I2824">
        <f>VLOOKUP(C2824,[1]products!$A:$D,4,FALSE)</f>
        <v>6</v>
      </c>
      <c r="J2824" t="str">
        <f>VLOOKUP(I2824,[2]categories!$A$1:$B$8,2,FALSE)</f>
        <v>Mountain Bikes</v>
      </c>
    </row>
    <row r="2825" customHeight="1" spans="1:10">
      <c r="A2825" s="1">
        <v>985</v>
      </c>
      <c r="B2825" s="1">
        <v>2</v>
      </c>
      <c r="C2825" s="1">
        <v>59</v>
      </c>
      <c r="D2825" s="1">
        <v>1</v>
      </c>
      <c r="E2825" s="1">
        <v>2599.99</v>
      </c>
      <c r="F2825" s="1">
        <v>0.2</v>
      </c>
      <c r="G2825">
        <f t="shared" si="44"/>
        <v>2599.79</v>
      </c>
      <c r="H2825" t="str">
        <f>VLOOKUP(C2825,[1]products!$A:$B,2,FALSE)</f>
        <v>Trek Domane S 5 Disc - 2017</v>
      </c>
      <c r="I2825">
        <f>VLOOKUP(C2825,[1]products!$A:$D,4,FALSE)</f>
        <v>7</v>
      </c>
      <c r="J2825" t="str">
        <f>VLOOKUP(I2825,[2]categories!$A$1:$B$8,2,FALSE)</f>
        <v>Road Bikes</v>
      </c>
    </row>
    <row r="2826" customHeight="1" spans="1:10">
      <c r="A2826" s="1">
        <v>985</v>
      </c>
      <c r="B2826" s="1">
        <v>3</v>
      </c>
      <c r="C2826" s="1">
        <v>78</v>
      </c>
      <c r="D2826" s="1">
        <v>2</v>
      </c>
      <c r="E2826" s="1">
        <v>647.99</v>
      </c>
      <c r="F2826" s="1">
        <v>0.05</v>
      </c>
      <c r="G2826">
        <f t="shared" si="44"/>
        <v>1295.93</v>
      </c>
      <c r="H2826" t="str">
        <f>VLOOKUP(C2826,[1]products!$A:$B,2,FALSE)</f>
        <v>Sun Bicycles Biscayne Tandem CB - 2017</v>
      </c>
      <c r="I2826">
        <f>VLOOKUP(C2826,[1]products!$A:$D,4,FALSE)</f>
        <v>3</v>
      </c>
      <c r="J2826" t="str">
        <f>VLOOKUP(I2826,[2]categories!$A$1:$B$8,2,FALSE)</f>
        <v>Cruisers Bicycles</v>
      </c>
    </row>
    <row r="2827" customHeight="1" spans="1:10">
      <c r="A2827" s="1">
        <v>986</v>
      </c>
      <c r="B2827" s="1">
        <v>1</v>
      </c>
      <c r="C2827" s="1">
        <v>87</v>
      </c>
      <c r="D2827" s="1">
        <v>1</v>
      </c>
      <c r="E2827" s="1">
        <v>189.99</v>
      </c>
      <c r="F2827" s="1">
        <v>0.1</v>
      </c>
      <c r="G2827">
        <f t="shared" si="44"/>
        <v>189.89</v>
      </c>
      <c r="H2827" t="str">
        <f>VLOOKUP(C2827,[1]products!$A:$B,2,FALSE)</f>
        <v>Trek Precaliber 12 Boys - 2017</v>
      </c>
      <c r="I2827">
        <f>VLOOKUP(C2827,[1]products!$A:$D,4,FALSE)</f>
        <v>1</v>
      </c>
      <c r="J2827" t="str">
        <f>VLOOKUP(I2827,[2]categories!$A$1:$B$8,2,FALSE)</f>
        <v>Children Bicycles</v>
      </c>
    </row>
    <row r="2828" customHeight="1" spans="1:10">
      <c r="A2828" s="1">
        <v>986</v>
      </c>
      <c r="B2828" s="1">
        <v>2</v>
      </c>
      <c r="C2828" s="1">
        <v>78</v>
      </c>
      <c r="D2828" s="1">
        <v>1</v>
      </c>
      <c r="E2828" s="1">
        <v>647.99</v>
      </c>
      <c r="F2828" s="1">
        <v>0.05</v>
      </c>
      <c r="G2828">
        <f t="shared" si="44"/>
        <v>647.94</v>
      </c>
      <c r="H2828" t="str">
        <f>VLOOKUP(C2828,[1]products!$A:$B,2,FALSE)</f>
        <v>Sun Bicycles Biscayne Tandem CB - 2017</v>
      </c>
      <c r="I2828">
        <f>VLOOKUP(C2828,[1]products!$A:$D,4,FALSE)</f>
        <v>3</v>
      </c>
      <c r="J2828" t="str">
        <f>VLOOKUP(I2828,[2]categories!$A$1:$B$8,2,FALSE)</f>
        <v>Cruisers Bicycles</v>
      </c>
    </row>
    <row r="2829" customHeight="1" spans="1:10">
      <c r="A2829" s="1">
        <v>986</v>
      </c>
      <c r="B2829" s="1">
        <v>3</v>
      </c>
      <c r="C2829" s="1">
        <v>26</v>
      </c>
      <c r="D2829" s="1">
        <v>2</v>
      </c>
      <c r="E2829" s="1">
        <v>599.99</v>
      </c>
      <c r="F2829" s="1">
        <v>0.07</v>
      </c>
      <c r="G2829">
        <f t="shared" si="44"/>
        <v>1199.91</v>
      </c>
      <c r="H2829" t="str">
        <f>VLOOKUP(C2829,[1]products!$A:$B,2,FALSE)</f>
        <v>Electra Townie Original 7D EQ - 2016</v>
      </c>
      <c r="I2829">
        <f>VLOOKUP(C2829,[1]products!$A:$D,4,FALSE)</f>
        <v>2</v>
      </c>
      <c r="J2829" t="str">
        <f>VLOOKUP(I2829,[2]categories!$A$1:$B$8,2,FALSE)</f>
        <v>Comfort Bicycles</v>
      </c>
    </row>
    <row r="2830" customHeight="1" spans="1:10">
      <c r="A2830" s="1">
        <v>987</v>
      </c>
      <c r="B2830" s="1">
        <v>1</v>
      </c>
      <c r="C2830" s="1">
        <v>51</v>
      </c>
      <c r="D2830" s="1">
        <v>2</v>
      </c>
      <c r="E2830" s="1">
        <v>6499.99</v>
      </c>
      <c r="F2830" s="1">
        <v>0.1</v>
      </c>
      <c r="G2830">
        <f t="shared" si="44"/>
        <v>12999.88</v>
      </c>
      <c r="H2830" t="str">
        <f>VLOOKUP(C2830,[1]products!$A:$B,2,FALSE)</f>
        <v>Trek Silque SLR 8 Women's - 2017</v>
      </c>
      <c r="I2830">
        <f>VLOOKUP(C2830,[1]products!$A:$D,4,FALSE)</f>
        <v>7</v>
      </c>
      <c r="J2830" t="str">
        <f>VLOOKUP(I2830,[2]categories!$A$1:$B$8,2,FALSE)</f>
        <v>Road Bikes</v>
      </c>
    </row>
    <row r="2831" customHeight="1" spans="1:10">
      <c r="A2831" s="1">
        <v>987</v>
      </c>
      <c r="B2831" s="1">
        <v>2</v>
      </c>
      <c r="C2831" s="1">
        <v>60</v>
      </c>
      <c r="D2831" s="1">
        <v>2</v>
      </c>
      <c r="E2831" s="1">
        <v>1559.99</v>
      </c>
      <c r="F2831" s="1">
        <v>0.2</v>
      </c>
      <c r="G2831">
        <f t="shared" si="44"/>
        <v>3119.78</v>
      </c>
      <c r="H2831" t="str">
        <f>VLOOKUP(C2831,[1]products!$A:$B,2,FALSE)</f>
        <v>Sun Bicycles ElectroLite - 2017</v>
      </c>
      <c r="I2831">
        <f>VLOOKUP(C2831,[1]products!$A:$D,4,FALSE)</f>
        <v>5</v>
      </c>
      <c r="J2831" t="str">
        <f>VLOOKUP(I2831,[2]categories!$A$1:$B$8,2,FALSE)</f>
        <v>Electric Bikes</v>
      </c>
    </row>
    <row r="2832" customHeight="1" spans="1:10">
      <c r="A2832" s="1">
        <v>987</v>
      </c>
      <c r="B2832" s="1">
        <v>3</v>
      </c>
      <c r="C2832" s="1">
        <v>80</v>
      </c>
      <c r="D2832" s="1">
        <v>1</v>
      </c>
      <c r="E2832" s="1">
        <v>761.99</v>
      </c>
      <c r="F2832" s="1">
        <v>0.07</v>
      </c>
      <c r="G2832">
        <f t="shared" si="44"/>
        <v>761.92</v>
      </c>
      <c r="H2832" t="str">
        <f>VLOOKUP(C2832,[1]products!$A:$B,2,FALSE)</f>
        <v>Sun Bicycles Brickell Tandem CB - 2017</v>
      </c>
      <c r="I2832">
        <f>VLOOKUP(C2832,[1]products!$A:$D,4,FALSE)</f>
        <v>3</v>
      </c>
      <c r="J2832" t="str">
        <f>VLOOKUP(I2832,[2]categories!$A$1:$B$8,2,FALSE)</f>
        <v>Cruisers Bicycles</v>
      </c>
    </row>
    <row r="2833" customHeight="1" spans="1:10">
      <c r="A2833" s="1">
        <v>988</v>
      </c>
      <c r="B2833" s="1">
        <v>1</v>
      </c>
      <c r="C2833" s="1">
        <v>35</v>
      </c>
      <c r="D2833" s="1">
        <v>1</v>
      </c>
      <c r="E2833" s="1">
        <v>832.99</v>
      </c>
      <c r="F2833" s="1">
        <v>0.2</v>
      </c>
      <c r="G2833">
        <f t="shared" si="44"/>
        <v>832.79</v>
      </c>
      <c r="H2833" t="str">
        <f>VLOOKUP(C2833,[1]products!$A:$B,2,FALSE)</f>
        <v>Sun Bicycles Spider 3i - 2017</v>
      </c>
      <c r="I2833">
        <f>VLOOKUP(C2833,[1]products!$A:$D,4,FALSE)</f>
        <v>6</v>
      </c>
      <c r="J2833" t="str">
        <f>VLOOKUP(I2833,[2]categories!$A$1:$B$8,2,FALSE)</f>
        <v>Mountain Bikes</v>
      </c>
    </row>
    <row r="2834" customHeight="1" spans="1:10">
      <c r="A2834" s="1">
        <v>988</v>
      </c>
      <c r="B2834" s="1">
        <v>2</v>
      </c>
      <c r="C2834" s="1">
        <v>38</v>
      </c>
      <c r="D2834" s="1">
        <v>1</v>
      </c>
      <c r="E2834" s="1">
        <v>549.99</v>
      </c>
      <c r="F2834" s="1">
        <v>0.07</v>
      </c>
      <c r="G2834">
        <f t="shared" si="44"/>
        <v>549.92</v>
      </c>
      <c r="H2834" t="str">
        <f>VLOOKUP(C2834,[1]products!$A:$B,2,FALSE)</f>
        <v>Haro Flightline Two 26 Plus - 2017</v>
      </c>
      <c r="I2834">
        <f>VLOOKUP(C2834,[1]products!$A:$D,4,FALSE)</f>
        <v>6</v>
      </c>
      <c r="J2834" t="str">
        <f>VLOOKUP(I2834,[2]categories!$A$1:$B$8,2,FALSE)</f>
        <v>Mountain Bikes</v>
      </c>
    </row>
    <row r="2835" customHeight="1" spans="1:10">
      <c r="A2835" s="1">
        <v>988</v>
      </c>
      <c r="B2835" s="1">
        <v>3</v>
      </c>
      <c r="C2835" s="1">
        <v>12</v>
      </c>
      <c r="D2835" s="1">
        <v>2</v>
      </c>
      <c r="E2835" s="1">
        <v>549.99</v>
      </c>
      <c r="F2835" s="1">
        <v>0.07</v>
      </c>
      <c r="G2835">
        <f t="shared" si="44"/>
        <v>1099.91</v>
      </c>
      <c r="H2835" t="str">
        <f>VLOOKUP(C2835,[1]products!$A:$B,2,FALSE)</f>
        <v>Electra Townie Original 21D - 2016</v>
      </c>
      <c r="I2835">
        <f>VLOOKUP(C2835,[1]products!$A:$D,4,FALSE)</f>
        <v>3</v>
      </c>
      <c r="J2835" t="str">
        <f>VLOOKUP(I2835,[2]categories!$A$1:$B$8,2,FALSE)</f>
        <v>Cruisers Bicycles</v>
      </c>
    </row>
    <row r="2836" customHeight="1" spans="1:10">
      <c r="A2836" s="1">
        <v>989</v>
      </c>
      <c r="B2836" s="1">
        <v>1</v>
      </c>
      <c r="C2836" s="1">
        <v>99</v>
      </c>
      <c r="D2836" s="1">
        <v>1</v>
      </c>
      <c r="E2836" s="1">
        <v>299.99</v>
      </c>
      <c r="F2836" s="1">
        <v>0.05</v>
      </c>
      <c r="G2836">
        <f t="shared" si="44"/>
        <v>299.94</v>
      </c>
      <c r="H2836" t="str">
        <f>VLOOKUP(C2836,[1]products!$A:$B,2,FALSE)</f>
        <v>Electra Sugar Skulls 1 (20-inch) - Girl's - 2017</v>
      </c>
      <c r="I2836">
        <f>VLOOKUP(C2836,[1]products!$A:$D,4,FALSE)</f>
        <v>1</v>
      </c>
      <c r="J2836" t="str">
        <f>VLOOKUP(I2836,[2]categories!$A$1:$B$8,2,FALSE)</f>
        <v>Children Bicycles</v>
      </c>
    </row>
    <row r="2837" customHeight="1" spans="1:10">
      <c r="A2837" s="1">
        <v>989</v>
      </c>
      <c r="B2837" s="1">
        <v>2</v>
      </c>
      <c r="C2837" s="1">
        <v>27</v>
      </c>
      <c r="D2837" s="1">
        <v>1</v>
      </c>
      <c r="E2837" s="1">
        <v>999.99</v>
      </c>
      <c r="F2837" s="1">
        <v>0.1</v>
      </c>
      <c r="G2837">
        <f t="shared" si="44"/>
        <v>999.89</v>
      </c>
      <c r="H2837" t="str">
        <f>VLOOKUP(C2837,[1]products!$A:$B,2,FALSE)</f>
        <v>Surly Big Dummy Frameset - 2017</v>
      </c>
      <c r="I2837">
        <f>VLOOKUP(C2837,[1]products!$A:$D,4,FALSE)</f>
        <v>6</v>
      </c>
      <c r="J2837" t="str">
        <f>VLOOKUP(I2837,[2]categories!$A$1:$B$8,2,FALSE)</f>
        <v>Mountain Bikes</v>
      </c>
    </row>
    <row r="2838" customHeight="1" spans="1:10">
      <c r="A2838" s="1">
        <v>989</v>
      </c>
      <c r="B2838" s="1">
        <v>3</v>
      </c>
      <c r="C2838" s="1">
        <v>70</v>
      </c>
      <c r="D2838" s="1">
        <v>1</v>
      </c>
      <c r="E2838" s="1">
        <v>659.99</v>
      </c>
      <c r="F2838" s="1">
        <v>0.1</v>
      </c>
      <c r="G2838">
        <f t="shared" si="44"/>
        <v>659.89</v>
      </c>
      <c r="H2838" t="str">
        <f>VLOOKUP(C2838,[1]products!$A:$B,2,FALSE)</f>
        <v>Electra Amsterdam Original 3i - 2015/2017</v>
      </c>
      <c r="I2838">
        <f>VLOOKUP(C2838,[1]products!$A:$D,4,FALSE)</f>
        <v>3</v>
      </c>
      <c r="J2838" t="str">
        <f>VLOOKUP(I2838,[2]categories!$A$1:$B$8,2,FALSE)</f>
        <v>Cruisers Bicycles</v>
      </c>
    </row>
    <row r="2839" customHeight="1" spans="1:10">
      <c r="A2839" s="1">
        <v>989</v>
      </c>
      <c r="B2839" s="1">
        <v>4</v>
      </c>
      <c r="C2839" s="1">
        <v>84</v>
      </c>
      <c r="D2839" s="1">
        <v>2</v>
      </c>
      <c r="E2839" s="1">
        <v>109.99</v>
      </c>
      <c r="F2839" s="1">
        <v>0.07</v>
      </c>
      <c r="G2839">
        <f t="shared" si="44"/>
        <v>219.91</v>
      </c>
      <c r="H2839" t="str">
        <f>VLOOKUP(C2839,[1]products!$A:$B,2,FALSE)</f>
        <v>Sun Bicycles Lil Kitt'n - 2017</v>
      </c>
      <c r="I2839">
        <f>VLOOKUP(C2839,[1]products!$A:$D,4,FALSE)</f>
        <v>1</v>
      </c>
      <c r="J2839" t="str">
        <f>VLOOKUP(I2839,[2]categories!$A$1:$B$8,2,FALSE)</f>
        <v>Children Bicycles</v>
      </c>
    </row>
    <row r="2840" customHeight="1" spans="1:10">
      <c r="A2840" s="1">
        <v>989</v>
      </c>
      <c r="B2840" s="1">
        <v>5</v>
      </c>
      <c r="C2840" s="1">
        <v>5</v>
      </c>
      <c r="D2840" s="1">
        <v>1</v>
      </c>
      <c r="E2840" s="1">
        <v>1320.99</v>
      </c>
      <c r="F2840" s="1">
        <v>0.1</v>
      </c>
      <c r="G2840">
        <f t="shared" si="44"/>
        <v>1320.89</v>
      </c>
      <c r="H2840" t="str">
        <f>VLOOKUP(C2840,[1]products!$A:$B,2,FALSE)</f>
        <v>Heller Shagamaw Frame - 2016</v>
      </c>
      <c r="I2840">
        <f>VLOOKUP(C2840,[1]products!$A:$D,4,FALSE)</f>
        <v>6</v>
      </c>
      <c r="J2840" t="str">
        <f>VLOOKUP(I2840,[2]categories!$A$1:$B$8,2,FALSE)</f>
        <v>Mountain Bikes</v>
      </c>
    </row>
    <row r="2841" customHeight="1" spans="1:10">
      <c r="A2841" s="1">
        <v>990</v>
      </c>
      <c r="B2841" s="1">
        <v>1</v>
      </c>
      <c r="C2841" s="1">
        <v>6</v>
      </c>
      <c r="D2841" s="1">
        <v>2</v>
      </c>
      <c r="E2841" s="1">
        <v>469.99</v>
      </c>
      <c r="F2841" s="1">
        <v>0.2</v>
      </c>
      <c r="G2841">
        <f t="shared" si="44"/>
        <v>939.78</v>
      </c>
      <c r="H2841" t="str">
        <f>VLOOKUP(C2841,[1]products!$A:$B,2,FALSE)</f>
        <v>Surly Ice Cream Truck Frameset - 2016</v>
      </c>
      <c r="I2841">
        <f>VLOOKUP(C2841,[1]products!$A:$D,4,FALSE)</f>
        <v>6</v>
      </c>
      <c r="J2841" t="str">
        <f>VLOOKUP(I2841,[2]categories!$A$1:$B$8,2,FALSE)</f>
        <v>Mountain Bikes</v>
      </c>
    </row>
    <row r="2842" customHeight="1" spans="1:10">
      <c r="A2842" s="1">
        <v>990</v>
      </c>
      <c r="B2842" s="1">
        <v>2</v>
      </c>
      <c r="C2842" s="1">
        <v>29</v>
      </c>
      <c r="D2842" s="1">
        <v>1</v>
      </c>
      <c r="E2842" s="1">
        <v>999.99</v>
      </c>
      <c r="F2842" s="1">
        <v>0.1</v>
      </c>
      <c r="G2842">
        <f t="shared" si="44"/>
        <v>999.89</v>
      </c>
      <c r="H2842" t="str">
        <f>VLOOKUP(C2842,[1]products!$A:$B,2,FALSE)</f>
        <v>Trek X-Caliber 8 - 2017</v>
      </c>
      <c r="I2842">
        <f>VLOOKUP(C2842,[1]products!$A:$D,4,FALSE)</f>
        <v>6</v>
      </c>
      <c r="J2842" t="str">
        <f>VLOOKUP(I2842,[2]categories!$A$1:$B$8,2,FALSE)</f>
        <v>Mountain Bikes</v>
      </c>
    </row>
    <row r="2843" customHeight="1" spans="1:10">
      <c r="A2843" s="1">
        <v>990</v>
      </c>
      <c r="B2843" s="1">
        <v>3</v>
      </c>
      <c r="C2843" s="1">
        <v>91</v>
      </c>
      <c r="D2843" s="1">
        <v>1</v>
      </c>
      <c r="E2843" s="1">
        <v>349.99</v>
      </c>
      <c r="F2843" s="1">
        <v>0.1</v>
      </c>
      <c r="G2843">
        <f t="shared" si="44"/>
        <v>349.89</v>
      </c>
      <c r="H2843" t="str">
        <f>VLOOKUP(C2843,[1]products!$A:$B,2,FALSE)</f>
        <v>Trek Precaliber 24 (21-Speed) - Girls - 2017</v>
      </c>
      <c r="I2843">
        <f>VLOOKUP(C2843,[1]products!$A:$D,4,FALSE)</f>
        <v>1</v>
      </c>
      <c r="J2843" t="str">
        <f>VLOOKUP(I2843,[2]categories!$A$1:$B$8,2,FALSE)</f>
        <v>Children Bicycles</v>
      </c>
    </row>
    <row r="2844" customHeight="1" spans="1:10">
      <c r="A2844" s="1">
        <v>990</v>
      </c>
      <c r="B2844" s="1">
        <v>4</v>
      </c>
      <c r="C2844" s="1">
        <v>14</v>
      </c>
      <c r="D2844" s="1">
        <v>2</v>
      </c>
      <c r="E2844" s="1">
        <v>269.99</v>
      </c>
      <c r="F2844" s="1">
        <v>0.1</v>
      </c>
      <c r="G2844">
        <f t="shared" si="44"/>
        <v>539.88</v>
      </c>
      <c r="H2844" t="str">
        <f>VLOOKUP(C2844,[1]products!$A:$B,2,FALSE)</f>
        <v>Electra Girl's Hawaii 1 (16-inch) - 2015/2016</v>
      </c>
      <c r="I2844">
        <f>VLOOKUP(C2844,[1]products!$A:$D,4,FALSE)</f>
        <v>3</v>
      </c>
      <c r="J2844" t="str">
        <f>VLOOKUP(I2844,[2]categories!$A$1:$B$8,2,FALSE)</f>
        <v>Cruisers Bicycles</v>
      </c>
    </row>
    <row r="2845" customHeight="1" spans="1:10">
      <c r="A2845" s="1">
        <v>991</v>
      </c>
      <c r="B2845" s="1">
        <v>1</v>
      </c>
      <c r="C2845" s="1">
        <v>9</v>
      </c>
      <c r="D2845" s="1">
        <v>2</v>
      </c>
      <c r="E2845" s="1">
        <v>2999.99</v>
      </c>
      <c r="F2845" s="1">
        <v>0.2</v>
      </c>
      <c r="G2845">
        <f t="shared" si="44"/>
        <v>5999.78</v>
      </c>
      <c r="H2845" t="str">
        <f>VLOOKUP(C2845,[1]products!$A:$B,2,FALSE)</f>
        <v>Trek Conduit+ - 2016</v>
      </c>
      <c r="I2845">
        <f>VLOOKUP(C2845,[1]products!$A:$D,4,FALSE)</f>
        <v>5</v>
      </c>
      <c r="J2845" t="str">
        <f>VLOOKUP(I2845,[2]categories!$A$1:$B$8,2,FALSE)</f>
        <v>Electric Bikes</v>
      </c>
    </row>
    <row r="2846" customHeight="1" spans="1:10">
      <c r="A2846" s="1">
        <v>991</v>
      </c>
      <c r="B2846" s="1">
        <v>2</v>
      </c>
      <c r="C2846" s="1">
        <v>79</v>
      </c>
      <c r="D2846" s="1">
        <v>1</v>
      </c>
      <c r="E2846" s="1">
        <v>402.99</v>
      </c>
      <c r="F2846" s="1">
        <v>0.2</v>
      </c>
      <c r="G2846">
        <f t="shared" si="44"/>
        <v>402.79</v>
      </c>
      <c r="H2846" t="str">
        <f>VLOOKUP(C2846,[1]products!$A:$B,2,FALSE)</f>
        <v>Sun Bicycles Boardwalk (24-inch Wheels) - 2017</v>
      </c>
      <c r="I2846">
        <f>VLOOKUP(C2846,[1]products!$A:$D,4,FALSE)</f>
        <v>3</v>
      </c>
      <c r="J2846" t="str">
        <f>VLOOKUP(I2846,[2]categories!$A$1:$B$8,2,FALSE)</f>
        <v>Cruisers Bicycles</v>
      </c>
    </row>
    <row r="2847" customHeight="1" spans="1:10">
      <c r="A2847" s="1">
        <v>991</v>
      </c>
      <c r="B2847" s="1">
        <v>3</v>
      </c>
      <c r="C2847" s="1">
        <v>34</v>
      </c>
      <c r="D2847" s="1">
        <v>1</v>
      </c>
      <c r="E2847" s="1">
        <v>469.99</v>
      </c>
      <c r="F2847" s="1">
        <v>0.2</v>
      </c>
      <c r="G2847">
        <f t="shared" si="44"/>
        <v>469.79</v>
      </c>
      <c r="H2847" t="str">
        <f>VLOOKUP(C2847,[1]products!$A:$B,2,FALSE)</f>
        <v>Trek Session DH 27.5 Carbon Frameset - 2017</v>
      </c>
      <c r="I2847">
        <f>VLOOKUP(C2847,[1]products!$A:$D,4,FALSE)</f>
        <v>6</v>
      </c>
      <c r="J2847" t="str">
        <f>VLOOKUP(I2847,[2]categories!$A$1:$B$8,2,FALSE)</f>
        <v>Mountain Bikes</v>
      </c>
    </row>
    <row r="2848" customHeight="1" spans="1:10">
      <c r="A2848" s="1">
        <v>992</v>
      </c>
      <c r="B2848" s="1">
        <v>1</v>
      </c>
      <c r="C2848" s="1">
        <v>45</v>
      </c>
      <c r="D2848" s="1">
        <v>1</v>
      </c>
      <c r="E2848" s="1">
        <v>869.99</v>
      </c>
      <c r="F2848" s="1">
        <v>0.07</v>
      </c>
      <c r="G2848">
        <f t="shared" si="44"/>
        <v>869.92</v>
      </c>
      <c r="H2848" t="str">
        <f>VLOOKUP(C2848,[1]products!$A:$B,2,FALSE)</f>
        <v>Haro SR 1.2 - 2017</v>
      </c>
      <c r="I2848">
        <f>VLOOKUP(C2848,[1]products!$A:$D,4,FALSE)</f>
        <v>6</v>
      </c>
      <c r="J2848" t="str">
        <f>VLOOKUP(I2848,[2]categories!$A$1:$B$8,2,FALSE)</f>
        <v>Mountain Bikes</v>
      </c>
    </row>
    <row r="2849" customHeight="1" spans="1:10">
      <c r="A2849" s="1">
        <v>992</v>
      </c>
      <c r="B2849" s="1">
        <v>2</v>
      </c>
      <c r="C2849" s="1">
        <v>102</v>
      </c>
      <c r="D2849" s="1">
        <v>1</v>
      </c>
      <c r="E2849" s="1">
        <v>489.99</v>
      </c>
      <c r="F2849" s="1">
        <v>0.1</v>
      </c>
      <c r="G2849">
        <f t="shared" si="44"/>
        <v>489.89</v>
      </c>
      <c r="H2849" t="str">
        <f>VLOOKUP(C2849,[1]products!$A:$B,2,FALSE)</f>
        <v>Electra Townie Original 7D - 2017</v>
      </c>
      <c r="I2849">
        <f>VLOOKUP(C2849,[1]products!$A:$D,4,FALSE)</f>
        <v>2</v>
      </c>
      <c r="J2849" t="str">
        <f>VLOOKUP(I2849,[2]categories!$A$1:$B$8,2,FALSE)</f>
        <v>Comfort Bicycles</v>
      </c>
    </row>
    <row r="2850" customHeight="1" spans="1:10">
      <c r="A2850" s="1">
        <v>992</v>
      </c>
      <c r="B2850" s="1">
        <v>3</v>
      </c>
      <c r="C2850" s="1">
        <v>20</v>
      </c>
      <c r="D2850" s="1">
        <v>1</v>
      </c>
      <c r="E2850" s="1">
        <v>599.99</v>
      </c>
      <c r="F2850" s="1">
        <v>0.2</v>
      </c>
      <c r="G2850">
        <f t="shared" si="44"/>
        <v>599.79</v>
      </c>
      <c r="H2850" t="str">
        <f>VLOOKUP(C2850,[1]products!$A:$B,2,FALSE)</f>
        <v>Electra Townie Original 7D EQ - Women's - 2016</v>
      </c>
      <c r="I2850">
        <f>VLOOKUP(C2850,[1]products!$A:$D,4,FALSE)</f>
        <v>3</v>
      </c>
      <c r="J2850" t="str">
        <f>VLOOKUP(I2850,[2]categories!$A$1:$B$8,2,FALSE)</f>
        <v>Cruisers Bicycles</v>
      </c>
    </row>
    <row r="2851" customHeight="1" spans="1:10">
      <c r="A2851" s="1">
        <v>992</v>
      </c>
      <c r="B2851" s="1">
        <v>4</v>
      </c>
      <c r="C2851" s="1">
        <v>101</v>
      </c>
      <c r="D2851" s="1">
        <v>2</v>
      </c>
      <c r="E2851" s="1">
        <v>339.99</v>
      </c>
      <c r="F2851" s="1">
        <v>0.2</v>
      </c>
      <c r="G2851">
        <f t="shared" si="44"/>
        <v>679.78</v>
      </c>
      <c r="H2851" t="str">
        <f>VLOOKUP(C2851,[1]products!$A:$B,2,FALSE)</f>
        <v>Electra Townie 7D (20-inch) - Boys' - 2017</v>
      </c>
      <c r="I2851">
        <f>VLOOKUP(C2851,[1]products!$A:$D,4,FALSE)</f>
        <v>1</v>
      </c>
      <c r="J2851" t="str">
        <f>VLOOKUP(I2851,[2]categories!$A$1:$B$8,2,FALSE)</f>
        <v>Children Bicycles</v>
      </c>
    </row>
    <row r="2852" customHeight="1" spans="1:10">
      <c r="A2852" s="1">
        <v>992</v>
      </c>
      <c r="B2852" s="1">
        <v>5</v>
      </c>
      <c r="C2852" s="1">
        <v>7</v>
      </c>
      <c r="D2852" s="1">
        <v>1</v>
      </c>
      <c r="E2852" s="1">
        <v>3999.99</v>
      </c>
      <c r="F2852" s="1">
        <v>0.05</v>
      </c>
      <c r="G2852">
        <f t="shared" si="44"/>
        <v>3999.94</v>
      </c>
      <c r="H2852" t="str">
        <f>VLOOKUP(C2852,[1]products!$A:$B,2,FALSE)</f>
        <v>Trek Slash 8 27.5 - 2016</v>
      </c>
      <c r="I2852">
        <f>VLOOKUP(C2852,[1]products!$A:$D,4,FALSE)</f>
        <v>6</v>
      </c>
      <c r="J2852" t="str">
        <f>VLOOKUP(I2852,[2]categories!$A$1:$B$8,2,FALSE)</f>
        <v>Mountain Bikes</v>
      </c>
    </row>
    <row r="2853" customHeight="1" spans="1:10">
      <c r="A2853" s="1">
        <v>993</v>
      </c>
      <c r="B2853" s="1">
        <v>1</v>
      </c>
      <c r="C2853" s="1">
        <v>58</v>
      </c>
      <c r="D2853" s="1">
        <v>1</v>
      </c>
      <c r="E2853" s="1">
        <v>4999.99</v>
      </c>
      <c r="F2853" s="1">
        <v>0.2</v>
      </c>
      <c r="G2853">
        <f t="shared" si="44"/>
        <v>4999.79</v>
      </c>
      <c r="H2853" t="str">
        <f>VLOOKUP(C2853,[1]products!$A:$B,2,FALSE)</f>
        <v>Trek Madone 9.2 - 2017</v>
      </c>
      <c r="I2853">
        <f>VLOOKUP(C2853,[1]products!$A:$D,4,FALSE)</f>
        <v>7</v>
      </c>
      <c r="J2853" t="str">
        <f>VLOOKUP(I2853,[2]categories!$A$1:$B$8,2,FALSE)</f>
        <v>Road Bikes</v>
      </c>
    </row>
    <row r="2854" customHeight="1" spans="1:10">
      <c r="A2854" s="1">
        <v>993</v>
      </c>
      <c r="B2854" s="1">
        <v>2</v>
      </c>
      <c r="C2854" s="1">
        <v>36</v>
      </c>
      <c r="D2854" s="1">
        <v>2</v>
      </c>
      <c r="E2854" s="1">
        <v>832.99</v>
      </c>
      <c r="F2854" s="1">
        <v>0.1</v>
      </c>
      <c r="G2854">
        <f t="shared" si="44"/>
        <v>1665.88</v>
      </c>
      <c r="H2854" t="str">
        <f>VLOOKUP(C2854,[1]products!$A:$B,2,FALSE)</f>
        <v>Surly Troll Frameset - 2017</v>
      </c>
      <c r="I2854">
        <f>VLOOKUP(C2854,[1]products!$A:$D,4,FALSE)</f>
        <v>6</v>
      </c>
      <c r="J2854" t="str">
        <f>VLOOKUP(I2854,[2]categories!$A$1:$B$8,2,FALSE)</f>
        <v>Mountain Bikes</v>
      </c>
    </row>
    <row r="2855" customHeight="1" spans="1:10">
      <c r="A2855" s="1">
        <v>993</v>
      </c>
      <c r="B2855" s="1">
        <v>3</v>
      </c>
      <c r="C2855" s="1">
        <v>10</v>
      </c>
      <c r="D2855" s="1">
        <v>2</v>
      </c>
      <c r="E2855" s="1">
        <v>1549</v>
      </c>
      <c r="F2855" s="1">
        <v>0.05</v>
      </c>
      <c r="G2855">
        <f t="shared" si="44"/>
        <v>3097.95</v>
      </c>
      <c r="H2855" t="str">
        <f>VLOOKUP(C2855,[1]products!$A:$B,2,FALSE)</f>
        <v>Surly Straggler - 2016</v>
      </c>
      <c r="I2855">
        <f>VLOOKUP(C2855,[1]products!$A:$D,4,FALSE)</f>
        <v>4</v>
      </c>
      <c r="J2855" t="str">
        <f>VLOOKUP(I2855,[2]categories!$A$1:$B$8,2,FALSE)</f>
        <v>Cyclocross Bicycles</v>
      </c>
    </row>
    <row r="2856" customHeight="1" spans="1:10">
      <c r="A2856" s="1">
        <v>993</v>
      </c>
      <c r="B2856" s="1">
        <v>4</v>
      </c>
      <c r="C2856" s="1">
        <v>99</v>
      </c>
      <c r="D2856" s="1">
        <v>2</v>
      </c>
      <c r="E2856" s="1">
        <v>299.99</v>
      </c>
      <c r="F2856" s="1">
        <v>0.07</v>
      </c>
      <c r="G2856">
        <f t="shared" si="44"/>
        <v>599.91</v>
      </c>
      <c r="H2856" t="str">
        <f>VLOOKUP(C2856,[1]products!$A:$B,2,FALSE)</f>
        <v>Electra Sugar Skulls 1 (20-inch) - Girl's - 2017</v>
      </c>
      <c r="I2856">
        <f>VLOOKUP(C2856,[1]products!$A:$D,4,FALSE)</f>
        <v>1</v>
      </c>
      <c r="J2856" t="str">
        <f>VLOOKUP(I2856,[2]categories!$A$1:$B$8,2,FALSE)</f>
        <v>Children Bicycles</v>
      </c>
    </row>
    <row r="2857" customHeight="1" spans="1:10">
      <c r="A2857" s="1">
        <v>993</v>
      </c>
      <c r="B2857" s="1">
        <v>5</v>
      </c>
      <c r="C2857" s="1">
        <v>79</v>
      </c>
      <c r="D2857" s="1">
        <v>2</v>
      </c>
      <c r="E2857" s="1">
        <v>402.99</v>
      </c>
      <c r="F2857" s="1">
        <v>0.1</v>
      </c>
      <c r="G2857">
        <f t="shared" si="44"/>
        <v>805.88</v>
      </c>
      <c r="H2857" t="str">
        <f>VLOOKUP(C2857,[1]products!$A:$B,2,FALSE)</f>
        <v>Sun Bicycles Boardwalk (24-inch Wheels) - 2017</v>
      </c>
      <c r="I2857">
        <f>VLOOKUP(C2857,[1]products!$A:$D,4,FALSE)</f>
        <v>3</v>
      </c>
      <c r="J2857" t="str">
        <f>VLOOKUP(I2857,[2]categories!$A$1:$B$8,2,FALSE)</f>
        <v>Cruisers Bicycles</v>
      </c>
    </row>
    <row r="2858" customHeight="1" spans="1:10">
      <c r="A2858" s="1">
        <v>994</v>
      </c>
      <c r="B2858" s="1">
        <v>1</v>
      </c>
      <c r="C2858" s="1">
        <v>37</v>
      </c>
      <c r="D2858" s="1">
        <v>2</v>
      </c>
      <c r="E2858" s="1">
        <v>379.99</v>
      </c>
      <c r="F2858" s="1">
        <v>0.1</v>
      </c>
      <c r="G2858">
        <f t="shared" si="44"/>
        <v>759.88</v>
      </c>
      <c r="H2858" t="str">
        <f>VLOOKUP(C2858,[1]products!$A:$B,2,FALSE)</f>
        <v>Haro Flightline One ST - 2017</v>
      </c>
      <c r="I2858">
        <f>VLOOKUP(C2858,[1]products!$A:$D,4,FALSE)</f>
        <v>6</v>
      </c>
      <c r="J2858" t="str">
        <f>VLOOKUP(I2858,[2]categories!$A$1:$B$8,2,FALSE)</f>
        <v>Mountain Bikes</v>
      </c>
    </row>
    <row r="2859" customHeight="1" spans="1:10">
      <c r="A2859" s="1">
        <v>994</v>
      </c>
      <c r="B2859" s="1">
        <v>2</v>
      </c>
      <c r="C2859" s="1">
        <v>45</v>
      </c>
      <c r="D2859" s="1">
        <v>1</v>
      </c>
      <c r="E2859" s="1">
        <v>869.99</v>
      </c>
      <c r="F2859" s="1">
        <v>0.2</v>
      </c>
      <c r="G2859">
        <f t="shared" si="44"/>
        <v>869.79</v>
      </c>
      <c r="H2859" t="str">
        <f>VLOOKUP(C2859,[1]products!$A:$B,2,FALSE)</f>
        <v>Haro SR 1.2 - 2017</v>
      </c>
      <c r="I2859">
        <f>VLOOKUP(C2859,[1]products!$A:$D,4,FALSE)</f>
        <v>6</v>
      </c>
      <c r="J2859" t="str">
        <f>VLOOKUP(I2859,[2]categories!$A$1:$B$8,2,FALSE)</f>
        <v>Mountain Bikes</v>
      </c>
    </row>
    <row r="2860" customHeight="1" spans="1:10">
      <c r="A2860" s="1">
        <v>994</v>
      </c>
      <c r="B2860" s="1">
        <v>3</v>
      </c>
      <c r="C2860" s="1">
        <v>66</v>
      </c>
      <c r="D2860" s="1">
        <v>1</v>
      </c>
      <c r="E2860" s="1">
        <v>250.99</v>
      </c>
      <c r="F2860" s="1">
        <v>0.07</v>
      </c>
      <c r="G2860">
        <f t="shared" si="44"/>
        <v>250.92</v>
      </c>
      <c r="H2860" t="str">
        <f>VLOOKUP(C2860,[1]products!$A:$B,2,FALSE)</f>
        <v>Sun Bicycles Revolutions 24 - 2017</v>
      </c>
      <c r="I2860">
        <f>VLOOKUP(C2860,[1]products!$A:$D,4,FALSE)</f>
        <v>3</v>
      </c>
      <c r="J2860" t="str">
        <f>VLOOKUP(I2860,[2]categories!$A$1:$B$8,2,FALSE)</f>
        <v>Cruisers Bicycles</v>
      </c>
    </row>
    <row r="2861" customHeight="1" spans="1:10">
      <c r="A2861" s="1">
        <v>995</v>
      </c>
      <c r="B2861" s="1">
        <v>1</v>
      </c>
      <c r="C2861" s="1">
        <v>16</v>
      </c>
      <c r="D2861" s="1">
        <v>2</v>
      </c>
      <c r="E2861" s="1">
        <v>599.99</v>
      </c>
      <c r="F2861" s="1">
        <v>0.1</v>
      </c>
      <c r="G2861">
        <f t="shared" si="44"/>
        <v>1199.88</v>
      </c>
      <c r="H2861" t="str">
        <f>VLOOKUP(C2861,[1]products!$A:$B,2,FALSE)</f>
        <v>Electra Townie Original 7D EQ - 2016</v>
      </c>
      <c r="I2861">
        <f>VLOOKUP(C2861,[1]products!$A:$D,4,FALSE)</f>
        <v>3</v>
      </c>
      <c r="J2861" t="str">
        <f>VLOOKUP(I2861,[2]categories!$A$1:$B$8,2,FALSE)</f>
        <v>Cruisers Bicycles</v>
      </c>
    </row>
    <row r="2862" customHeight="1" spans="1:10">
      <c r="A2862" s="1">
        <v>995</v>
      </c>
      <c r="B2862" s="1">
        <v>2</v>
      </c>
      <c r="C2862" s="1">
        <v>90</v>
      </c>
      <c r="D2862" s="1">
        <v>1</v>
      </c>
      <c r="E2862" s="1">
        <v>209.99</v>
      </c>
      <c r="F2862" s="1">
        <v>0.2</v>
      </c>
      <c r="G2862">
        <f t="shared" si="44"/>
        <v>209.79</v>
      </c>
      <c r="H2862" t="str">
        <f>VLOOKUP(C2862,[1]products!$A:$B,2,FALSE)</f>
        <v>Trek Precaliber 16 Girls - 2017</v>
      </c>
      <c r="I2862">
        <f>VLOOKUP(C2862,[1]products!$A:$D,4,FALSE)</f>
        <v>1</v>
      </c>
      <c r="J2862" t="str">
        <f>VLOOKUP(I2862,[2]categories!$A$1:$B$8,2,FALSE)</f>
        <v>Children Bicycles</v>
      </c>
    </row>
    <row r="2863" customHeight="1" spans="1:10">
      <c r="A2863" s="1">
        <v>995</v>
      </c>
      <c r="B2863" s="1">
        <v>3</v>
      </c>
      <c r="C2863" s="1">
        <v>101</v>
      </c>
      <c r="D2863" s="1">
        <v>1</v>
      </c>
      <c r="E2863" s="1">
        <v>339.99</v>
      </c>
      <c r="F2863" s="1">
        <v>0.1</v>
      </c>
      <c r="G2863">
        <f t="shared" si="44"/>
        <v>339.89</v>
      </c>
      <c r="H2863" t="str">
        <f>VLOOKUP(C2863,[1]products!$A:$B,2,FALSE)</f>
        <v>Electra Townie 7D (20-inch) - Boys' - 2017</v>
      </c>
      <c r="I2863">
        <f>VLOOKUP(C2863,[1]products!$A:$D,4,FALSE)</f>
        <v>1</v>
      </c>
      <c r="J2863" t="str">
        <f>VLOOKUP(I2863,[2]categories!$A$1:$B$8,2,FALSE)</f>
        <v>Children Bicycles</v>
      </c>
    </row>
    <row r="2864" customHeight="1" spans="1:10">
      <c r="A2864" s="1">
        <v>996</v>
      </c>
      <c r="B2864" s="1">
        <v>1</v>
      </c>
      <c r="C2864" s="1">
        <v>68</v>
      </c>
      <c r="D2864" s="1">
        <v>2</v>
      </c>
      <c r="E2864" s="1">
        <v>449.99</v>
      </c>
      <c r="F2864" s="1">
        <v>0.05</v>
      </c>
      <c r="G2864">
        <f t="shared" si="44"/>
        <v>899.93</v>
      </c>
      <c r="H2864" t="str">
        <f>VLOOKUP(C2864,[1]products!$A:$B,2,FALSE)</f>
        <v>Sun Bicycles Cruz 3 - 2017</v>
      </c>
      <c r="I2864">
        <f>VLOOKUP(C2864,[1]products!$A:$D,4,FALSE)</f>
        <v>3</v>
      </c>
      <c r="J2864" t="str">
        <f>VLOOKUP(I2864,[2]categories!$A$1:$B$8,2,FALSE)</f>
        <v>Cruisers Bicycles</v>
      </c>
    </row>
    <row r="2865" customHeight="1" spans="1:10">
      <c r="A2865" s="1">
        <v>996</v>
      </c>
      <c r="B2865" s="1">
        <v>2</v>
      </c>
      <c r="C2865" s="1">
        <v>32</v>
      </c>
      <c r="D2865" s="1">
        <v>1</v>
      </c>
      <c r="E2865" s="1">
        <v>469.99</v>
      </c>
      <c r="F2865" s="1">
        <v>0.05</v>
      </c>
      <c r="G2865">
        <f t="shared" si="44"/>
        <v>469.94</v>
      </c>
      <c r="H2865" t="str">
        <f>VLOOKUP(C2865,[1]products!$A:$B,2,FALSE)</f>
        <v>Trek Farley Alloy Frameset - 2017</v>
      </c>
      <c r="I2865">
        <f>VLOOKUP(C2865,[1]products!$A:$D,4,FALSE)</f>
        <v>6</v>
      </c>
      <c r="J2865" t="str">
        <f>VLOOKUP(I2865,[2]categories!$A$1:$B$8,2,FALSE)</f>
        <v>Mountain Bikes</v>
      </c>
    </row>
    <row r="2866" customHeight="1" spans="1:10">
      <c r="A2866" s="1">
        <v>997</v>
      </c>
      <c r="B2866" s="1">
        <v>1</v>
      </c>
      <c r="C2866" s="1">
        <v>86</v>
      </c>
      <c r="D2866" s="1">
        <v>2</v>
      </c>
      <c r="E2866" s="1">
        <v>149.99</v>
      </c>
      <c r="F2866" s="1">
        <v>0.07</v>
      </c>
      <c r="G2866">
        <f t="shared" si="44"/>
        <v>299.91</v>
      </c>
      <c r="H2866" t="str">
        <f>VLOOKUP(C2866,[1]products!$A:$B,2,FALSE)</f>
        <v>Trek Girl's Kickster - 2017</v>
      </c>
      <c r="I2866">
        <f>VLOOKUP(C2866,[1]products!$A:$D,4,FALSE)</f>
        <v>1</v>
      </c>
      <c r="J2866" t="str">
        <f>VLOOKUP(I2866,[2]categories!$A$1:$B$8,2,FALSE)</f>
        <v>Children Bicycles</v>
      </c>
    </row>
    <row r="2867" customHeight="1" spans="1:10">
      <c r="A2867" s="1">
        <v>997</v>
      </c>
      <c r="B2867" s="1">
        <v>2</v>
      </c>
      <c r="C2867" s="1">
        <v>105</v>
      </c>
      <c r="D2867" s="1">
        <v>2</v>
      </c>
      <c r="E2867" s="1">
        <v>533.99</v>
      </c>
      <c r="F2867" s="1">
        <v>0.2</v>
      </c>
      <c r="G2867">
        <f t="shared" si="44"/>
        <v>1067.78</v>
      </c>
      <c r="H2867" t="str">
        <f>VLOOKUP(C2867,[1]products!$A:$B,2,FALSE)</f>
        <v>Sun Bicycles Streamway 7 - 2017</v>
      </c>
      <c r="I2867">
        <f>VLOOKUP(C2867,[1]products!$A:$D,4,FALSE)</f>
        <v>2</v>
      </c>
      <c r="J2867" t="str">
        <f>VLOOKUP(I2867,[2]categories!$A$1:$B$8,2,FALSE)</f>
        <v>Comfort Bicycles</v>
      </c>
    </row>
    <row r="2868" customHeight="1" spans="1:10">
      <c r="A2868" s="1">
        <v>997</v>
      </c>
      <c r="B2868" s="1">
        <v>3</v>
      </c>
      <c r="C2868" s="1">
        <v>14</v>
      </c>
      <c r="D2868" s="1">
        <v>2</v>
      </c>
      <c r="E2868" s="1">
        <v>269.99</v>
      </c>
      <c r="F2868" s="1">
        <v>0.07</v>
      </c>
      <c r="G2868">
        <f t="shared" si="44"/>
        <v>539.91</v>
      </c>
      <c r="H2868" t="str">
        <f>VLOOKUP(C2868,[1]products!$A:$B,2,FALSE)</f>
        <v>Electra Girl's Hawaii 1 (16-inch) - 2015/2016</v>
      </c>
      <c r="I2868">
        <f>VLOOKUP(C2868,[1]products!$A:$D,4,FALSE)</f>
        <v>3</v>
      </c>
      <c r="J2868" t="str">
        <f>VLOOKUP(I2868,[2]categories!$A$1:$B$8,2,FALSE)</f>
        <v>Cruisers Bicycles</v>
      </c>
    </row>
    <row r="2869" customHeight="1" spans="1:10">
      <c r="A2869" s="1">
        <v>998</v>
      </c>
      <c r="B2869" s="1">
        <v>1</v>
      </c>
      <c r="C2869" s="1">
        <v>26</v>
      </c>
      <c r="D2869" s="1">
        <v>2</v>
      </c>
      <c r="E2869" s="1">
        <v>599.99</v>
      </c>
      <c r="F2869" s="1">
        <v>0.05</v>
      </c>
      <c r="G2869">
        <f t="shared" si="44"/>
        <v>1199.93</v>
      </c>
      <c r="H2869" t="str">
        <f>VLOOKUP(C2869,[1]products!$A:$B,2,FALSE)</f>
        <v>Electra Townie Original 7D EQ - 2016</v>
      </c>
      <c r="I2869">
        <f>VLOOKUP(C2869,[1]products!$A:$D,4,FALSE)</f>
        <v>2</v>
      </c>
      <c r="J2869" t="str">
        <f>VLOOKUP(I2869,[2]categories!$A$1:$B$8,2,FALSE)</f>
        <v>Comfort Bicycles</v>
      </c>
    </row>
    <row r="2870" customHeight="1" spans="1:10">
      <c r="A2870" s="1">
        <v>998</v>
      </c>
      <c r="B2870" s="1">
        <v>2</v>
      </c>
      <c r="C2870" s="1">
        <v>105</v>
      </c>
      <c r="D2870" s="1">
        <v>1</v>
      </c>
      <c r="E2870" s="1">
        <v>533.99</v>
      </c>
      <c r="F2870" s="1">
        <v>0.2</v>
      </c>
      <c r="G2870">
        <f t="shared" si="44"/>
        <v>533.79</v>
      </c>
      <c r="H2870" t="str">
        <f>VLOOKUP(C2870,[1]products!$A:$B,2,FALSE)</f>
        <v>Sun Bicycles Streamway 7 - 2017</v>
      </c>
      <c r="I2870">
        <f>VLOOKUP(C2870,[1]products!$A:$D,4,FALSE)</f>
        <v>2</v>
      </c>
      <c r="J2870" t="str">
        <f>VLOOKUP(I2870,[2]categories!$A$1:$B$8,2,FALSE)</f>
        <v>Comfort Bicycles</v>
      </c>
    </row>
    <row r="2871" customHeight="1" spans="1:10">
      <c r="A2871" s="1">
        <v>999</v>
      </c>
      <c r="B2871" s="1">
        <v>1</v>
      </c>
      <c r="C2871" s="1">
        <v>70</v>
      </c>
      <c r="D2871" s="1">
        <v>2</v>
      </c>
      <c r="E2871" s="1">
        <v>659.99</v>
      </c>
      <c r="F2871" s="1">
        <v>0.07</v>
      </c>
      <c r="G2871">
        <f t="shared" si="44"/>
        <v>1319.91</v>
      </c>
      <c r="H2871" t="str">
        <f>VLOOKUP(C2871,[1]products!$A:$B,2,FALSE)</f>
        <v>Electra Amsterdam Original 3i - 2015/2017</v>
      </c>
      <c r="I2871">
        <f>VLOOKUP(C2871,[1]products!$A:$D,4,FALSE)</f>
        <v>3</v>
      </c>
      <c r="J2871" t="str">
        <f>VLOOKUP(I2871,[2]categories!$A$1:$B$8,2,FALSE)</f>
        <v>Cruisers Bicycles</v>
      </c>
    </row>
    <row r="2872" customHeight="1" spans="1:10">
      <c r="A2872" s="1">
        <v>999</v>
      </c>
      <c r="B2872" s="1">
        <v>2</v>
      </c>
      <c r="C2872" s="1">
        <v>106</v>
      </c>
      <c r="D2872" s="1">
        <v>1</v>
      </c>
      <c r="E2872" s="1">
        <v>449.99</v>
      </c>
      <c r="F2872" s="1">
        <v>0.05</v>
      </c>
      <c r="G2872">
        <f t="shared" si="44"/>
        <v>449.94</v>
      </c>
      <c r="H2872" t="str">
        <f>VLOOKUP(C2872,[1]products!$A:$B,2,FALSE)</f>
        <v>Sun Bicycles Cruz 3 - 2017</v>
      </c>
      <c r="I2872">
        <f>VLOOKUP(C2872,[1]products!$A:$D,4,FALSE)</f>
        <v>2</v>
      </c>
      <c r="J2872" t="str">
        <f>VLOOKUP(I2872,[2]categories!$A$1:$B$8,2,FALSE)</f>
        <v>Comfort Bicycles</v>
      </c>
    </row>
    <row r="2873" customHeight="1" spans="1:10">
      <c r="A2873" s="1">
        <v>1000</v>
      </c>
      <c r="B2873" s="1">
        <v>1</v>
      </c>
      <c r="C2873" s="1">
        <v>65</v>
      </c>
      <c r="D2873" s="1">
        <v>2</v>
      </c>
      <c r="E2873" s="1">
        <v>346.99</v>
      </c>
      <c r="F2873" s="1">
        <v>0.05</v>
      </c>
      <c r="G2873">
        <f t="shared" si="44"/>
        <v>693.93</v>
      </c>
      <c r="H2873" t="str">
        <f>VLOOKUP(C2873,[1]products!$A:$B,2,FALSE)</f>
        <v>Sun Bicycles Lil Bolt Type-R - 2017</v>
      </c>
      <c r="I2873">
        <f>VLOOKUP(C2873,[1]products!$A:$D,4,FALSE)</f>
        <v>3</v>
      </c>
      <c r="J2873" t="str">
        <f>VLOOKUP(I2873,[2]categories!$A$1:$B$8,2,FALSE)</f>
        <v>Cruisers Bicycles</v>
      </c>
    </row>
    <row r="2874" customHeight="1" spans="1:10">
      <c r="A2874" s="1">
        <v>1000</v>
      </c>
      <c r="B2874" s="1">
        <v>2</v>
      </c>
      <c r="C2874" s="1">
        <v>111</v>
      </c>
      <c r="D2874" s="1">
        <v>1</v>
      </c>
      <c r="E2874" s="1">
        <v>470.99</v>
      </c>
      <c r="F2874" s="1">
        <v>0.1</v>
      </c>
      <c r="G2874">
        <f t="shared" si="44"/>
        <v>470.89</v>
      </c>
      <c r="H2874" t="str">
        <f>VLOOKUP(C2874,[1]products!$A:$B,2,FALSE)</f>
        <v>Sun Bicycles Drifter 7 - Women's - 2017</v>
      </c>
      <c r="I2874">
        <f>VLOOKUP(C2874,[1]products!$A:$D,4,FALSE)</f>
        <v>2</v>
      </c>
      <c r="J2874" t="str">
        <f>VLOOKUP(I2874,[2]categories!$A$1:$B$8,2,FALSE)</f>
        <v>Comfort Bicycles</v>
      </c>
    </row>
    <row r="2875" customHeight="1" spans="1:10">
      <c r="A2875" s="1">
        <v>1000</v>
      </c>
      <c r="B2875" s="1">
        <v>3</v>
      </c>
      <c r="C2875" s="1">
        <v>19</v>
      </c>
      <c r="D2875" s="1">
        <v>2</v>
      </c>
      <c r="E2875" s="1">
        <v>449</v>
      </c>
      <c r="F2875" s="1">
        <v>0.07</v>
      </c>
      <c r="G2875">
        <f t="shared" si="44"/>
        <v>897.93</v>
      </c>
      <c r="H2875" t="str">
        <f>VLOOKUP(C2875,[1]products!$A:$B,2,FALSE)</f>
        <v>Pure Cycles William 3-Speed - 2016</v>
      </c>
      <c r="I2875">
        <f>VLOOKUP(C2875,[1]products!$A:$D,4,FALSE)</f>
        <v>3</v>
      </c>
      <c r="J2875" t="str">
        <f>VLOOKUP(I2875,[2]categories!$A$1:$B$8,2,FALSE)</f>
        <v>Cruisers Bicycles</v>
      </c>
    </row>
    <row r="2876" customHeight="1" spans="1:10">
      <c r="A2876" s="1">
        <v>1000</v>
      </c>
      <c r="B2876" s="1">
        <v>4</v>
      </c>
      <c r="C2876" s="1">
        <v>29</v>
      </c>
      <c r="D2876" s="1">
        <v>2</v>
      </c>
      <c r="E2876" s="1">
        <v>999.99</v>
      </c>
      <c r="F2876" s="1">
        <v>0.05</v>
      </c>
      <c r="G2876">
        <f t="shared" si="44"/>
        <v>1999.93</v>
      </c>
      <c r="H2876" t="str">
        <f>VLOOKUP(C2876,[1]products!$A:$B,2,FALSE)</f>
        <v>Trek X-Caliber 8 - 2017</v>
      </c>
      <c r="I2876">
        <f>VLOOKUP(C2876,[1]products!$A:$D,4,FALSE)</f>
        <v>6</v>
      </c>
      <c r="J2876" t="str">
        <f>VLOOKUP(I2876,[2]categories!$A$1:$B$8,2,FALSE)</f>
        <v>Mountain Bikes</v>
      </c>
    </row>
    <row r="2877" customHeight="1" spans="1:10">
      <c r="A2877" s="1">
        <v>1001</v>
      </c>
      <c r="B2877" s="1">
        <v>1</v>
      </c>
      <c r="C2877" s="1">
        <v>72</v>
      </c>
      <c r="D2877" s="1">
        <v>1</v>
      </c>
      <c r="E2877" s="1">
        <v>619.99</v>
      </c>
      <c r="F2877" s="1">
        <v>0.05</v>
      </c>
      <c r="G2877">
        <f t="shared" si="44"/>
        <v>619.94</v>
      </c>
      <c r="H2877" t="str">
        <f>VLOOKUP(C2877,[1]products!$A:$B,2,FALSE)</f>
        <v>Sun Bicycles Biscayne Tandem 7 - 2017</v>
      </c>
      <c r="I2877">
        <f>VLOOKUP(C2877,[1]products!$A:$D,4,FALSE)</f>
        <v>3</v>
      </c>
      <c r="J2877" t="str">
        <f>VLOOKUP(I2877,[2]categories!$A$1:$B$8,2,FALSE)</f>
        <v>Cruisers Bicycles</v>
      </c>
    </row>
    <row r="2878" customHeight="1" spans="1:10">
      <c r="A2878" s="1">
        <v>1001</v>
      </c>
      <c r="B2878" s="1">
        <v>2</v>
      </c>
      <c r="C2878" s="1">
        <v>45</v>
      </c>
      <c r="D2878" s="1">
        <v>2</v>
      </c>
      <c r="E2878" s="1">
        <v>869.99</v>
      </c>
      <c r="F2878" s="1">
        <v>0.05</v>
      </c>
      <c r="G2878">
        <f t="shared" si="44"/>
        <v>1739.93</v>
      </c>
      <c r="H2878" t="str">
        <f>VLOOKUP(C2878,[1]products!$A:$B,2,FALSE)</f>
        <v>Haro SR 1.2 - 2017</v>
      </c>
      <c r="I2878">
        <f>VLOOKUP(C2878,[1]products!$A:$D,4,FALSE)</f>
        <v>6</v>
      </c>
      <c r="J2878" t="str">
        <f>VLOOKUP(I2878,[2]categories!$A$1:$B$8,2,FALSE)</f>
        <v>Mountain Bikes</v>
      </c>
    </row>
    <row r="2879" customHeight="1" spans="1:10">
      <c r="A2879" s="1">
        <v>1001</v>
      </c>
      <c r="B2879" s="1">
        <v>3</v>
      </c>
      <c r="C2879" s="1">
        <v>58</v>
      </c>
      <c r="D2879" s="1">
        <v>1</v>
      </c>
      <c r="E2879" s="1">
        <v>4999.99</v>
      </c>
      <c r="F2879" s="1">
        <v>0.1</v>
      </c>
      <c r="G2879">
        <f t="shared" si="44"/>
        <v>4999.89</v>
      </c>
      <c r="H2879" t="str">
        <f>VLOOKUP(C2879,[1]products!$A:$B,2,FALSE)</f>
        <v>Trek Madone 9.2 - 2017</v>
      </c>
      <c r="I2879">
        <f>VLOOKUP(C2879,[1]products!$A:$D,4,FALSE)</f>
        <v>7</v>
      </c>
      <c r="J2879" t="str">
        <f>VLOOKUP(I2879,[2]categories!$A$1:$B$8,2,FALSE)</f>
        <v>Road Bikes</v>
      </c>
    </row>
    <row r="2880" customHeight="1" spans="1:10">
      <c r="A2880" s="1">
        <v>1001</v>
      </c>
      <c r="B2880" s="1">
        <v>4</v>
      </c>
      <c r="C2880" s="1">
        <v>111</v>
      </c>
      <c r="D2880" s="1">
        <v>1</v>
      </c>
      <c r="E2880" s="1">
        <v>470.99</v>
      </c>
      <c r="F2880" s="1">
        <v>0.07</v>
      </c>
      <c r="G2880">
        <f t="shared" si="44"/>
        <v>470.92</v>
      </c>
      <c r="H2880" t="str">
        <f>VLOOKUP(C2880,[1]products!$A:$B,2,FALSE)</f>
        <v>Sun Bicycles Drifter 7 - Women's - 2017</v>
      </c>
      <c r="I2880">
        <f>VLOOKUP(C2880,[1]products!$A:$D,4,FALSE)</f>
        <v>2</v>
      </c>
      <c r="J2880" t="str">
        <f>VLOOKUP(I2880,[2]categories!$A$1:$B$8,2,FALSE)</f>
        <v>Comfort Bicycles</v>
      </c>
    </row>
    <row r="2881" customHeight="1" spans="1:10">
      <c r="A2881" s="1">
        <v>1002</v>
      </c>
      <c r="B2881" s="1">
        <v>1</v>
      </c>
      <c r="C2881" s="1">
        <v>100</v>
      </c>
      <c r="D2881" s="1">
        <v>1</v>
      </c>
      <c r="E2881" s="1">
        <v>489.99</v>
      </c>
      <c r="F2881" s="1">
        <v>0.05</v>
      </c>
      <c r="G2881">
        <f t="shared" si="44"/>
        <v>489.94</v>
      </c>
      <c r="H2881" t="str">
        <f>VLOOKUP(C2881,[1]products!$A:$B,2,FALSE)</f>
        <v>Electra Townie 3i EQ (20-inch) - Boys' - 2017</v>
      </c>
      <c r="I2881">
        <f>VLOOKUP(C2881,[1]products!$A:$D,4,FALSE)</f>
        <v>1</v>
      </c>
      <c r="J2881" t="str">
        <f>VLOOKUP(I2881,[2]categories!$A$1:$B$8,2,FALSE)</f>
        <v>Children Bicycles</v>
      </c>
    </row>
    <row r="2882" customHeight="1" spans="1:10">
      <c r="A2882" s="1">
        <v>1002</v>
      </c>
      <c r="B2882" s="1">
        <v>2</v>
      </c>
      <c r="C2882" s="1">
        <v>83</v>
      </c>
      <c r="D2882" s="1">
        <v>1</v>
      </c>
      <c r="E2882" s="1">
        <v>149.99</v>
      </c>
      <c r="F2882" s="1">
        <v>0.1</v>
      </c>
      <c r="G2882">
        <f t="shared" si="44"/>
        <v>149.89</v>
      </c>
      <c r="H2882" t="str">
        <f>VLOOKUP(C2882,[1]products!$A:$B,2,FALSE)</f>
        <v>Trek Boy's Kickster - 2015/2017</v>
      </c>
      <c r="I2882">
        <f>VLOOKUP(C2882,[1]products!$A:$D,4,FALSE)</f>
        <v>1</v>
      </c>
      <c r="J2882" t="str">
        <f>VLOOKUP(I2882,[2]categories!$A$1:$B$8,2,FALSE)</f>
        <v>Children Bicycles</v>
      </c>
    </row>
    <row r="2883" customHeight="1" spans="1:10">
      <c r="A2883" s="1">
        <v>1002</v>
      </c>
      <c r="B2883" s="1">
        <v>3</v>
      </c>
      <c r="C2883" s="1">
        <v>8</v>
      </c>
      <c r="D2883" s="1">
        <v>2</v>
      </c>
      <c r="E2883" s="1">
        <v>1799.99</v>
      </c>
      <c r="F2883" s="1">
        <v>0.1</v>
      </c>
      <c r="G2883">
        <f t="shared" ref="G2883:G2946" si="45">(E2883*D2883)-F2883</f>
        <v>3599.88</v>
      </c>
      <c r="H2883" t="str">
        <f>VLOOKUP(C2883,[1]products!$A:$B,2,FALSE)</f>
        <v>Trek Remedy 29 Carbon Frameset - 2016</v>
      </c>
      <c r="I2883">
        <f>VLOOKUP(C2883,[1]products!$A:$D,4,FALSE)</f>
        <v>6</v>
      </c>
      <c r="J2883" t="str">
        <f>VLOOKUP(I2883,[2]categories!$A$1:$B$8,2,FALSE)</f>
        <v>Mountain Bikes</v>
      </c>
    </row>
    <row r="2884" customHeight="1" spans="1:10">
      <c r="A2884" s="1">
        <v>1002</v>
      </c>
      <c r="B2884" s="1">
        <v>4</v>
      </c>
      <c r="C2884" s="1">
        <v>79</v>
      </c>
      <c r="D2884" s="1">
        <v>1</v>
      </c>
      <c r="E2884" s="1">
        <v>402.99</v>
      </c>
      <c r="F2884" s="1">
        <v>0.2</v>
      </c>
      <c r="G2884">
        <f t="shared" si="45"/>
        <v>402.79</v>
      </c>
      <c r="H2884" t="str">
        <f>VLOOKUP(C2884,[1]products!$A:$B,2,FALSE)</f>
        <v>Sun Bicycles Boardwalk (24-inch Wheels) - 2017</v>
      </c>
      <c r="I2884">
        <f>VLOOKUP(C2884,[1]products!$A:$D,4,FALSE)</f>
        <v>3</v>
      </c>
      <c r="J2884" t="str">
        <f>VLOOKUP(I2884,[2]categories!$A$1:$B$8,2,FALSE)</f>
        <v>Cruisers Bicycles</v>
      </c>
    </row>
    <row r="2885" customHeight="1" spans="1:10">
      <c r="A2885" s="1">
        <v>1003</v>
      </c>
      <c r="B2885" s="1">
        <v>1</v>
      </c>
      <c r="C2885" s="1">
        <v>34</v>
      </c>
      <c r="D2885" s="1">
        <v>2</v>
      </c>
      <c r="E2885" s="1">
        <v>469.99</v>
      </c>
      <c r="F2885" s="1">
        <v>0.05</v>
      </c>
      <c r="G2885">
        <f t="shared" si="45"/>
        <v>939.93</v>
      </c>
      <c r="H2885" t="str">
        <f>VLOOKUP(C2885,[1]products!$A:$B,2,FALSE)</f>
        <v>Trek Session DH 27.5 Carbon Frameset - 2017</v>
      </c>
      <c r="I2885">
        <f>VLOOKUP(C2885,[1]products!$A:$D,4,FALSE)</f>
        <v>6</v>
      </c>
      <c r="J2885" t="str">
        <f>VLOOKUP(I2885,[2]categories!$A$1:$B$8,2,FALSE)</f>
        <v>Mountain Bikes</v>
      </c>
    </row>
    <row r="2886" customHeight="1" spans="1:10">
      <c r="A2886" s="1">
        <v>1003</v>
      </c>
      <c r="B2886" s="1">
        <v>2</v>
      </c>
      <c r="C2886" s="1">
        <v>51</v>
      </c>
      <c r="D2886" s="1">
        <v>2</v>
      </c>
      <c r="E2886" s="1">
        <v>6499.99</v>
      </c>
      <c r="F2886" s="1">
        <v>0.05</v>
      </c>
      <c r="G2886">
        <f t="shared" si="45"/>
        <v>12999.93</v>
      </c>
      <c r="H2886" t="str">
        <f>VLOOKUP(C2886,[1]products!$A:$B,2,FALSE)</f>
        <v>Trek Silque SLR 8 Women's - 2017</v>
      </c>
      <c r="I2886">
        <f>VLOOKUP(C2886,[1]products!$A:$D,4,FALSE)</f>
        <v>7</v>
      </c>
      <c r="J2886" t="str">
        <f>VLOOKUP(I2886,[2]categories!$A$1:$B$8,2,FALSE)</f>
        <v>Road Bikes</v>
      </c>
    </row>
    <row r="2887" customHeight="1" spans="1:10">
      <c r="A2887" s="1">
        <v>1004</v>
      </c>
      <c r="B2887" s="1">
        <v>1</v>
      </c>
      <c r="C2887" s="1">
        <v>36</v>
      </c>
      <c r="D2887" s="1">
        <v>2</v>
      </c>
      <c r="E2887" s="1">
        <v>832.99</v>
      </c>
      <c r="F2887" s="1">
        <v>0.1</v>
      </c>
      <c r="G2887">
        <f t="shared" si="45"/>
        <v>1665.88</v>
      </c>
      <c r="H2887" t="str">
        <f>VLOOKUP(C2887,[1]products!$A:$B,2,FALSE)</f>
        <v>Surly Troll Frameset - 2017</v>
      </c>
      <c r="I2887">
        <f>VLOOKUP(C2887,[1]products!$A:$D,4,FALSE)</f>
        <v>6</v>
      </c>
      <c r="J2887" t="str">
        <f>VLOOKUP(I2887,[2]categories!$A$1:$B$8,2,FALSE)</f>
        <v>Mountain Bikes</v>
      </c>
    </row>
    <row r="2888" customHeight="1" spans="1:10">
      <c r="A2888" s="1">
        <v>1005</v>
      </c>
      <c r="B2888" s="1">
        <v>1</v>
      </c>
      <c r="C2888" s="1">
        <v>14</v>
      </c>
      <c r="D2888" s="1">
        <v>2</v>
      </c>
      <c r="E2888" s="1">
        <v>269.99</v>
      </c>
      <c r="F2888" s="1">
        <v>0.2</v>
      </c>
      <c r="G2888">
        <f t="shared" si="45"/>
        <v>539.78</v>
      </c>
      <c r="H2888" t="str">
        <f>VLOOKUP(C2888,[1]products!$A:$B,2,FALSE)</f>
        <v>Electra Girl's Hawaii 1 (16-inch) - 2015/2016</v>
      </c>
      <c r="I2888">
        <f>VLOOKUP(C2888,[1]products!$A:$D,4,FALSE)</f>
        <v>3</v>
      </c>
      <c r="J2888" t="str">
        <f>VLOOKUP(I2888,[2]categories!$A$1:$B$8,2,FALSE)</f>
        <v>Cruisers Bicycles</v>
      </c>
    </row>
    <row r="2889" customHeight="1" spans="1:10">
      <c r="A2889" s="1">
        <v>1005</v>
      </c>
      <c r="B2889" s="1">
        <v>2</v>
      </c>
      <c r="C2889" s="1">
        <v>81</v>
      </c>
      <c r="D2889" s="1">
        <v>2</v>
      </c>
      <c r="E2889" s="1">
        <v>1099.99</v>
      </c>
      <c r="F2889" s="1">
        <v>0.1</v>
      </c>
      <c r="G2889">
        <f t="shared" si="45"/>
        <v>2199.88</v>
      </c>
      <c r="H2889" t="str">
        <f>VLOOKUP(C2889,[1]products!$A:$B,2,FALSE)</f>
        <v>Electra Amsterdam Fashion 7i Ladies' - 2017</v>
      </c>
      <c r="I2889">
        <f>VLOOKUP(C2889,[1]products!$A:$D,4,FALSE)</f>
        <v>3</v>
      </c>
      <c r="J2889" t="str">
        <f>VLOOKUP(I2889,[2]categories!$A$1:$B$8,2,FALSE)</f>
        <v>Cruisers Bicycles</v>
      </c>
    </row>
    <row r="2890" customHeight="1" spans="1:10">
      <c r="A2890" s="1">
        <v>1005</v>
      </c>
      <c r="B2890" s="1">
        <v>3</v>
      </c>
      <c r="C2890" s="1">
        <v>99</v>
      </c>
      <c r="D2890" s="1">
        <v>1</v>
      </c>
      <c r="E2890" s="1">
        <v>299.99</v>
      </c>
      <c r="F2890" s="1">
        <v>0.1</v>
      </c>
      <c r="G2890">
        <f t="shared" si="45"/>
        <v>299.89</v>
      </c>
      <c r="H2890" t="str">
        <f>VLOOKUP(C2890,[1]products!$A:$B,2,FALSE)</f>
        <v>Electra Sugar Skulls 1 (20-inch) - Girl's - 2017</v>
      </c>
      <c r="I2890">
        <f>VLOOKUP(C2890,[1]products!$A:$D,4,FALSE)</f>
        <v>1</v>
      </c>
      <c r="J2890" t="str">
        <f>VLOOKUP(I2890,[2]categories!$A$1:$B$8,2,FALSE)</f>
        <v>Children Bicycles</v>
      </c>
    </row>
    <row r="2891" customHeight="1" spans="1:10">
      <c r="A2891" s="1">
        <v>1006</v>
      </c>
      <c r="B2891" s="1">
        <v>1</v>
      </c>
      <c r="C2891" s="1">
        <v>20</v>
      </c>
      <c r="D2891" s="1">
        <v>1</v>
      </c>
      <c r="E2891" s="1">
        <v>599.99</v>
      </c>
      <c r="F2891" s="1">
        <v>0.07</v>
      </c>
      <c r="G2891">
        <f t="shared" si="45"/>
        <v>599.92</v>
      </c>
      <c r="H2891" t="str">
        <f>VLOOKUP(C2891,[1]products!$A:$B,2,FALSE)</f>
        <v>Electra Townie Original 7D EQ - Women's - 2016</v>
      </c>
      <c r="I2891">
        <f>VLOOKUP(C2891,[1]products!$A:$D,4,FALSE)</f>
        <v>3</v>
      </c>
      <c r="J2891" t="str">
        <f>VLOOKUP(I2891,[2]categories!$A$1:$B$8,2,FALSE)</f>
        <v>Cruisers Bicycles</v>
      </c>
    </row>
    <row r="2892" customHeight="1" spans="1:10">
      <c r="A2892" s="1">
        <v>1006</v>
      </c>
      <c r="B2892" s="1">
        <v>2</v>
      </c>
      <c r="C2892" s="1">
        <v>68</v>
      </c>
      <c r="D2892" s="1">
        <v>1</v>
      </c>
      <c r="E2892" s="1">
        <v>449.99</v>
      </c>
      <c r="F2892" s="1">
        <v>0.1</v>
      </c>
      <c r="G2892">
        <f t="shared" si="45"/>
        <v>449.89</v>
      </c>
      <c r="H2892" t="str">
        <f>VLOOKUP(C2892,[1]products!$A:$B,2,FALSE)</f>
        <v>Sun Bicycles Cruz 3 - 2017</v>
      </c>
      <c r="I2892">
        <f>VLOOKUP(C2892,[1]products!$A:$D,4,FALSE)</f>
        <v>3</v>
      </c>
      <c r="J2892" t="str">
        <f>VLOOKUP(I2892,[2]categories!$A$1:$B$8,2,FALSE)</f>
        <v>Cruisers Bicycles</v>
      </c>
    </row>
    <row r="2893" customHeight="1" spans="1:10">
      <c r="A2893" s="1">
        <v>1006</v>
      </c>
      <c r="B2893" s="1">
        <v>3</v>
      </c>
      <c r="C2893" s="1">
        <v>56</v>
      </c>
      <c r="D2893" s="1">
        <v>2</v>
      </c>
      <c r="E2893" s="1">
        <v>5499.99</v>
      </c>
      <c r="F2893" s="1">
        <v>0.07</v>
      </c>
      <c r="G2893">
        <f t="shared" si="45"/>
        <v>10999.91</v>
      </c>
      <c r="H2893" t="str">
        <f>VLOOKUP(C2893,[1]products!$A:$B,2,FALSE)</f>
        <v>Trek Domane SLR 6 Disc - 2017</v>
      </c>
      <c r="I2893">
        <f>VLOOKUP(C2893,[1]products!$A:$D,4,FALSE)</f>
        <v>7</v>
      </c>
      <c r="J2893" t="str">
        <f>VLOOKUP(I2893,[2]categories!$A$1:$B$8,2,FALSE)</f>
        <v>Road Bikes</v>
      </c>
    </row>
    <row r="2894" customHeight="1" spans="1:10">
      <c r="A2894" s="1">
        <v>1006</v>
      </c>
      <c r="B2894" s="1">
        <v>4</v>
      </c>
      <c r="C2894" s="1">
        <v>65</v>
      </c>
      <c r="D2894" s="1">
        <v>1</v>
      </c>
      <c r="E2894" s="1">
        <v>346.99</v>
      </c>
      <c r="F2894" s="1">
        <v>0.1</v>
      </c>
      <c r="G2894">
        <f t="shared" si="45"/>
        <v>346.89</v>
      </c>
      <c r="H2894" t="str">
        <f>VLOOKUP(C2894,[1]products!$A:$B,2,FALSE)</f>
        <v>Sun Bicycles Lil Bolt Type-R - 2017</v>
      </c>
      <c r="I2894">
        <f>VLOOKUP(C2894,[1]products!$A:$D,4,FALSE)</f>
        <v>3</v>
      </c>
      <c r="J2894" t="str">
        <f>VLOOKUP(I2894,[2]categories!$A$1:$B$8,2,FALSE)</f>
        <v>Cruisers Bicycles</v>
      </c>
    </row>
    <row r="2895" customHeight="1" spans="1:10">
      <c r="A2895" s="1">
        <v>1006</v>
      </c>
      <c r="B2895" s="1">
        <v>5</v>
      </c>
      <c r="C2895" s="1">
        <v>46</v>
      </c>
      <c r="D2895" s="1">
        <v>1</v>
      </c>
      <c r="E2895" s="1">
        <v>1409.99</v>
      </c>
      <c r="F2895" s="1">
        <v>0.1</v>
      </c>
      <c r="G2895">
        <f t="shared" si="45"/>
        <v>1409.89</v>
      </c>
      <c r="H2895" t="str">
        <f>VLOOKUP(C2895,[1]products!$A:$B,2,FALSE)</f>
        <v>Haro SR 1.3 - 2017</v>
      </c>
      <c r="I2895">
        <f>VLOOKUP(C2895,[1]products!$A:$D,4,FALSE)</f>
        <v>6</v>
      </c>
      <c r="J2895" t="str">
        <f>VLOOKUP(I2895,[2]categories!$A$1:$B$8,2,FALSE)</f>
        <v>Mountain Bikes</v>
      </c>
    </row>
    <row r="2896" customHeight="1" spans="1:10">
      <c r="A2896" s="1">
        <v>1007</v>
      </c>
      <c r="B2896" s="1">
        <v>1</v>
      </c>
      <c r="C2896" s="1">
        <v>26</v>
      </c>
      <c r="D2896" s="1">
        <v>1</v>
      </c>
      <c r="E2896" s="1">
        <v>599.99</v>
      </c>
      <c r="F2896" s="1">
        <v>0.2</v>
      </c>
      <c r="G2896">
        <f t="shared" si="45"/>
        <v>599.79</v>
      </c>
      <c r="H2896" t="str">
        <f>VLOOKUP(C2896,[1]products!$A:$B,2,FALSE)</f>
        <v>Electra Townie Original 7D EQ - 2016</v>
      </c>
      <c r="I2896">
        <f>VLOOKUP(C2896,[1]products!$A:$D,4,FALSE)</f>
        <v>2</v>
      </c>
      <c r="J2896" t="str">
        <f>VLOOKUP(I2896,[2]categories!$A$1:$B$8,2,FALSE)</f>
        <v>Comfort Bicycles</v>
      </c>
    </row>
    <row r="2897" customHeight="1" spans="1:10">
      <c r="A2897" s="1">
        <v>1007</v>
      </c>
      <c r="B2897" s="1">
        <v>2</v>
      </c>
      <c r="C2897" s="1">
        <v>11</v>
      </c>
      <c r="D2897" s="1">
        <v>1</v>
      </c>
      <c r="E2897" s="1">
        <v>1680.99</v>
      </c>
      <c r="F2897" s="1">
        <v>0.05</v>
      </c>
      <c r="G2897">
        <f t="shared" si="45"/>
        <v>1680.94</v>
      </c>
      <c r="H2897" t="str">
        <f>VLOOKUP(C2897,[1]products!$A:$B,2,FALSE)</f>
        <v>Surly Straggler 650b - 2016</v>
      </c>
      <c r="I2897">
        <f>VLOOKUP(C2897,[1]products!$A:$D,4,FALSE)</f>
        <v>4</v>
      </c>
      <c r="J2897" t="str">
        <f>VLOOKUP(I2897,[2]categories!$A$1:$B$8,2,FALSE)</f>
        <v>Cyclocross Bicycles</v>
      </c>
    </row>
    <row r="2898" customHeight="1" spans="1:10">
      <c r="A2898" s="1">
        <v>1007</v>
      </c>
      <c r="B2898" s="1">
        <v>3</v>
      </c>
      <c r="C2898" s="1">
        <v>85</v>
      </c>
      <c r="D2898" s="1">
        <v>2</v>
      </c>
      <c r="E2898" s="1">
        <v>329.99</v>
      </c>
      <c r="F2898" s="1">
        <v>0.1</v>
      </c>
      <c r="G2898">
        <f t="shared" si="45"/>
        <v>659.88</v>
      </c>
      <c r="H2898" t="str">
        <f>VLOOKUP(C2898,[1]products!$A:$B,2,FALSE)</f>
        <v>Haro Downtown 16 - 2017</v>
      </c>
      <c r="I2898">
        <f>VLOOKUP(C2898,[1]products!$A:$D,4,FALSE)</f>
        <v>1</v>
      </c>
      <c r="J2898" t="str">
        <f>VLOOKUP(I2898,[2]categories!$A$1:$B$8,2,FALSE)</f>
        <v>Children Bicycles</v>
      </c>
    </row>
    <row r="2899" customHeight="1" spans="1:10">
      <c r="A2899" s="1">
        <v>1007</v>
      </c>
      <c r="B2899" s="1">
        <v>4</v>
      </c>
      <c r="C2899" s="1">
        <v>76</v>
      </c>
      <c r="D2899" s="1">
        <v>1</v>
      </c>
      <c r="E2899" s="1">
        <v>299.99</v>
      </c>
      <c r="F2899" s="1">
        <v>0.2</v>
      </c>
      <c r="G2899">
        <f t="shared" si="45"/>
        <v>299.79</v>
      </c>
      <c r="H2899" t="str">
        <f>VLOOKUP(C2899,[1]products!$A:$B,2,FALSE)</f>
        <v>Electra Girl's Hawaii 1 16" - 2017</v>
      </c>
      <c r="I2899">
        <f>VLOOKUP(C2899,[1]products!$A:$D,4,FALSE)</f>
        <v>3</v>
      </c>
      <c r="J2899" t="str">
        <f>VLOOKUP(I2899,[2]categories!$A$1:$B$8,2,FALSE)</f>
        <v>Cruisers Bicycles</v>
      </c>
    </row>
    <row r="2900" customHeight="1" spans="1:10">
      <c r="A2900" s="1">
        <v>1007</v>
      </c>
      <c r="B2900" s="1">
        <v>5</v>
      </c>
      <c r="C2900" s="1">
        <v>106</v>
      </c>
      <c r="D2900" s="1">
        <v>2</v>
      </c>
      <c r="E2900" s="1">
        <v>449.99</v>
      </c>
      <c r="F2900" s="1">
        <v>0.1</v>
      </c>
      <c r="G2900">
        <f t="shared" si="45"/>
        <v>899.88</v>
      </c>
      <c r="H2900" t="str">
        <f>VLOOKUP(C2900,[1]products!$A:$B,2,FALSE)</f>
        <v>Sun Bicycles Cruz 3 - 2017</v>
      </c>
      <c r="I2900">
        <f>VLOOKUP(C2900,[1]products!$A:$D,4,FALSE)</f>
        <v>2</v>
      </c>
      <c r="J2900" t="str">
        <f>VLOOKUP(I2900,[2]categories!$A$1:$B$8,2,FALSE)</f>
        <v>Comfort Bicycles</v>
      </c>
    </row>
    <row r="2901" customHeight="1" spans="1:10">
      <c r="A2901" s="1">
        <v>1008</v>
      </c>
      <c r="B2901" s="1">
        <v>1</v>
      </c>
      <c r="C2901" s="1">
        <v>71</v>
      </c>
      <c r="D2901" s="1">
        <v>1</v>
      </c>
      <c r="E2901" s="1">
        <v>416.99</v>
      </c>
      <c r="F2901" s="1">
        <v>0.2</v>
      </c>
      <c r="G2901">
        <f t="shared" si="45"/>
        <v>416.79</v>
      </c>
      <c r="H2901" t="str">
        <f>VLOOKUP(C2901,[1]products!$A:$B,2,FALSE)</f>
        <v>Sun Bicycles Atlas X-Type - 2017</v>
      </c>
      <c r="I2901">
        <f>VLOOKUP(C2901,[1]products!$A:$D,4,FALSE)</f>
        <v>3</v>
      </c>
      <c r="J2901" t="str">
        <f>VLOOKUP(I2901,[2]categories!$A$1:$B$8,2,FALSE)</f>
        <v>Cruisers Bicycles</v>
      </c>
    </row>
    <row r="2902" customHeight="1" spans="1:10">
      <c r="A2902" s="1">
        <v>1008</v>
      </c>
      <c r="B2902" s="1">
        <v>2</v>
      </c>
      <c r="C2902" s="1">
        <v>2</v>
      </c>
      <c r="D2902" s="1">
        <v>1</v>
      </c>
      <c r="E2902" s="1">
        <v>749.99</v>
      </c>
      <c r="F2902" s="1">
        <v>0.1</v>
      </c>
      <c r="G2902">
        <f t="shared" si="45"/>
        <v>749.89</v>
      </c>
      <c r="H2902" t="str">
        <f>VLOOKUP(C2902,[1]products!$A:$B,2,FALSE)</f>
        <v>Ritchey Timberwolf Frameset - 2016</v>
      </c>
      <c r="I2902">
        <f>VLOOKUP(C2902,[1]products!$A:$D,4,FALSE)</f>
        <v>6</v>
      </c>
      <c r="J2902" t="str">
        <f>VLOOKUP(I2902,[2]categories!$A$1:$B$8,2,FALSE)</f>
        <v>Mountain Bikes</v>
      </c>
    </row>
    <row r="2903" customHeight="1" spans="1:10">
      <c r="A2903" s="1">
        <v>1008</v>
      </c>
      <c r="B2903" s="1">
        <v>3</v>
      </c>
      <c r="C2903" s="1">
        <v>95</v>
      </c>
      <c r="D2903" s="1">
        <v>1</v>
      </c>
      <c r="E2903" s="1">
        <v>299.99</v>
      </c>
      <c r="F2903" s="1">
        <v>0.07</v>
      </c>
      <c r="G2903">
        <f t="shared" si="45"/>
        <v>299.92</v>
      </c>
      <c r="H2903" t="str">
        <f>VLOOKUP(C2903,[1]products!$A:$B,2,FALSE)</f>
        <v>Electra Girl's Hawaii 1 16" - 2017</v>
      </c>
      <c r="I2903">
        <f>VLOOKUP(C2903,[1]products!$A:$D,4,FALSE)</f>
        <v>1</v>
      </c>
      <c r="J2903" t="str">
        <f>VLOOKUP(I2903,[2]categories!$A$1:$B$8,2,FALSE)</f>
        <v>Children Bicycles</v>
      </c>
    </row>
    <row r="2904" customHeight="1" spans="1:10">
      <c r="A2904" s="1">
        <v>1009</v>
      </c>
      <c r="B2904" s="1">
        <v>1</v>
      </c>
      <c r="C2904" s="1">
        <v>95</v>
      </c>
      <c r="D2904" s="1">
        <v>2</v>
      </c>
      <c r="E2904" s="1">
        <v>299.99</v>
      </c>
      <c r="F2904" s="1">
        <v>0.07</v>
      </c>
      <c r="G2904">
        <f t="shared" si="45"/>
        <v>599.91</v>
      </c>
      <c r="H2904" t="str">
        <f>VLOOKUP(C2904,[1]products!$A:$B,2,FALSE)</f>
        <v>Electra Girl's Hawaii 1 16" - 2017</v>
      </c>
      <c r="I2904">
        <f>VLOOKUP(C2904,[1]products!$A:$D,4,FALSE)</f>
        <v>1</v>
      </c>
      <c r="J2904" t="str">
        <f>VLOOKUP(I2904,[2]categories!$A$1:$B$8,2,FALSE)</f>
        <v>Children Bicycles</v>
      </c>
    </row>
    <row r="2905" customHeight="1" spans="1:10">
      <c r="A2905" s="1">
        <v>1009</v>
      </c>
      <c r="B2905" s="1">
        <v>2</v>
      </c>
      <c r="C2905" s="1">
        <v>44</v>
      </c>
      <c r="D2905" s="1">
        <v>1</v>
      </c>
      <c r="E2905" s="1">
        <v>539.99</v>
      </c>
      <c r="F2905" s="1">
        <v>0.07</v>
      </c>
      <c r="G2905">
        <f t="shared" si="45"/>
        <v>539.92</v>
      </c>
      <c r="H2905" t="str">
        <f>VLOOKUP(C2905,[1]products!$A:$B,2,FALSE)</f>
        <v>Haro SR 1.1 - 2017</v>
      </c>
      <c r="I2905">
        <f>VLOOKUP(C2905,[1]products!$A:$D,4,FALSE)</f>
        <v>6</v>
      </c>
      <c r="J2905" t="str">
        <f>VLOOKUP(I2905,[2]categories!$A$1:$B$8,2,FALSE)</f>
        <v>Mountain Bikes</v>
      </c>
    </row>
    <row r="2906" customHeight="1" spans="1:10">
      <c r="A2906" s="1">
        <v>1010</v>
      </c>
      <c r="B2906" s="1">
        <v>1</v>
      </c>
      <c r="C2906" s="1">
        <v>109</v>
      </c>
      <c r="D2906" s="1">
        <v>2</v>
      </c>
      <c r="E2906" s="1">
        <v>416.99</v>
      </c>
      <c r="F2906" s="1">
        <v>0.1</v>
      </c>
      <c r="G2906">
        <f t="shared" si="45"/>
        <v>833.88</v>
      </c>
      <c r="H2906" t="str">
        <f>VLOOKUP(C2906,[1]products!$A:$B,2,FALSE)</f>
        <v>Sun Bicycles Cruz 7 - Women's - 2017</v>
      </c>
      <c r="I2906">
        <f>VLOOKUP(C2906,[1]products!$A:$D,4,FALSE)</f>
        <v>2</v>
      </c>
      <c r="J2906" t="str">
        <f>VLOOKUP(I2906,[2]categories!$A$1:$B$8,2,FALSE)</f>
        <v>Comfort Bicycles</v>
      </c>
    </row>
    <row r="2907" customHeight="1" spans="1:10">
      <c r="A2907" s="1">
        <v>1011</v>
      </c>
      <c r="B2907" s="1">
        <v>1</v>
      </c>
      <c r="C2907" s="1">
        <v>88</v>
      </c>
      <c r="D2907" s="1">
        <v>1</v>
      </c>
      <c r="E2907" s="1">
        <v>189.99</v>
      </c>
      <c r="F2907" s="1">
        <v>0.2</v>
      </c>
      <c r="G2907">
        <f t="shared" si="45"/>
        <v>189.79</v>
      </c>
      <c r="H2907" t="str">
        <f>VLOOKUP(C2907,[1]products!$A:$B,2,FALSE)</f>
        <v>Trek Precaliber 12 Girls - 2017</v>
      </c>
      <c r="I2907">
        <f>VLOOKUP(C2907,[1]products!$A:$D,4,FALSE)</f>
        <v>1</v>
      </c>
      <c r="J2907" t="str">
        <f>VLOOKUP(I2907,[2]categories!$A$1:$B$8,2,FALSE)</f>
        <v>Children Bicycles</v>
      </c>
    </row>
    <row r="2908" customHeight="1" spans="1:10">
      <c r="A2908" s="1">
        <v>1011</v>
      </c>
      <c r="B2908" s="1">
        <v>2</v>
      </c>
      <c r="C2908" s="1">
        <v>99</v>
      </c>
      <c r="D2908" s="1">
        <v>2</v>
      </c>
      <c r="E2908" s="1">
        <v>299.99</v>
      </c>
      <c r="F2908" s="1">
        <v>0.2</v>
      </c>
      <c r="G2908">
        <f t="shared" si="45"/>
        <v>599.78</v>
      </c>
      <c r="H2908" t="str">
        <f>VLOOKUP(C2908,[1]products!$A:$B,2,FALSE)</f>
        <v>Electra Sugar Skulls 1 (20-inch) - Girl's - 2017</v>
      </c>
      <c r="I2908">
        <f>VLOOKUP(C2908,[1]products!$A:$D,4,FALSE)</f>
        <v>1</v>
      </c>
      <c r="J2908" t="str">
        <f>VLOOKUP(I2908,[2]categories!$A$1:$B$8,2,FALSE)</f>
        <v>Children Bicycles</v>
      </c>
    </row>
    <row r="2909" customHeight="1" spans="1:10">
      <c r="A2909" s="1">
        <v>1011</v>
      </c>
      <c r="B2909" s="1">
        <v>3</v>
      </c>
      <c r="C2909" s="1">
        <v>16</v>
      </c>
      <c r="D2909" s="1">
        <v>2</v>
      </c>
      <c r="E2909" s="1">
        <v>599.99</v>
      </c>
      <c r="F2909" s="1">
        <v>0.2</v>
      </c>
      <c r="G2909">
        <f t="shared" si="45"/>
        <v>1199.78</v>
      </c>
      <c r="H2909" t="str">
        <f>VLOOKUP(C2909,[1]products!$A:$B,2,FALSE)</f>
        <v>Electra Townie Original 7D EQ - 2016</v>
      </c>
      <c r="I2909">
        <f>VLOOKUP(C2909,[1]products!$A:$D,4,FALSE)</f>
        <v>3</v>
      </c>
      <c r="J2909" t="str">
        <f>VLOOKUP(I2909,[2]categories!$A$1:$B$8,2,FALSE)</f>
        <v>Cruisers Bicycles</v>
      </c>
    </row>
    <row r="2910" customHeight="1" spans="1:10">
      <c r="A2910" s="1">
        <v>1011</v>
      </c>
      <c r="B2910" s="1">
        <v>4</v>
      </c>
      <c r="C2910" s="1">
        <v>68</v>
      </c>
      <c r="D2910" s="1">
        <v>2</v>
      </c>
      <c r="E2910" s="1">
        <v>449.99</v>
      </c>
      <c r="F2910" s="1">
        <v>0.05</v>
      </c>
      <c r="G2910">
        <f t="shared" si="45"/>
        <v>899.93</v>
      </c>
      <c r="H2910" t="str">
        <f>VLOOKUP(C2910,[1]products!$A:$B,2,FALSE)</f>
        <v>Sun Bicycles Cruz 3 - 2017</v>
      </c>
      <c r="I2910">
        <f>VLOOKUP(C2910,[1]products!$A:$D,4,FALSE)</f>
        <v>3</v>
      </c>
      <c r="J2910" t="str">
        <f>VLOOKUP(I2910,[2]categories!$A$1:$B$8,2,FALSE)</f>
        <v>Cruisers Bicycles</v>
      </c>
    </row>
    <row r="2911" customHeight="1" spans="1:10">
      <c r="A2911" s="1">
        <v>1012</v>
      </c>
      <c r="B2911" s="1">
        <v>1</v>
      </c>
      <c r="C2911" s="1">
        <v>8</v>
      </c>
      <c r="D2911" s="1">
        <v>1</v>
      </c>
      <c r="E2911" s="1">
        <v>1799.99</v>
      </c>
      <c r="F2911" s="1">
        <v>0.07</v>
      </c>
      <c r="G2911">
        <f t="shared" si="45"/>
        <v>1799.92</v>
      </c>
      <c r="H2911" t="str">
        <f>VLOOKUP(C2911,[1]products!$A:$B,2,FALSE)</f>
        <v>Trek Remedy 29 Carbon Frameset - 2016</v>
      </c>
      <c r="I2911">
        <f>VLOOKUP(C2911,[1]products!$A:$D,4,FALSE)</f>
        <v>6</v>
      </c>
      <c r="J2911" t="str">
        <f>VLOOKUP(I2911,[2]categories!$A$1:$B$8,2,FALSE)</f>
        <v>Mountain Bikes</v>
      </c>
    </row>
    <row r="2912" customHeight="1" spans="1:10">
      <c r="A2912" s="1">
        <v>1012</v>
      </c>
      <c r="B2912" s="1">
        <v>2</v>
      </c>
      <c r="C2912" s="1">
        <v>64</v>
      </c>
      <c r="D2912" s="1">
        <v>1</v>
      </c>
      <c r="E2912" s="1">
        <v>489.99</v>
      </c>
      <c r="F2912" s="1">
        <v>0.2</v>
      </c>
      <c r="G2912">
        <f t="shared" si="45"/>
        <v>489.79</v>
      </c>
      <c r="H2912" t="str">
        <f>VLOOKUP(C2912,[1]products!$A:$B,2,FALSE)</f>
        <v>Electra Townie Original 7D - 2017</v>
      </c>
      <c r="I2912">
        <f>VLOOKUP(C2912,[1]products!$A:$D,4,FALSE)</f>
        <v>3</v>
      </c>
      <c r="J2912" t="str">
        <f>VLOOKUP(I2912,[2]categories!$A$1:$B$8,2,FALSE)</f>
        <v>Cruisers Bicycles</v>
      </c>
    </row>
    <row r="2913" customHeight="1" spans="1:10">
      <c r="A2913" s="1">
        <v>1013</v>
      </c>
      <c r="B2913" s="1">
        <v>1</v>
      </c>
      <c r="C2913" s="1">
        <v>60</v>
      </c>
      <c r="D2913" s="1">
        <v>2</v>
      </c>
      <c r="E2913" s="1">
        <v>1559.99</v>
      </c>
      <c r="F2913" s="1">
        <v>0.05</v>
      </c>
      <c r="G2913">
        <f t="shared" si="45"/>
        <v>3119.93</v>
      </c>
      <c r="H2913" t="str">
        <f>VLOOKUP(C2913,[1]products!$A:$B,2,FALSE)</f>
        <v>Sun Bicycles ElectroLite - 2017</v>
      </c>
      <c r="I2913">
        <f>VLOOKUP(C2913,[1]products!$A:$D,4,FALSE)</f>
        <v>5</v>
      </c>
      <c r="J2913" t="str">
        <f>VLOOKUP(I2913,[2]categories!$A$1:$B$8,2,FALSE)</f>
        <v>Electric Bikes</v>
      </c>
    </row>
    <row r="2914" customHeight="1" spans="1:10">
      <c r="A2914" s="1">
        <v>1014</v>
      </c>
      <c r="B2914" s="1">
        <v>1</v>
      </c>
      <c r="C2914" s="1">
        <v>97</v>
      </c>
      <c r="D2914" s="1">
        <v>1</v>
      </c>
      <c r="E2914" s="1">
        <v>349.99</v>
      </c>
      <c r="F2914" s="1">
        <v>0.2</v>
      </c>
      <c r="G2914">
        <f t="shared" si="45"/>
        <v>349.79</v>
      </c>
      <c r="H2914" t="str">
        <f>VLOOKUP(C2914,[1]products!$A:$B,2,FALSE)</f>
        <v>Electra Savannah 3i (20-inch) - Girl's - 2017</v>
      </c>
      <c r="I2914">
        <f>VLOOKUP(C2914,[1]products!$A:$D,4,FALSE)</f>
        <v>1</v>
      </c>
      <c r="J2914" t="str">
        <f>VLOOKUP(I2914,[2]categories!$A$1:$B$8,2,FALSE)</f>
        <v>Children Bicycles</v>
      </c>
    </row>
    <row r="2915" customHeight="1" spans="1:10">
      <c r="A2915" s="1">
        <v>1014</v>
      </c>
      <c r="B2915" s="1">
        <v>2</v>
      </c>
      <c r="C2915" s="1">
        <v>45</v>
      </c>
      <c r="D2915" s="1">
        <v>2</v>
      </c>
      <c r="E2915" s="1">
        <v>869.99</v>
      </c>
      <c r="F2915" s="1">
        <v>0.05</v>
      </c>
      <c r="G2915">
        <f t="shared" si="45"/>
        <v>1739.93</v>
      </c>
      <c r="H2915" t="str">
        <f>VLOOKUP(C2915,[1]products!$A:$B,2,FALSE)</f>
        <v>Haro SR 1.2 - 2017</v>
      </c>
      <c r="I2915">
        <f>VLOOKUP(C2915,[1]products!$A:$D,4,FALSE)</f>
        <v>6</v>
      </c>
      <c r="J2915" t="str">
        <f>VLOOKUP(I2915,[2]categories!$A$1:$B$8,2,FALSE)</f>
        <v>Mountain Bikes</v>
      </c>
    </row>
    <row r="2916" customHeight="1" spans="1:10">
      <c r="A2916" s="1">
        <v>1014</v>
      </c>
      <c r="B2916" s="1">
        <v>3</v>
      </c>
      <c r="C2916" s="1">
        <v>81</v>
      </c>
      <c r="D2916" s="1">
        <v>2</v>
      </c>
      <c r="E2916" s="1">
        <v>1099.99</v>
      </c>
      <c r="F2916" s="1">
        <v>0.1</v>
      </c>
      <c r="G2916">
        <f t="shared" si="45"/>
        <v>2199.88</v>
      </c>
      <c r="H2916" t="str">
        <f>VLOOKUP(C2916,[1]products!$A:$B,2,FALSE)</f>
        <v>Electra Amsterdam Fashion 7i Ladies' - 2017</v>
      </c>
      <c r="I2916">
        <f>VLOOKUP(C2916,[1]products!$A:$D,4,FALSE)</f>
        <v>3</v>
      </c>
      <c r="J2916" t="str">
        <f>VLOOKUP(I2916,[2]categories!$A$1:$B$8,2,FALSE)</f>
        <v>Cruisers Bicycles</v>
      </c>
    </row>
    <row r="2917" customHeight="1" spans="1:10">
      <c r="A2917" s="1">
        <v>1014</v>
      </c>
      <c r="B2917" s="1">
        <v>4</v>
      </c>
      <c r="C2917" s="1">
        <v>59</v>
      </c>
      <c r="D2917" s="1">
        <v>1</v>
      </c>
      <c r="E2917" s="1">
        <v>2599.99</v>
      </c>
      <c r="F2917" s="1">
        <v>0.05</v>
      </c>
      <c r="G2917">
        <f t="shared" si="45"/>
        <v>2599.94</v>
      </c>
      <c r="H2917" t="str">
        <f>VLOOKUP(C2917,[1]products!$A:$B,2,FALSE)</f>
        <v>Trek Domane S 5 Disc - 2017</v>
      </c>
      <c r="I2917">
        <f>VLOOKUP(C2917,[1]products!$A:$D,4,FALSE)</f>
        <v>7</v>
      </c>
      <c r="J2917" t="str">
        <f>VLOOKUP(I2917,[2]categories!$A$1:$B$8,2,FALSE)</f>
        <v>Road Bikes</v>
      </c>
    </row>
    <row r="2918" customHeight="1" spans="1:10">
      <c r="A2918" s="1">
        <v>1015</v>
      </c>
      <c r="B2918" s="1">
        <v>1</v>
      </c>
      <c r="C2918" s="1">
        <v>6</v>
      </c>
      <c r="D2918" s="1">
        <v>2</v>
      </c>
      <c r="E2918" s="1">
        <v>469.99</v>
      </c>
      <c r="F2918" s="1">
        <v>0.1</v>
      </c>
      <c r="G2918">
        <f t="shared" si="45"/>
        <v>939.88</v>
      </c>
      <c r="H2918" t="str">
        <f>VLOOKUP(C2918,[1]products!$A:$B,2,FALSE)</f>
        <v>Surly Ice Cream Truck Frameset - 2016</v>
      </c>
      <c r="I2918">
        <f>VLOOKUP(C2918,[1]products!$A:$D,4,FALSE)</f>
        <v>6</v>
      </c>
      <c r="J2918" t="str">
        <f>VLOOKUP(I2918,[2]categories!$A$1:$B$8,2,FALSE)</f>
        <v>Mountain Bikes</v>
      </c>
    </row>
    <row r="2919" customHeight="1" spans="1:10">
      <c r="A2919" s="1">
        <v>1015</v>
      </c>
      <c r="B2919" s="1">
        <v>2</v>
      </c>
      <c r="C2919" s="1">
        <v>73</v>
      </c>
      <c r="D2919" s="1">
        <v>2</v>
      </c>
      <c r="E2919" s="1">
        <v>749.99</v>
      </c>
      <c r="F2919" s="1">
        <v>0.2</v>
      </c>
      <c r="G2919">
        <f t="shared" si="45"/>
        <v>1499.78</v>
      </c>
      <c r="H2919" t="str">
        <f>VLOOKUP(C2919,[1]products!$A:$B,2,FALSE)</f>
        <v>Sun Bicycles Brickell Tandem 7 - 2017</v>
      </c>
      <c r="I2919">
        <f>VLOOKUP(C2919,[1]products!$A:$D,4,FALSE)</f>
        <v>3</v>
      </c>
      <c r="J2919" t="str">
        <f>VLOOKUP(I2919,[2]categories!$A$1:$B$8,2,FALSE)</f>
        <v>Cruisers Bicycles</v>
      </c>
    </row>
    <row r="2920" customHeight="1" spans="1:10">
      <c r="A2920" s="1">
        <v>1015</v>
      </c>
      <c r="B2920" s="1">
        <v>3</v>
      </c>
      <c r="C2920" s="1">
        <v>101</v>
      </c>
      <c r="D2920" s="1">
        <v>2</v>
      </c>
      <c r="E2920" s="1">
        <v>339.99</v>
      </c>
      <c r="F2920" s="1">
        <v>0.1</v>
      </c>
      <c r="G2920">
        <f t="shared" si="45"/>
        <v>679.88</v>
      </c>
      <c r="H2920" t="str">
        <f>VLOOKUP(C2920,[1]products!$A:$B,2,FALSE)</f>
        <v>Electra Townie 7D (20-inch) - Boys' - 2017</v>
      </c>
      <c r="I2920">
        <f>VLOOKUP(C2920,[1]products!$A:$D,4,FALSE)</f>
        <v>1</v>
      </c>
      <c r="J2920" t="str">
        <f>VLOOKUP(I2920,[2]categories!$A$1:$B$8,2,FALSE)</f>
        <v>Children Bicycles</v>
      </c>
    </row>
    <row r="2921" customHeight="1" spans="1:10">
      <c r="A2921" s="1">
        <v>1015</v>
      </c>
      <c r="B2921" s="1">
        <v>4</v>
      </c>
      <c r="C2921" s="1">
        <v>13</v>
      </c>
      <c r="D2921" s="1">
        <v>1</v>
      </c>
      <c r="E2921" s="1">
        <v>269.99</v>
      </c>
      <c r="F2921" s="1">
        <v>0.2</v>
      </c>
      <c r="G2921">
        <f t="shared" si="45"/>
        <v>269.79</v>
      </c>
      <c r="H2921" t="str">
        <f>VLOOKUP(C2921,[1]products!$A:$B,2,FALSE)</f>
        <v>Electra Cruiser 1 (24-Inch) - 2016</v>
      </c>
      <c r="I2921">
        <f>VLOOKUP(C2921,[1]products!$A:$D,4,FALSE)</f>
        <v>3</v>
      </c>
      <c r="J2921" t="str">
        <f>VLOOKUP(I2921,[2]categories!$A$1:$B$8,2,FALSE)</f>
        <v>Cruisers Bicycles</v>
      </c>
    </row>
    <row r="2922" customHeight="1" spans="1:10">
      <c r="A2922" s="1">
        <v>1016</v>
      </c>
      <c r="B2922" s="1">
        <v>1</v>
      </c>
      <c r="C2922" s="1">
        <v>76</v>
      </c>
      <c r="D2922" s="1">
        <v>2</v>
      </c>
      <c r="E2922" s="1">
        <v>299.99</v>
      </c>
      <c r="F2922" s="1">
        <v>0.07</v>
      </c>
      <c r="G2922">
        <f t="shared" si="45"/>
        <v>599.91</v>
      </c>
      <c r="H2922" t="str">
        <f>VLOOKUP(C2922,[1]products!$A:$B,2,FALSE)</f>
        <v>Electra Girl's Hawaii 1 16" - 2017</v>
      </c>
      <c r="I2922">
        <f>VLOOKUP(C2922,[1]products!$A:$D,4,FALSE)</f>
        <v>3</v>
      </c>
      <c r="J2922" t="str">
        <f>VLOOKUP(I2922,[2]categories!$A$1:$B$8,2,FALSE)</f>
        <v>Cruisers Bicycles</v>
      </c>
    </row>
    <row r="2923" customHeight="1" spans="1:10">
      <c r="A2923" s="1">
        <v>1017</v>
      </c>
      <c r="B2923" s="1">
        <v>1</v>
      </c>
      <c r="C2923" s="1">
        <v>89</v>
      </c>
      <c r="D2923" s="1">
        <v>1</v>
      </c>
      <c r="E2923" s="1">
        <v>209.99</v>
      </c>
      <c r="F2923" s="1">
        <v>0.07</v>
      </c>
      <c r="G2923">
        <f t="shared" si="45"/>
        <v>209.92</v>
      </c>
      <c r="H2923" t="str">
        <f>VLOOKUP(C2923,[1]products!$A:$B,2,FALSE)</f>
        <v>Trek Precaliber 16 Boys - 2017</v>
      </c>
      <c r="I2923">
        <f>VLOOKUP(C2923,[1]products!$A:$D,4,FALSE)</f>
        <v>1</v>
      </c>
      <c r="J2923" t="str">
        <f>VLOOKUP(I2923,[2]categories!$A$1:$B$8,2,FALSE)</f>
        <v>Children Bicycles</v>
      </c>
    </row>
    <row r="2924" customHeight="1" spans="1:10">
      <c r="A2924" s="1">
        <v>1017</v>
      </c>
      <c r="B2924" s="1">
        <v>2</v>
      </c>
      <c r="C2924" s="1">
        <v>82</v>
      </c>
      <c r="D2924" s="1">
        <v>2</v>
      </c>
      <c r="E2924" s="1">
        <v>659.99</v>
      </c>
      <c r="F2924" s="1">
        <v>0.2</v>
      </c>
      <c r="G2924">
        <f t="shared" si="45"/>
        <v>1319.78</v>
      </c>
      <c r="H2924" t="str">
        <f>VLOOKUP(C2924,[1]products!$A:$B,2,FALSE)</f>
        <v>Electra Amsterdam Original 3i Ladies' - 2017</v>
      </c>
      <c r="I2924">
        <f>VLOOKUP(C2924,[1]products!$A:$D,4,FALSE)</f>
        <v>3</v>
      </c>
      <c r="J2924" t="str">
        <f>VLOOKUP(I2924,[2]categories!$A$1:$B$8,2,FALSE)</f>
        <v>Cruisers Bicycles</v>
      </c>
    </row>
    <row r="2925" customHeight="1" spans="1:10">
      <c r="A2925" s="1">
        <v>1017</v>
      </c>
      <c r="B2925" s="1">
        <v>3</v>
      </c>
      <c r="C2925" s="1">
        <v>100</v>
      </c>
      <c r="D2925" s="1">
        <v>1</v>
      </c>
      <c r="E2925" s="1">
        <v>489.99</v>
      </c>
      <c r="F2925" s="1">
        <v>0.2</v>
      </c>
      <c r="G2925">
        <f t="shared" si="45"/>
        <v>489.79</v>
      </c>
      <c r="H2925" t="str">
        <f>VLOOKUP(C2925,[1]products!$A:$B,2,FALSE)</f>
        <v>Electra Townie 3i EQ (20-inch) - Boys' - 2017</v>
      </c>
      <c r="I2925">
        <f>VLOOKUP(C2925,[1]products!$A:$D,4,FALSE)</f>
        <v>1</v>
      </c>
      <c r="J2925" t="str">
        <f>VLOOKUP(I2925,[2]categories!$A$1:$B$8,2,FALSE)</f>
        <v>Children Bicycles</v>
      </c>
    </row>
    <row r="2926" customHeight="1" spans="1:10">
      <c r="A2926" s="1">
        <v>1017</v>
      </c>
      <c r="B2926" s="1">
        <v>4</v>
      </c>
      <c r="C2926" s="1">
        <v>18</v>
      </c>
      <c r="D2926" s="1">
        <v>2</v>
      </c>
      <c r="E2926" s="1">
        <v>449</v>
      </c>
      <c r="F2926" s="1">
        <v>0.2</v>
      </c>
      <c r="G2926">
        <f t="shared" si="45"/>
        <v>897.8</v>
      </c>
      <c r="H2926" t="str">
        <f>VLOOKUP(C2926,[1]products!$A:$B,2,FALSE)</f>
        <v>Pure Cycles Western 3-Speed - Women's - 2015/2016</v>
      </c>
      <c r="I2926">
        <f>VLOOKUP(C2926,[1]products!$A:$D,4,FALSE)</f>
        <v>3</v>
      </c>
      <c r="J2926" t="str">
        <f>VLOOKUP(I2926,[2]categories!$A$1:$B$8,2,FALSE)</f>
        <v>Cruisers Bicycles</v>
      </c>
    </row>
    <row r="2927" customHeight="1" spans="1:10">
      <c r="A2927" s="1">
        <v>1017</v>
      </c>
      <c r="B2927" s="1">
        <v>5</v>
      </c>
      <c r="C2927" s="1">
        <v>77</v>
      </c>
      <c r="D2927" s="1">
        <v>2</v>
      </c>
      <c r="E2927" s="1">
        <v>799.99</v>
      </c>
      <c r="F2927" s="1">
        <v>0.1</v>
      </c>
      <c r="G2927">
        <f t="shared" si="45"/>
        <v>1599.88</v>
      </c>
      <c r="H2927" t="str">
        <f>VLOOKUP(C2927,[1]products!$A:$B,2,FALSE)</f>
        <v>Electra Glam Punk 3i Ladies' - 2017</v>
      </c>
      <c r="I2927">
        <f>VLOOKUP(C2927,[1]products!$A:$D,4,FALSE)</f>
        <v>3</v>
      </c>
      <c r="J2927" t="str">
        <f>VLOOKUP(I2927,[2]categories!$A$1:$B$8,2,FALSE)</f>
        <v>Cruisers Bicycles</v>
      </c>
    </row>
    <row r="2928" customHeight="1" spans="1:10">
      <c r="A2928" s="1">
        <v>1018</v>
      </c>
      <c r="B2928" s="1">
        <v>1</v>
      </c>
      <c r="C2928" s="1">
        <v>76</v>
      </c>
      <c r="D2928" s="1">
        <v>2</v>
      </c>
      <c r="E2928" s="1">
        <v>299.99</v>
      </c>
      <c r="F2928" s="1">
        <v>0.07</v>
      </c>
      <c r="G2928">
        <f t="shared" si="45"/>
        <v>599.91</v>
      </c>
      <c r="H2928" t="str">
        <f>VLOOKUP(C2928,[1]products!$A:$B,2,FALSE)</f>
        <v>Electra Girl's Hawaii 1 16" - 2017</v>
      </c>
      <c r="I2928">
        <f>VLOOKUP(C2928,[1]products!$A:$D,4,FALSE)</f>
        <v>3</v>
      </c>
      <c r="J2928" t="str">
        <f>VLOOKUP(I2928,[2]categories!$A$1:$B$8,2,FALSE)</f>
        <v>Cruisers Bicycles</v>
      </c>
    </row>
    <row r="2929" customHeight="1" spans="1:10">
      <c r="A2929" s="1">
        <v>1018</v>
      </c>
      <c r="B2929" s="1">
        <v>2</v>
      </c>
      <c r="C2929" s="1">
        <v>97</v>
      </c>
      <c r="D2929" s="1">
        <v>2</v>
      </c>
      <c r="E2929" s="1">
        <v>349.99</v>
      </c>
      <c r="F2929" s="1">
        <v>0.1</v>
      </c>
      <c r="G2929">
        <f t="shared" si="45"/>
        <v>699.88</v>
      </c>
      <c r="H2929" t="str">
        <f>VLOOKUP(C2929,[1]products!$A:$B,2,FALSE)</f>
        <v>Electra Savannah 3i (20-inch) - Girl's - 2017</v>
      </c>
      <c r="I2929">
        <f>VLOOKUP(C2929,[1]products!$A:$D,4,FALSE)</f>
        <v>1</v>
      </c>
      <c r="J2929" t="str">
        <f>VLOOKUP(I2929,[2]categories!$A$1:$B$8,2,FALSE)</f>
        <v>Children Bicycles</v>
      </c>
    </row>
    <row r="2930" customHeight="1" spans="1:10">
      <c r="A2930" s="1">
        <v>1018</v>
      </c>
      <c r="B2930" s="1">
        <v>3</v>
      </c>
      <c r="C2930" s="1">
        <v>91</v>
      </c>
      <c r="D2930" s="1">
        <v>1</v>
      </c>
      <c r="E2930" s="1">
        <v>349.99</v>
      </c>
      <c r="F2930" s="1">
        <v>0.2</v>
      </c>
      <c r="G2930">
        <f t="shared" si="45"/>
        <v>349.79</v>
      </c>
      <c r="H2930" t="str">
        <f>VLOOKUP(C2930,[1]products!$A:$B,2,FALSE)</f>
        <v>Trek Precaliber 24 (21-Speed) - Girls - 2017</v>
      </c>
      <c r="I2930">
        <f>VLOOKUP(C2930,[1]products!$A:$D,4,FALSE)</f>
        <v>1</v>
      </c>
      <c r="J2930" t="str">
        <f>VLOOKUP(I2930,[2]categories!$A$1:$B$8,2,FALSE)</f>
        <v>Children Bicycles</v>
      </c>
    </row>
    <row r="2931" customHeight="1" spans="1:10">
      <c r="A2931" s="1">
        <v>1019</v>
      </c>
      <c r="B2931" s="1">
        <v>1</v>
      </c>
      <c r="C2931" s="1">
        <v>30</v>
      </c>
      <c r="D2931" s="1">
        <v>1</v>
      </c>
      <c r="E2931" s="1">
        <v>999.99</v>
      </c>
      <c r="F2931" s="1">
        <v>0.1</v>
      </c>
      <c r="G2931">
        <f t="shared" si="45"/>
        <v>999.89</v>
      </c>
      <c r="H2931" t="str">
        <f>VLOOKUP(C2931,[1]products!$A:$B,2,FALSE)</f>
        <v>Surly Ice Cream Truck Frameset - 2017</v>
      </c>
      <c r="I2931">
        <f>VLOOKUP(C2931,[1]products!$A:$D,4,FALSE)</f>
        <v>6</v>
      </c>
      <c r="J2931" t="str">
        <f>VLOOKUP(I2931,[2]categories!$A$1:$B$8,2,FALSE)</f>
        <v>Mountain Bikes</v>
      </c>
    </row>
    <row r="2932" customHeight="1" spans="1:10">
      <c r="A2932" s="1">
        <v>1019</v>
      </c>
      <c r="B2932" s="1">
        <v>2</v>
      </c>
      <c r="C2932" s="1">
        <v>52</v>
      </c>
      <c r="D2932" s="1">
        <v>1</v>
      </c>
      <c r="E2932" s="1">
        <v>875.99</v>
      </c>
      <c r="F2932" s="1">
        <v>0.2</v>
      </c>
      <c r="G2932">
        <f t="shared" si="45"/>
        <v>875.79</v>
      </c>
      <c r="H2932" t="str">
        <f>VLOOKUP(C2932,[1]products!$A:$B,2,FALSE)</f>
        <v>Surly Steamroller - 2017</v>
      </c>
      <c r="I2932">
        <f>VLOOKUP(C2932,[1]products!$A:$D,4,FALSE)</f>
        <v>7</v>
      </c>
      <c r="J2932" t="str">
        <f>VLOOKUP(I2932,[2]categories!$A$1:$B$8,2,FALSE)</f>
        <v>Road Bikes</v>
      </c>
    </row>
    <row r="2933" customHeight="1" spans="1:10">
      <c r="A2933" s="1">
        <v>1019</v>
      </c>
      <c r="B2933" s="1">
        <v>3</v>
      </c>
      <c r="C2933" s="1">
        <v>37</v>
      </c>
      <c r="D2933" s="1">
        <v>1</v>
      </c>
      <c r="E2933" s="1">
        <v>379.99</v>
      </c>
      <c r="F2933" s="1">
        <v>0.05</v>
      </c>
      <c r="G2933">
        <f t="shared" si="45"/>
        <v>379.94</v>
      </c>
      <c r="H2933" t="str">
        <f>VLOOKUP(C2933,[1]products!$A:$B,2,FALSE)</f>
        <v>Haro Flightline One ST - 2017</v>
      </c>
      <c r="I2933">
        <f>VLOOKUP(C2933,[1]products!$A:$D,4,FALSE)</f>
        <v>6</v>
      </c>
      <c r="J2933" t="str">
        <f>VLOOKUP(I2933,[2]categories!$A$1:$B$8,2,FALSE)</f>
        <v>Mountain Bikes</v>
      </c>
    </row>
    <row r="2934" customHeight="1" spans="1:10">
      <c r="A2934" s="1">
        <v>1019</v>
      </c>
      <c r="B2934" s="1">
        <v>4</v>
      </c>
      <c r="C2934" s="1">
        <v>93</v>
      </c>
      <c r="D2934" s="1">
        <v>2</v>
      </c>
      <c r="E2934" s="1">
        <v>209.99</v>
      </c>
      <c r="F2934" s="1">
        <v>0.2</v>
      </c>
      <c r="G2934">
        <f t="shared" si="45"/>
        <v>419.78</v>
      </c>
      <c r="H2934" t="str">
        <f>VLOOKUP(C2934,[1]products!$A:$B,2,FALSE)</f>
        <v>Haro Shredder 20 Girls - 2017</v>
      </c>
      <c r="I2934">
        <f>VLOOKUP(C2934,[1]products!$A:$D,4,FALSE)</f>
        <v>1</v>
      </c>
      <c r="J2934" t="str">
        <f>VLOOKUP(I2934,[2]categories!$A$1:$B$8,2,FALSE)</f>
        <v>Children Bicycles</v>
      </c>
    </row>
    <row r="2935" customHeight="1" spans="1:10">
      <c r="A2935" s="1">
        <v>1020</v>
      </c>
      <c r="B2935" s="1">
        <v>1</v>
      </c>
      <c r="C2935" s="1">
        <v>20</v>
      </c>
      <c r="D2935" s="1">
        <v>2</v>
      </c>
      <c r="E2935" s="1">
        <v>599.99</v>
      </c>
      <c r="F2935" s="1">
        <v>0.05</v>
      </c>
      <c r="G2935">
        <f t="shared" si="45"/>
        <v>1199.93</v>
      </c>
      <c r="H2935" t="str">
        <f>VLOOKUP(C2935,[1]products!$A:$B,2,FALSE)</f>
        <v>Electra Townie Original 7D EQ - Women's - 2016</v>
      </c>
      <c r="I2935">
        <f>VLOOKUP(C2935,[1]products!$A:$D,4,FALSE)</f>
        <v>3</v>
      </c>
      <c r="J2935" t="str">
        <f>VLOOKUP(I2935,[2]categories!$A$1:$B$8,2,FALSE)</f>
        <v>Cruisers Bicycles</v>
      </c>
    </row>
    <row r="2936" customHeight="1" spans="1:10">
      <c r="A2936" s="1">
        <v>1020</v>
      </c>
      <c r="B2936" s="1">
        <v>2</v>
      </c>
      <c r="C2936" s="1">
        <v>69</v>
      </c>
      <c r="D2936" s="1">
        <v>2</v>
      </c>
      <c r="E2936" s="1">
        <v>416.99</v>
      </c>
      <c r="F2936" s="1">
        <v>0.05</v>
      </c>
      <c r="G2936">
        <f t="shared" si="45"/>
        <v>833.93</v>
      </c>
      <c r="H2936" t="str">
        <f>VLOOKUP(C2936,[1]products!$A:$B,2,FALSE)</f>
        <v>Sun Bicycles Cruz 7 - 2017</v>
      </c>
      <c r="I2936">
        <f>VLOOKUP(C2936,[1]products!$A:$D,4,FALSE)</f>
        <v>3</v>
      </c>
      <c r="J2936" t="str">
        <f>VLOOKUP(I2936,[2]categories!$A$1:$B$8,2,FALSE)</f>
        <v>Cruisers Bicycles</v>
      </c>
    </row>
    <row r="2937" customHeight="1" spans="1:10">
      <c r="A2937" s="1">
        <v>1020</v>
      </c>
      <c r="B2937" s="1">
        <v>3</v>
      </c>
      <c r="C2937" s="1">
        <v>15</v>
      </c>
      <c r="D2937" s="1">
        <v>1</v>
      </c>
      <c r="E2937" s="1">
        <v>529.99</v>
      </c>
      <c r="F2937" s="1">
        <v>0.07</v>
      </c>
      <c r="G2937">
        <f t="shared" si="45"/>
        <v>529.92</v>
      </c>
      <c r="H2937" t="str">
        <f>VLOOKUP(C2937,[1]products!$A:$B,2,FALSE)</f>
        <v>Electra Moto 1 - 2016</v>
      </c>
      <c r="I2937">
        <f>VLOOKUP(C2937,[1]products!$A:$D,4,FALSE)</f>
        <v>3</v>
      </c>
      <c r="J2937" t="str">
        <f>VLOOKUP(I2937,[2]categories!$A$1:$B$8,2,FALSE)</f>
        <v>Cruisers Bicycles</v>
      </c>
    </row>
    <row r="2938" customHeight="1" spans="1:10">
      <c r="A2938" s="1">
        <v>1020</v>
      </c>
      <c r="B2938" s="1">
        <v>4</v>
      </c>
      <c r="C2938" s="1">
        <v>57</v>
      </c>
      <c r="D2938" s="1">
        <v>2</v>
      </c>
      <c r="E2938" s="1">
        <v>1999.99</v>
      </c>
      <c r="F2938" s="1">
        <v>0.1</v>
      </c>
      <c r="G2938">
        <f t="shared" si="45"/>
        <v>3999.88</v>
      </c>
      <c r="H2938" t="str">
        <f>VLOOKUP(C2938,[1]products!$A:$B,2,FALSE)</f>
        <v>Trek Emonda S 5 - 2017</v>
      </c>
      <c r="I2938">
        <f>VLOOKUP(C2938,[1]products!$A:$D,4,FALSE)</f>
        <v>7</v>
      </c>
      <c r="J2938" t="str">
        <f>VLOOKUP(I2938,[2]categories!$A$1:$B$8,2,FALSE)</f>
        <v>Road Bikes</v>
      </c>
    </row>
    <row r="2939" customHeight="1" spans="1:10">
      <c r="A2939" s="1">
        <v>1020</v>
      </c>
      <c r="B2939" s="1">
        <v>5</v>
      </c>
      <c r="C2939" s="1">
        <v>40</v>
      </c>
      <c r="D2939" s="1">
        <v>2</v>
      </c>
      <c r="E2939" s="1">
        <v>4999.99</v>
      </c>
      <c r="F2939" s="1">
        <v>0.05</v>
      </c>
      <c r="G2939">
        <f t="shared" si="45"/>
        <v>9999.93</v>
      </c>
      <c r="H2939" t="str">
        <f>VLOOKUP(C2939,[1]products!$A:$B,2,FALSE)</f>
        <v>Trek Fuel EX 9.8 29 - 2017</v>
      </c>
      <c r="I2939">
        <f>VLOOKUP(C2939,[1]products!$A:$D,4,FALSE)</f>
        <v>6</v>
      </c>
      <c r="J2939" t="str">
        <f>VLOOKUP(I2939,[2]categories!$A$1:$B$8,2,FALSE)</f>
        <v>Mountain Bikes</v>
      </c>
    </row>
    <row r="2940" customHeight="1" spans="1:10">
      <c r="A2940" s="1">
        <v>1021</v>
      </c>
      <c r="B2940" s="1">
        <v>1</v>
      </c>
      <c r="C2940" s="1">
        <v>49</v>
      </c>
      <c r="D2940" s="1">
        <v>2</v>
      </c>
      <c r="E2940" s="1">
        <v>3499.99</v>
      </c>
      <c r="F2940" s="1">
        <v>0.07</v>
      </c>
      <c r="G2940">
        <f t="shared" si="45"/>
        <v>6999.91</v>
      </c>
      <c r="H2940" t="str">
        <f>VLOOKUP(C2940,[1]products!$A:$B,2,FALSE)</f>
        <v>Trek Domane SL 6 - 2017</v>
      </c>
      <c r="I2940">
        <f>VLOOKUP(C2940,[1]products!$A:$D,4,FALSE)</f>
        <v>7</v>
      </c>
      <c r="J2940" t="str">
        <f>VLOOKUP(I2940,[2]categories!$A$1:$B$8,2,FALSE)</f>
        <v>Road Bikes</v>
      </c>
    </row>
    <row r="2941" customHeight="1" spans="1:10">
      <c r="A2941" s="1">
        <v>1021</v>
      </c>
      <c r="B2941" s="1">
        <v>2</v>
      </c>
      <c r="C2941" s="1">
        <v>23</v>
      </c>
      <c r="D2941" s="1">
        <v>2</v>
      </c>
      <c r="E2941" s="1">
        <v>299.99</v>
      </c>
      <c r="F2941" s="1">
        <v>0.07</v>
      </c>
      <c r="G2941">
        <f t="shared" si="45"/>
        <v>599.91</v>
      </c>
      <c r="H2941" t="str">
        <f>VLOOKUP(C2941,[1]products!$A:$B,2,FALSE)</f>
        <v>Electra Girl's Hawaii 1 (20-inch) - 2015/2016</v>
      </c>
      <c r="I2941">
        <f>VLOOKUP(C2941,[1]products!$A:$D,4,FALSE)</f>
        <v>1</v>
      </c>
      <c r="J2941" t="str">
        <f>VLOOKUP(I2941,[2]categories!$A$1:$B$8,2,FALSE)</f>
        <v>Children Bicycles</v>
      </c>
    </row>
    <row r="2942" customHeight="1" spans="1:10">
      <c r="A2942" s="1">
        <v>1022</v>
      </c>
      <c r="B2942" s="1">
        <v>1</v>
      </c>
      <c r="C2942" s="1">
        <v>33</v>
      </c>
      <c r="D2942" s="1">
        <v>1</v>
      </c>
      <c r="E2942" s="1">
        <v>469.99</v>
      </c>
      <c r="F2942" s="1">
        <v>0.2</v>
      </c>
      <c r="G2942">
        <f t="shared" si="45"/>
        <v>469.79</v>
      </c>
      <c r="H2942" t="str">
        <f>VLOOKUP(C2942,[1]products!$A:$B,2,FALSE)</f>
        <v>Surly Wednesday Frameset - 2017</v>
      </c>
      <c r="I2942">
        <f>VLOOKUP(C2942,[1]products!$A:$D,4,FALSE)</f>
        <v>6</v>
      </c>
      <c r="J2942" t="str">
        <f>VLOOKUP(I2942,[2]categories!$A$1:$B$8,2,FALSE)</f>
        <v>Mountain Bikes</v>
      </c>
    </row>
    <row r="2943" customHeight="1" spans="1:10">
      <c r="A2943" s="1">
        <v>1022</v>
      </c>
      <c r="B2943" s="1">
        <v>2</v>
      </c>
      <c r="C2943" s="1">
        <v>46</v>
      </c>
      <c r="D2943" s="1">
        <v>1</v>
      </c>
      <c r="E2943" s="1">
        <v>1409.99</v>
      </c>
      <c r="F2943" s="1">
        <v>0.1</v>
      </c>
      <c r="G2943">
        <f t="shared" si="45"/>
        <v>1409.89</v>
      </c>
      <c r="H2943" t="str">
        <f>VLOOKUP(C2943,[1]products!$A:$B,2,FALSE)</f>
        <v>Haro SR 1.3 - 2017</v>
      </c>
      <c r="I2943">
        <f>VLOOKUP(C2943,[1]products!$A:$D,4,FALSE)</f>
        <v>6</v>
      </c>
      <c r="J2943" t="str">
        <f>VLOOKUP(I2943,[2]categories!$A$1:$B$8,2,FALSE)</f>
        <v>Mountain Bikes</v>
      </c>
    </row>
    <row r="2944" customHeight="1" spans="1:10">
      <c r="A2944" s="1">
        <v>1022</v>
      </c>
      <c r="B2944" s="1">
        <v>3</v>
      </c>
      <c r="C2944" s="1">
        <v>65</v>
      </c>
      <c r="D2944" s="1">
        <v>1</v>
      </c>
      <c r="E2944" s="1">
        <v>346.99</v>
      </c>
      <c r="F2944" s="1">
        <v>0.07</v>
      </c>
      <c r="G2944">
        <f t="shared" si="45"/>
        <v>346.92</v>
      </c>
      <c r="H2944" t="str">
        <f>VLOOKUP(C2944,[1]products!$A:$B,2,FALSE)</f>
        <v>Sun Bicycles Lil Bolt Type-R - 2017</v>
      </c>
      <c r="I2944">
        <f>VLOOKUP(C2944,[1]products!$A:$D,4,FALSE)</f>
        <v>3</v>
      </c>
      <c r="J2944" t="str">
        <f>VLOOKUP(I2944,[2]categories!$A$1:$B$8,2,FALSE)</f>
        <v>Cruisers Bicycles</v>
      </c>
    </row>
    <row r="2945" customHeight="1" spans="1:10">
      <c r="A2945" s="1">
        <v>1022</v>
      </c>
      <c r="B2945" s="1">
        <v>4</v>
      </c>
      <c r="C2945" s="1">
        <v>5</v>
      </c>
      <c r="D2945" s="1">
        <v>1</v>
      </c>
      <c r="E2945" s="1">
        <v>1320.99</v>
      </c>
      <c r="F2945" s="1">
        <v>0.07</v>
      </c>
      <c r="G2945">
        <f t="shared" si="45"/>
        <v>1320.92</v>
      </c>
      <c r="H2945" t="str">
        <f>VLOOKUP(C2945,[1]products!$A:$B,2,FALSE)</f>
        <v>Heller Shagamaw Frame - 2016</v>
      </c>
      <c r="I2945">
        <f>VLOOKUP(C2945,[1]products!$A:$D,4,FALSE)</f>
        <v>6</v>
      </c>
      <c r="J2945" t="str">
        <f>VLOOKUP(I2945,[2]categories!$A$1:$B$8,2,FALSE)</f>
        <v>Mountain Bikes</v>
      </c>
    </row>
    <row r="2946" customHeight="1" spans="1:10">
      <c r="A2946" s="1">
        <v>1023</v>
      </c>
      <c r="B2946" s="1">
        <v>1</v>
      </c>
      <c r="C2946" s="1">
        <v>91</v>
      </c>
      <c r="D2946" s="1">
        <v>1</v>
      </c>
      <c r="E2946" s="1">
        <v>349.99</v>
      </c>
      <c r="F2946" s="1">
        <v>0.07</v>
      </c>
      <c r="G2946">
        <f t="shared" si="45"/>
        <v>349.92</v>
      </c>
      <c r="H2946" t="str">
        <f>VLOOKUP(C2946,[1]products!$A:$B,2,FALSE)</f>
        <v>Trek Precaliber 24 (21-Speed) - Girls - 2017</v>
      </c>
      <c r="I2946">
        <f>VLOOKUP(C2946,[1]products!$A:$D,4,FALSE)</f>
        <v>1</v>
      </c>
      <c r="J2946" t="str">
        <f>VLOOKUP(I2946,[2]categories!$A$1:$B$8,2,FALSE)</f>
        <v>Children Bicycles</v>
      </c>
    </row>
    <row r="2947" customHeight="1" spans="1:10">
      <c r="A2947" s="1">
        <v>1023</v>
      </c>
      <c r="B2947" s="1">
        <v>2</v>
      </c>
      <c r="C2947" s="1">
        <v>43</v>
      </c>
      <c r="D2947" s="1">
        <v>2</v>
      </c>
      <c r="E2947" s="1">
        <v>5299.99</v>
      </c>
      <c r="F2947" s="1">
        <v>0.1</v>
      </c>
      <c r="G2947">
        <f t="shared" ref="G2947:G3010" si="46">(E2947*D2947)-F2947</f>
        <v>10599.88</v>
      </c>
      <c r="H2947" t="str">
        <f>VLOOKUP(C2947,[1]products!$A:$B,2,FALSE)</f>
        <v>Trek Fuel EX 9.8 27.5 Plus - 2017</v>
      </c>
      <c r="I2947">
        <f>VLOOKUP(C2947,[1]products!$A:$D,4,FALSE)</f>
        <v>6</v>
      </c>
      <c r="J2947" t="str">
        <f>VLOOKUP(I2947,[2]categories!$A$1:$B$8,2,FALSE)</f>
        <v>Mountain Bikes</v>
      </c>
    </row>
    <row r="2948" customHeight="1" spans="1:10">
      <c r="A2948" s="1">
        <v>1024</v>
      </c>
      <c r="B2948" s="1">
        <v>1</v>
      </c>
      <c r="C2948" s="1">
        <v>104</v>
      </c>
      <c r="D2948" s="1">
        <v>1</v>
      </c>
      <c r="E2948" s="1">
        <v>481.99</v>
      </c>
      <c r="F2948" s="1">
        <v>0.2</v>
      </c>
      <c r="G2948">
        <f t="shared" si="46"/>
        <v>481.79</v>
      </c>
      <c r="H2948" t="str">
        <f>VLOOKUP(C2948,[1]products!$A:$B,2,FALSE)</f>
        <v>Sun Bicycles Streamway - 2017</v>
      </c>
      <c r="I2948">
        <f>VLOOKUP(C2948,[1]products!$A:$D,4,FALSE)</f>
        <v>2</v>
      </c>
      <c r="J2948" t="str">
        <f>VLOOKUP(I2948,[2]categories!$A$1:$B$8,2,FALSE)</f>
        <v>Comfort Bicycles</v>
      </c>
    </row>
    <row r="2949" customHeight="1" spans="1:10">
      <c r="A2949" s="1">
        <v>1024</v>
      </c>
      <c r="B2949" s="1">
        <v>2</v>
      </c>
      <c r="C2949" s="1">
        <v>28</v>
      </c>
      <c r="D2949" s="1">
        <v>2</v>
      </c>
      <c r="E2949" s="1">
        <v>2499.99</v>
      </c>
      <c r="F2949" s="1">
        <v>0.05</v>
      </c>
      <c r="G2949">
        <f t="shared" si="46"/>
        <v>4999.93</v>
      </c>
      <c r="H2949" t="str">
        <f>VLOOKUP(C2949,[1]products!$A:$B,2,FALSE)</f>
        <v>Surly Karate Monkey 27.5+ Frameset - 2017</v>
      </c>
      <c r="I2949">
        <f>VLOOKUP(C2949,[1]products!$A:$D,4,FALSE)</f>
        <v>6</v>
      </c>
      <c r="J2949" t="str">
        <f>VLOOKUP(I2949,[2]categories!$A$1:$B$8,2,FALSE)</f>
        <v>Mountain Bikes</v>
      </c>
    </row>
    <row r="2950" customHeight="1" spans="1:10">
      <c r="A2950" s="1">
        <v>1024</v>
      </c>
      <c r="B2950" s="1">
        <v>3</v>
      </c>
      <c r="C2950" s="1">
        <v>98</v>
      </c>
      <c r="D2950" s="1">
        <v>2</v>
      </c>
      <c r="E2950" s="1">
        <v>489.99</v>
      </c>
      <c r="F2950" s="1">
        <v>0.2</v>
      </c>
      <c r="G2950">
        <f t="shared" si="46"/>
        <v>979.78</v>
      </c>
      <c r="H2950" t="str">
        <f>VLOOKUP(C2950,[1]products!$A:$B,2,FALSE)</f>
        <v>Electra Straight 8 3i (20-inch) - Boy's - 2017</v>
      </c>
      <c r="I2950">
        <f>VLOOKUP(C2950,[1]products!$A:$D,4,FALSE)</f>
        <v>1</v>
      </c>
      <c r="J2950" t="str">
        <f>VLOOKUP(I2950,[2]categories!$A$1:$B$8,2,FALSE)</f>
        <v>Children Bicycles</v>
      </c>
    </row>
    <row r="2951" customHeight="1" spans="1:10">
      <c r="A2951" s="1">
        <v>1024</v>
      </c>
      <c r="B2951" s="1">
        <v>4</v>
      </c>
      <c r="C2951" s="1">
        <v>96</v>
      </c>
      <c r="D2951" s="1">
        <v>2</v>
      </c>
      <c r="E2951" s="1">
        <v>349.99</v>
      </c>
      <c r="F2951" s="1">
        <v>0.1</v>
      </c>
      <c r="G2951">
        <f t="shared" si="46"/>
        <v>699.88</v>
      </c>
      <c r="H2951" t="str">
        <f>VLOOKUP(C2951,[1]products!$A:$B,2,FALSE)</f>
        <v>Electra Moto 3i (20-inch) - Boy's - 2017</v>
      </c>
      <c r="I2951">
        <f>VLOOKUP(C2951,[1]products!$A:$D,4,FALSE)</f>
        <v>1</v>
      </c>
      <c r="J2951" t="str">
        <f>VLOOKUP(I2951,[2]categories!$A$1:$B$8,2,FALSE)</f>
        <v>Children Bicycles</v>
      </c>
    </row>
    <row r="2952" customHeight="1" spans="1:10">
      <c r="A2952" s="1">
        <v>1024</v>
      </c>
      <c r="B2952" s="1">
        <v>5</v>
      </c>
      <c r="C2952" s="1">
        <v>91</v>
      </c>
      <c r="D2952" s="1">
        <v>1</v>
      </c>
      <c r="E2952" s="1">
        <v>349.99</v>
      </c>
      <c r="F2952" s="1">
        <v>0.2</v>
      </c>
      <c r="G2952">
        <f t="shared" si="46"/>
        <v>349.79</v>
      </c>
      <c r="H2952" t="str">
        <f>VLOOKUP(C2952,[1]products!$A:$B,2,FALSE)</f>
        <v>Trek Precaliber 24 (21-Speed) - Girls - 2017</v>
      </c>
      <c r="I2952">
        <f>VLOOKUP(C2952,[1]products!$A:$D,4,FALSE)</f>
        <v>1</v>
      </c>
      <c r="J2952" t="str">
        <f>VLOOKUP(I2952,[2]categories!$A$1:$B$8,2,FALSE)</f>
        <v>Children Bicycles</v>
      </c>
    </row>
    <row r="2953" customHeight="1" spans="1:10">
      <c r="A2953" s="1">
        <v>1025</v>
      </c>
      <c r="B2953" s="1">
        <v>1</v>
      </c>
      <c r="C2953" s="1">
        <v>89</v>
      </c>
      <c r="D2953" s="1">
        <v>1</v>
      </c>
      <c r="E2953" s="1">
        <v>209.99</v>
      </c>
      <c r="F2953" s="1">
        <v>0.07</v>
      </c>
      <c r="G2953">
        <f t="shared" si="46"/>
        <v>209.92</v>
      </c>
      <c r="H2953" t="str">
        <f>VLOOKUP(C2953,[1]products!$A:$B,2,FALSE)</f>
        <v>Trek Precaliber 16 Boys - 2017</v>
      </c>
      <c r="I2953">
        <f>VLOOKUP(C2953,[1]products!$A:$D,4,FALSE)</f>
        <v>1</v>
      </c>
      <c r="J2953" t="str">
        <f>VLOOKUP(I2953,[2]categories!$A$1:$B$8,2,FALSE)</f>
        <v>Children Bicycles</v>
      </c>
    </row>
    <row r="2954" customHeight="1" spans="1:10">
      <c r="A2954" s="1">
        <v>1025</v>
      </c>
      <c r="B2954" s="1">
        <v>2</v>
      </c>
      <c r="C2954" s="1">
        <v>102</v>
      </c>
      <c r="D2954" s="1">
        <v>1</v>
      </c>
      <c r="E2954" s="1">
        <v>489.99</v>
      </c>
      <c r="F2954" s="1">
        <v>0.1</v>
      </c>
      <c r="G2954">
        <f t="shared" si="46"/>
        <v>489.89</v>
      </c>
      <c r="H2954" t="str">
        <f>VLOOKUP(C2954,[1]products!$A:$B,2,FALSE)</f>
        <v>Electra Townie Original 7D - 2017</v>
      </c>
      <c r="I2954">
        <f>VLOOKUP(C2954,[1]products!$A:$D,4,FALSE)</f>
        <v>2</v>
      </c>
      <c r="J2954" t="str">
        <f>VLOOKUP(I2954,[2]categories!$A$1:$B$8,2,FALSE)</f>
        <v>Comfort Bicycles</v>
      </c>
    </row>
    <row r="2955" customHeight="1" spans="1:10">
      <c r="A2955" s="1">
        <v>1025</v>
      </c>
      <c r="B2955" s="1">
        <v>3</v>
      </c>
      <c r="C2955" s="1">
        <v>39</v>
      </c>
      <c r="D2955" s="1">
        <v>1</v>
      </c>
      <c r="E2955" s="1">
        <v>1499.99</v>
      </c>
      <c r="F2955" s="1">
        <v>0.1</v>
      </c>
      <c r="G2955">
        <f t="shared" si="46"/>
        <v>1499.89</v>
      </c>
      <c r="H2955" t="str">
        <f>VLOOKUP(C2955,[1]products!$A:$B,2,FALSE)</f>
        <v>Trek Stache 5 - 2017</v>
      </c>
      <c r="I2955">
        <f>VLOOKUP(C2955,[1]products!$A:$D,4,FALSE)</f>
        <v>6</v>
      </c>
      <c r="J2955" t="str">
        <f>VLOOKUP(I2955,[2]categories!$A$1:$B$8,2,FALSE)</f>
        <v>Mountain Bikes</v>
      </c>
    </row>
    <row r="2956" customHeight="1" spans="1:10">
      <c r="A2956" s="1">
        <v>1025</v>
      </c>
      <c r="B2956" s="1">
        <v>4</v>
      </c>
      <c r="C2956" s="1">
        <v>15</v>
      </c>
      <c r="D2956" s="1">
        <v>1</v>
      </c>
      <c r="E2956" s="1">
        <v>529.99</v>
      </c>
      <c r="F2956" s="1">
        <v>0.05</v>
      </c>
      <c r="G2956">
        <f t="shared" si="46"/>
        <v>529.94</v>
      </c>
      <c r="H2956" t="str">
        <f>VLOOKUP(C2956,[1]products!$A:$B,2,FALSE)</f>
        <v>Electra Moto 1 - 2016</v>
      </c>
      <c r="I2956">
        <f>VLOOKUP(C2956,[1]products!$A:$D,4,FALSE)</f>
        <v>3</v>
      </c>
      <c r="J2956" t="str">
        <f>VLOOKUP(I2956,[2]categories!$A$1:$B$8,2,FALSE)</f>
        <v>Cruisers Bicycles</v>
      </c>
    </row>
    <row r="2957" customHeight="1" spans="1:10">
      <c r="A2957" s="1">
        <v>1025</v>
      </c>
      <c r="B2957" s="1">
        <v>5</v>
      </c>
      <c r="C2957" s="1">
        <v>66</v>
      </c>
      <c r="D2957" s="1">
        <v>2</v>
      </c>
      <c r="E2957" s="1">
        <v>250.99</v>
      </c>
      <c r="F2957" s="1">
        <v>0.05</v>
      </c>
      <c r="G2957">
        <f t="shared" si="46"/>
        <v>501.93</v>
      </c>
      <c r="H2957" t="str">
        <f>VLOOKUP(C2957,[1]products!$A:$B,2,FALSE)</f>
        <v>Sun Bicycles Revolutions 24 - 2017</v>
      </c>
      <c r="I2957">
        <f>VLOOKUP(C2957,[1]products!$A:$D,4,FALSE)</f>
        <v>3</v>
      </c>
      <c r="J2957" t="str">
        <f>VLOOKUP(I2957,[2]categories!$A$1:$B$8,2,FALSE)</f>
        <v>Cruisers Bicycles</v>
      </c>
    </row>
    <row r="2958" customHeight="1" spans="1:10">
      <c r="A2958" s="1">
        <v>1026</v>
      </c>
      <c r="B2958" s="1">
        <v>1</v>
      </c>
      <c r="C2958" s="1">
        <v>7</v>
      </c>
      <c r="D2958" s="1">
        <v>2</v>
      </c>
      <c r="E2958" s="1">
        <v>3999.99</v>
      </c>
      <c r="F2958" s="1">
        <v>0.07</v>
      </c>
      <c r="G2958">
        <f t="shared" si="46"/>
        <v>7999.91</v>
      </c>
      <c r="H2958" t="str">
        <f>VLOOKUP(C2958,[1]products!$A:$B,2,FALSE)</f>
        <v>Trek Slash 8 27.5 - 2016</v>
      </c>
      <c r="I2958">
        <f>VLOOKUP(C2958,[1]products!$A:$D,4,FALSE)</f>
        <v>6</v>
      </c>
      <c r="J2958" t="str">
        <f>VLOOKUP(I2958,[2]categories!$A$1:$B$8,2,FALSE)</f>
        <v>Mountain Bikes</v>
      </c>
    </row>
    <row r="2959" customHeight="1" spans="1:10">
      <c r="A2959" s="1">
        <v>1027</v>
      </c>
      <c r="B2959" s="1">
        <v>1</v>
      </c>
      <c r="C2959" s="1">
        <v>95</v>
      </c>
      <c r="D2959" s="1">
        <v>2</v>
      </c>
      <c r="E2959" s="1">
        <v>299.99</v>
      </c>
      <c r="F2959" s="1">
        <v>0.1</v>
      </c>
      <c r="G2959">
        <f t="shared" si="46"/>
        <v>599.88</v>
      </c>
      <c r="H2959" t="str">
        <f>VLOOKUP(C2959,[1]products!$A:$B,2,FALSE)</f>
        <v>Electra Girl's Hawaii 1 16" - 2017</v>
      </c>
      <c r="I2959">
        <f>VLOOKUP(C2959,[1]products!$A:$D,4,FALSE)</f>
        <v>1</v>
      </c>
      <c r="J2959" t="str">
        <f>VLOOKUP(I2959,[2]categories!$A$1:$B$8,2,FALSE)</f>
        <v>Children Bicycles</v>
      </c>
    </row>
    <row r="2960" customHeight="1" spans="1:10">
      <c r="A2960" s="1">
        <v>1027</v>
      </c>
      <c r="B2960" s="1">
        <v>2</v>
      </c>
      <c r="C2960" s="1">
        <v>14</v>
      </c>
      <c r="D2960" s="1">
        <v>2</v>
      </c>
      <c r="E2960" s="1">
        <v>269.99</v>
      </c>
      <c r="F2960" s="1">
        <v>0.05</v>
      </c>
      <c r="G2960">
        <f t="shared" si="46"/>
        <v>539.93</v>
      </c>
      <c r="H2960" t="str">
        <f>VLOOKUP(C2960,[1]products!$A:$B,2,FALSE)</f>
        <v>Electra Girl's Hawaii 1 (16-inch) - 2015/2016</v>
      </c>
      <c r="I2960">
        <f>VLOOKUP(C2960,[1]products!$A:$D,4,FALSE)</f>
        <v>3</v>
      </c>
      <c r="J2960" t="str">
        <f>VLOOKUP(I2960,[2]categories!$A$1:$B$8,2,FALSE)</f>
        <v>Cruisers Bicycles</v>
      </c>
    </row>
    <row r="2961" customHeight="1" spans="1:10">
      <c r="A2961" s="1">
        <v>1028</v>
      </c>
      <c r="B2961" s="1">
        <v>1</v>
      </c>
      <c r="C2961" s="1">
        <v>111</v>
      </c>
      <c r="D2961" s="1">
        <v>2</v>
      </c>
      <c r="E2961" s="1">
        <v>470.99</v>
      </c>
      <c r="F2961" s="1">
        <v>0.1</v>
      </c>
      <c r="G2961">
        <f t="shared" si="46"/>
        <v>941.88</v>
      </c>
      <c r="H2961" t="str">
        <f>VLOOKUP(C2961,[1]products!$A:$B,2,FALSE)</f>
        <v>Sun Bicycles Drifter 7 - Women's - 2017</v>
      </c>
      <c r="I2961">
        <f>VLOOKUP(C2961,[1]products!$A:$D,4,FALSE)</f>
        <v>2</v>
      </c>
      <c r="J2961" t="str">
        <f>VLOOKUP(I2961,[2]categories!$A$1:$B$8,2,FALSE)</f>
        <v>Comfort Bicycles</v>
      </c>
    </row>
    <row r="2962" customHeight="1" spans="1:10">
      <c r="A2962" s="1">
        <v>1028</v>
      </c>
      <c r="B2962" s="1">
        <v>2</v>
      </c>
      <c r="C2962" s="1">
        <v>10</v>
      </c>
      <c r="D2962" s="1">
        <v>1</v>
      </c>
      <c r="E2962" s="1">
        <v>1549</v>
      </c>
      <c r="F2962" s="1">
        <v>0.2</v>
      </c>
      <c r="G2962">
        <f t="shared" si="46"/>
        <v>1548.8</v>
      </c>
      <c r="H2962" t="str">
        <f>VLOOKUP(C2962,[1]products!$A:$B,2,FALSE)</f>
        <v>Surly Straggler - 2016</v>
      </c>
      <c r="I2962">
        <f>VLOOKUP(C2962,[1]products!$A:$D,4,FALSE)</f>
        <v>4</v>
      </c>
      <c r="J2962" t="str">
        <f>VLOOKUP(I2962,[2]categories!$A$1:$B$8,2,FALSE)</f>
        <v>Cyclocross Bicycles</v>
      </c>
    </row>
    <row r="2963" customHeight="1" spans="1:10">
      <c r="A2963" s="1">
        <v>1028</v>
      </c>
      <c r="B2963" s="1">
        <v>3</v>
      </c>
      <c r="C2963" s="1">
        <v>41</v>
      </c>
      <c r="D2963" s="1">
        <v>1</v>
      </c>
      <c r="E2963" s="1">
        <v>1469.99</v>
      </c>
      <c r="F2963" s="1">
        <v>0.2</v>
      </c>
      <c r="G2963">
        <f t="shared" si="46"/>
        <v>1469.79</v>
      </c>
      <c r="H2963" t="str">
        <f>VLOOKUP(C2963,[1]products!$A:$B,2,FALSE)</f>
        <v>Haro Shift R3 - 2017</v>
      </c>
      <c r="I2963">
        <f>VLOOKUP(C2963,[1]products!$A:$D,4,FALSE)</f>
        <v>6</v>
      </c>
      <c r="J2963" t="str">
        <f>VLOOKUP(I2963,[2]categories!$A$1:$B$8,2,FALSE)</f>
        <v>Mountain Bikes</v>
      </c>
    </row>
    <row r="2964" customHeight="1" spans="1:10">
      <c r="A2964" s="1">
        <v>1028</v>
      </c>
      <c r="B2964" s="1">
        <v>4</v>
      </c>
      <c r="C2964" s="1">
        <v>35</v>
      </c>
      <c r="D2964" s="1">
        <v>2</v>
      </c>
      <c r="E2964" s="1">
        <v>832.99</v>
      </c>
      <c r="F2964" s="1">
        <v>0.1</v>
      </c>
      <c r="G2964">
        <f t="shared" si="46"/>
        <v>1665.88</v>
      </c>
      <c r="H2964" t="str">
        <f>VLOOKUP(C2964,[1]products!$A:$B,2,FALSE)</f>
        <v>Sun Bicycles Spider 3i - 2017</v>
      </c>
      <c r="I2964">
        <f>VLOOKUP(C2964,[1]products!$A:$D,4,FALSE)</f>
        <v>6</v>
      </c>
      <c r="J2964" t="str">
        <f>VLOOKUP(I2964,[2]categories!$A$1:$B$8,2,FALSE)</f>
        <v>Mountain Bikes</v>
      </c>
    </row>
    <row r="2965" customHeight="1" spans="1:10">
      <c r="A2965" s="1">
        <v>1028</v>
      </c>
      <c r="B2965" s="1">
        <v>5</v>
      </c>
      <c r="C2965" s="1">
        <v>108</v>
      </c>
      <c r="D2965" s="1">
        <v>1</v>
      </c>
      <c r="E2965" s="1">
        <v>449.99</v>
      </c>
      <c r="F2965" s="1">
        <v>0.2</v>
      </c>
      <c r="G2965">
        <f t="shared" si="46"/>
        <v>449.79</v>
      </c>
      <c r="H2965" t="str">
        <f>VLOOKUP(C2965,[1]products!$A:$B,2,FALSE)</f>
        <v>Sun Bicycles Cruz 3 - Women's - 2017</v>
      </c>
      <c r="I2965">
        <f>VLOOKUP(C2965,[1]products!$A:$D,4,FALSE)</f>
        <v>2</v>
      </c>
      <c r="J2965" t="str">
        <f>VLOOKUP(I2965,[2]categories!$A$1:$B$8,2,FALSE)</f>
        <v>Comfort Bicycles</v>
      </c>
    </row>
    <row r="2966" customHeight="1" spans="1:10">
      <c r="A2966" s="1">
        <v>1029</v>
      </c>
      <c r="B2966" s="1">
        <v>1</v>
      </c>
      <c r="C2966" s="1">
        <v>20</v>
      </c>
      <c r="D2966" s="1">
        <v>1</v>
      </c>
      <c r="E2966" s="1">
        <v>599.99</v>
      </c>
      <c r="F2966" s="1">
        <v>0.2</v>
      </c>
      <c r="G2966">
        <f t="shared" si="46"/>
        <v>599.79</v>
      </c>
      <c r="H2966" t="str">
        <f>VLOOKUP(C2966,[1]products!$A:$B,2,FALSE)</f>
        <v>Electra Townie Original 7D EQ - Women's - 2016</v>
      </c>
      <c r="I2966">
        <f>VLOOKUP(C2966,[1]products!$A:$D,4,FALSE)</f>
        <v>3</v>
      </c>
      <c r="J2966" t="str">
        <f>VLOOKUP(I2966,[2]categories!$A$1:$B$8,2,FALSE)</f>
        <v>Cruisers Bicycles</v>
      </c>
    </row>
    <row r="2967" customHeight="1" spans="1:10">
      <c r="A2967" s="1">
        <v>1029</v>
      </c>
      <c r="B2967" s="1">
        <v>2</v>
      </c>
      <c r="C2967" s="1">
        <v>55</v>
      </c>
      <c r="D2967" s="1">
        <v>1</v>
      </c>
      <c r="E2967" s="1">
        <v>2699.99</v>
      </c>
      <c r="F2967" s="1">
        <v>0.1</v>
      </c>
      <c r="G2967">
        <f t="shared" si="46"/>
        <v>2699.89</v>
      </c>
      <c r="H2967" t="str">
        <f>VLOOKUP(C2967,[1]products!$A:$B,2,FALSE)</f>
        <v>Trek Domane S 6 - 2017</v>
      </c>
      <c r="I2967">
        <f>VLOOKUP(C2967,[1]products!$A:$D,4,FALSE)</f>
        <v>7</v>
      </c>
      <c r="J2967" t="str">
        <f>VLOOKUP(I2967,[2]categories!$A$1:$B$8,2,FALSE)</f>
        <v>Road Bikes</v>
      </c>
    </row>
    <row r="2968" customHeight="1" spans="1:10">
      <c r="A2968" s="1">
        <v>1029</v>
      </c>
      <c r="B2968" s="1">
        <v>3</v>
      </c>
      <c r="C2968" s="1">
        <v>40</v>
      </c>
      <c r="D2968" s="1">
        <v>1</v>
      </c>
      <c r="E2968" s="1">
        <v>4999.99</v>
      </c>
      <c r="F2968" s="1">
        <v>0.2</v>
      </c>
      <c r="G2968">
        <f t="shared" si="46"/>
        <v>4999.79</v>
      </c>
      <c r="H2968" t="str">
        <f>VLOOKUP(C2968,[1]products!$A:$B,2,FALSE)</f>
        <v>Trek Fuel EX 9.8 29 - 2017</v>
      </c>
      <c r="I2968">
        <f>VLOOKUP(C2968,[1]products!$A:$D,4,FALSE)</f>
        <v>6</v>
      </c>
      <c r="J2968" t="str">
        <f>VLOOKUP(I2968,[2]categories!$A$1:$B$8,2,FALSE)</f>
        <v>Mountain Bikes</v>
      </c>
    </row>
    <row r="2969" customHeight="1" spans="1:10">
      <c r="A2969" s="1">
        <v>1029</v>
      </c>
      <c r="B2969" s="1">
        <v>4</v>
      </c>
      <c r="C2969" s="1">
        <v>68</v>
      </c>
      <c r="D2969" s="1">
        <v>2</v>
      </c>
      <c r="E2969" s="1">
        <v>449.99</v>
      </c>
      <c r="F2969" s="1">
        <v>0.1</v>
      </c>
      <c r="G2969">
        <f t="shared" si="46"/>
        <v>899.88</v>
      </c>
      <c r="H2969" t="str">
        <f>VLOOKUP(C2969,[1]products!$A:$B,2,FALSE)</f>
        <v>Sun Bicycles Cruz 3 - 2017</v>
      </c>
      <c r="I2969">
        <f>VLOOKUP(C2969,[1]products!$A:$D,4,FALSE)</f>
        <v>3</v>
      </c>
      <c r="J2969" t="str">
        <f>VLOOKUP(I2969,[2]categories!$A$1:$B$8,2,FALSE)</f>
        <v>Cruisers Bicycles</v>
      </c>
    </row>
    <row r="2970" customHeight="1" spans="1:10">
      <c r="A2970" s="1">
        <v>1030</v>
      </c>
      <c r="B2970" s="1">
        <v>1</v>
      </c>
      <c r="C2970" s="1">
        <v>27</v>
      </c>
      <c r="D2970" s="1">
        <v>1</v>
      </c>
      <c r="E2970" s="1">
        <v>999.99</v>
      </c>
      <c r="F2970" s="1">
        <v>0.05</v>
      </c>
      <c r="G2970">
        <f t="shared" si="46"/>
        <v>999.94</v>
      </c>
      <c r="H2970" t="str">
        <f>VLOOKUP(C2970,[1]products!$A:$B,2,FALSE)</f>
        <v>Surly Big Dummy Frameset - 2017</v>
      </c>
      <c r="I2970">
        <f>VLOOKUP(C2970,[1]products!$A:$D,4,FALSE)</f>
        <v>6</v>
      </c>
      <c r="J2970" t="str">
        <f>VLOOKUP(I2970,[2]categories!$A$1:$B$8,2,FALSE)</f>
        <v>Mountain Bikes</v>
      </c>
    </row>
    <row r="2971" customHeight="1" spans="1:10">
      <c r="A2971" s="1">
        <v>1030</v>
      </c>
      <c r="B2971" s="1">
        <v>2</v>
      </c>
      <c r="C2971" s="1">
        <v>10</v>
      </c>
      <c r="D2971" s="1">
        <v>2</v>
      </c>
      <c r="E2971" s="1">
        <v>1549</v>
      </c>
      <c r="F2971" s="1">
        <v>0.1</v>
      </c>
      <c r="G2971">
        <f t="shared" si="46"/>
        <v>3097.9</v>
      </c>
      <c r="H2971" t="str">
        <f>VLOOKUP(C2971,[1]products!$A:$B,2,FALSE)</f>
        <v>Surly Straggler - 2016</v>
      </c>
      <c r="I2971">
        <f>VLOOKUP(C2971,[1]products!$A:$D,4,FALSE)</f>
        <v>4</v>
      </c>
      <c r="J2971" t="str">
        <f>VLOOKUP(I2971,[2]categories!$A$1:$B$8,2,FALSE)</f>
        <v>Cyclocross Bicycles</v>
      </c>
    </row>
    <row r="2972" customHeight="1" spans="1:10">
      <c r="A2972" s="1">
        <v>1030</v>
      </c>
      <c r="B2972" s="1">
        <v>3</v>
      </c>
      <c r="C2972" s="1">
        <v>72</v>
      </c>
      <c r="D2972" s="1">
        <v>1</v>
      </c>
      <c r="E2972" s="1">
        <v>619.99</v>
      </c>
      <c r="F2972" s="1">
        <v>0.1</v>
      </c>
      <c r="G2972">
        <f t="shared" si="46"/>
        <v>619.89</v>
      </c>
      <c r="H2972" t="str">
        <f>VLOOKUP(C2972,[1]products!$A:$B,2,FALSE)</f>
        <v>Sun Bicycles Biscayne Tandem 7 - 2017</v>
      </c>
      <c r="I2972">
        <f>VLOOKUP(C2972,[1]products!$A:$D,4,FALSE)</f>
        <v>3</v>
      </c>
      <c r="J2972" t="str">
        <f>VLOOKUP(I2972,[2]categories!$A$1:$B$8,2,FALSE)</f>
        <v>Cruisers Bicycles</v>
      </c>
    </row>
    <row r="2973" customHeight="1" spans="1:10">
      <c r="A2973" s="1">
        <v>1031</v>
      </c>
      <c r="B2973" s="1">
        <v>1</v>
      </c>
      <c r="C2973" s="1">
        <v>27</v>
      </c>
      <c r="D2973" s="1">
        <v>2</v>
      </c>
      <c r="E2973" s="1">
        <v>999.99</v>
      </c>
      <c r="F2973" s="1">
        <v>0.2</v>
      </c>
      <c r="G2973">
        <f t="shared" si="46"/>
        <v>1999.78</v>
      </c>
      <c r="H2973" t="str">
        <f>VLOOKUP(C2973,[1]products!$A:$B,2,FALSE)</f>
        <v>Surly Big Dummy Frameset - 2017</v>
      </c>
      <c r="I2973">
        <f>VLOOKUP(C2973,[1]products!$A:$D,4,FALSE)</f>
        <v>6</v>
      </c>
      <c r="J2973" t="str">
        <f>VLOOKUP(I2973,[2]categories!$A$1:$B$8,2,FALSE)</f>
        <v>Mountain Bikes</v>
      </c>
    </row>
    <row r="2974" customHeight="1" spans="1:10">
      <c r="A2974" s="1">
        <v>1031</v>
      </c>
      <c r="B2974" s="1">
        <v>2</v>
      </c>
      <c r="C2974" s="1">
        <v>108</v>
      </c>
      <c r="D2974" s="1">
        <v>2</v>
      </c>
      <c r="E2974" s="1">
        <v>449.99</v>
      </c>
      <c r="F2974" s="1">
        <v>0.2</v>
      </c>
      <c r="G2974">
        <f t="shared" si="46"/>
        <v>899.78</v>
      </c>
      <c r="H2974" t="str">
        <f>VLOOKUP(C2974,[1]products!$A:$B,2,FALSE)</f>
        <v>Sun Bicycles Cruz 3 - Women's - 2017</v>
      </c>
      <c r="I2974">
        <f>VLOOKUP(C2974,[1]products!$A:$D,4,FALSE)</f>
        <v>2</v>
      </c>
      <c r="J2974" t="str">
        <f>VLOOKUP(I2974,[2]categories!$A$1:$B$8,2,FALSE)</f>
        <v>Comfort Bicycles</v>
      </c>
    </row>
    <row r="2975" customHeight="1" spans="1:10">
      <c r="A2975" s="1">
        <v>1032</v>
      </c>
      <c r="B2975" s="1">
        <v>1</v>
      </c>
      <c r="C2975" s="1">
        <v>60</v>
      </c>
      <c r="D2975" s="1">
        <v>2</v>
      </c>
      <c r="E2975" s="1">
        <v>1559.99</v>
      </c>
      <c r="F2975" s="1">
        <v>0.1</v>
      </c>
      <c r="G2975">
        <f t="shared" si="46"/>
        <v>3119.88</v>
      </c>
      <c r="H2975" t="str">
        <f>VLOOKUP(C2975,[1]products!$A:$B,2,FALSE)</f>
        <v>Sun Bicycles ElectroLite - 2017</v>
      </c>
      <c r="I2975">
        <f>VLOOKUP(C2975,[1]products!$A:$D,4,FALSE)</f>
        <v>5</v>
      </c>
      <c r="J2975" t="str">
        <f>VLOOKUP(I2975,[2]categories!$A$1:$B$8,2,FALSE)</f>
        <v>Electric Bikes</v>
      </c>
    </row>
    <row r="2976" customHeight="1" spans="1:10">
      <c r="A2976" s="1">
        <v>1032</v>
      </c>
      <c r="B2976" s="1">
        <v>2</v>
      </c>
      <c r="C2976" s="1">
        <v>17</v>
      </c>
      <c r="D2976" s="1">
        <v>1</v>
      </c>
      <c r="E2976" s="1">
        <v>429</v>
      </c>
      <c r="F2976" s="1">
        <v>0.1</v>
      </c>
      <c r="G2976">
        <f t="shared" si="46"/>
        <v>428.9</v>
      </c>
      <c r="H2976" t="str">
        <f>VLOOKUP(C2976,[1]products!$A:$B,2,FALSE)</f>
        <v>Pure Cycles Vine 8-Speed - 2016</v>
      </c>
      <c r="I2976">
        <f>VLOOKUP(C2976,[1]products!$A:$D,4,FALSE)</f>
        <v>3</v>
      </c>
      <c r="J2976" t="str">
        <f>VLOOKUP(I2976,[2]categories!$A$1:$B$8,2,FALSE)</f>
        <v>Cruisers Bicycles</v>
      </c>
    </row>
    <row r="2977" customHeight="1" spans="1:10">
      <c r="A2977" s="1">
        <v>1033</v>
      </c>
      <c r="B2977" s="1">
        <v>1</v>
      </c>
      <c r="C2977" s="1">
        <v>26</v>
      </c>
      <c r="D2977" s="1">
        <v>1</v>
      </c>
      <c r="E2977" s="1">
        <v>599.99</v>
      </c>
      <c r="F2977" s="1">
        <v>0.07</v>
      </c>
      <c r="G2977">
        <f t="shared" si="46"/>
        <v>599.92</v>
      </c>
      <c r="H2977" t="str">
        <f>VLOOKUP(C2977,[1]products!$A:$B,2,FALSE)</f>
        <v>Electra Townie Original 7D EQ - 2016</v>
      </c>
      <c r="I2977">
        <f>VLOOKUP(C2977,[1]products!$A:$D,4,FALSE)</f>
        <v>2</v>
      </c>
      <c r="J2977" t="str">
        <f>VLOOKUP(I2977,[2]categories!$A$1:$B$8,2,FALSE)</f>
        <v>Comfort Bicycles</v>
      </c>
    </row>
    <row r="2978" customHeight="1" spans="1:10">
      <c r="A2978" s="1">
        <v>1033</v>
      </c>
      <c r="B2978" s="1">
        <v>2</v>
      </c>
      <c r="C2978" s="1">
        <v>109</v>
      </c>
      <c r="D2978" s="1">
        <v>2</v>
      </c>
      <c r="E2978" s="1">
        <v>416.99</v>
      </c>
      <c r="F2978" s="1">
        <v>0.1</v>
      </c>
      <c r="G2978">
        <f t="shared" si="46"/>
        <v>833.88</v>
      </c>
      <c r="H2978" t="str">
        <f>VLOOKUP(C2978,[1]products!$A:$B,2,FALSE)</f>
        <v>Sun Bicycles Cruz 7 - Women's - 2017</v>
      </c>
      <c r="I2978">
        <f>VLOOKUP(C2978,[1]products!$A:$D,4,FALSE)</f>
        <v>2</v>
      </c>
      <c r="J2978" t="str">
        <f>VLOOKUP(I2978,[2]categories!$A$1:$B$8,2,FALSE)</f>
        <v>Comfort Bicycles</v>
      </c>
    </row>
    <row r="2979" customHeight="1" spans="1:10">
      <c r="A2979" s="1">
        <v>1033</v>
      </c>
      <c r="B2979" s="1">
        <v>3</v>
      </c>
      <c r="C2979" s="1">
        <v>27</v>
      </c>
      <c r="D2979" s="1">
        <v>2</v>
      </c>
      <c r="E2979" s="1">
        <v>999.99</v>
      </c>
      <c r="F2979" s="1">
        <v>0.07</v>
      </c>
      <c r="G2979">
        <f t="shared" si="46"/>
        <v>1999.91</v>
      </c>
      <c r="H2979" t="str">
        <f>VLOOKUP(C2979,[1]products!$A:$B,2,FALSE)</f>
        <v>Surly Big Dummy Frameset - 2017</v>
      </c>
      <c r="I2979">
        <f>VLOOKUP(C2979,[1]products!$A:$D,4,FALSE)</f>
        <v>6</v>
      </c>
      <c r="J2979" t="str">
        <f>VLOOKUP(I2979,[2]categories!$A$1:$B$8,2,FALSE)</f>
        <v>Mountain Bikes</v>
      </c>
    </row>
    <row r="2980" customHeight="1" spans="1:10">
      <c r="A2980" s="1">
        <v>1034</v>
      </c>
      <c r="B2980" s="1">
        <v>1</v>
      </c>
      <c r="C2980" s="1">
        <v>101</v>
      </c>
      <c r="D2980" s="1">
        <v>1</v>
      </c>
      <c r="E2980" s="1">
        <v>339.99</v>
      </c>
      <c r="F2980" s="1">
        <v>0.1</v>
      </c>
      <c r="G2980">
        <f t="shared" si="46"/>
        <v>339.89</v>
      </c>
      <c r="H2980" t="str">
        <f>VLOOKUP(C2980,[1]products!$A:$B,2,FALSE)</f>
        <v>Electra Townie 7D (20-inch) - Boys' - 2017</v>
      </c>
      <c r="I2980">
        <f>VLOOKUP(C2980,[1]products!$A:$D,4,FALSE)</f>
        <v>1</v>
      </c>
      <c r="J2980" t="str">
        <f>VLOOKUP(I2980,[2]categories!$A$1:$B$8,2,FALSE)</f>
        <v>Children Bicycles</v>
      </c>
    </row>
    <row r="2981" customHeight="1" spans="1:10">
      <c r="A2981" s="1">
        <v>1034</v>
      </c>
      <c r="B2981" s="1">
        <v>2</v>
      </c>
      <c r="C2981" s="1">
        <v>8</v>
      </c>
      <c r="D2981" s="1">
        <v>2</v>
      </c>
      <c r="E2981" s="1">
        <v>1799.99</v>
      </c>
      <c r="F2981" s="1">
        <v>0.1</v>
      </c>
      <c r="G2981">
        <f t="shared" si="46"/>
        <v>3599.88</v>
      </c>
      <c r="H2981" t="str">
        <f>VLOOKUP(C2981,[1]products!$A:$B,2,FALSE)</f>
        <v>Trek Remedy 29 Carbon Frameset - 2016</v>
      </c>
      <c r="I2981">
        <f>VLOOKUP(C2981,[1]products!$A:$D,4,FALSE)</f>
        <v>6</v>
      </c>
      <c r="J2981" t="str">
        <f>VLOOKUP(I2981,[2]categories!$A$1:$B$8,2,FALSE)</f>
        <v>Mountain Bikes</v>
      </c>
    </row>
    <row r="2982" customHeight="1" spans="1:10">
      <c r="A2982" s="1">
        <v>1034</v>
      </c>
      <c r="B2982" s="1">
        <v>3</v>
      </c>
      <c r="C2982" s="1">
        <v>11</v>
      </c>
      <c r="D2982" s="1">
        <v>2</v>
      </c>
      <c r="E2982" s="1">
        <v>1680.99</v>
      </c>
      <c r="F2982" s="1">
        <v>0.07</v>
      </c>
      <c r="G2982">
        <f t="shared" si="46"/>
        <v>3361.91</v>
      </c>
      <c r="H2982" t="str">
        <f>VLOOKUP(C2982,[1]products!$A:$B,2,FALSE)</f>
        <v>Surly Straggler 650b - 2016</v>
      </c>
      <c r="I2982">
        <f>VLOOKUP(C2982,[1]products!$A:$D,4,FALSE)</f>
        <v>4</v>
      </c>
      <c r="J2982" t="str">
        <f>VLOOKUP(I2982,[2]categories!$A$1:$B$8,2,FALSE)</f>
        <v>Cyclocross Bicycles</v>
      </c>
    </row>
    <row r="2983" customHeight="1" spans="1:10">
      <c r="A2983" s="1">
        <v>1034</v>
      </c>
      <c r="B2983" s="1">
        <v>4</v>
      </c>
      <c r="C2983" s="1">
        <v>21</v>
      </c>
      <c r="D2983" s="1">
        <v>1</v>
      </c>
      <c r="E2983" s="1">
        <v>269.99</v>
      </c>
      <c r="F2983" s="1">
        <v>0.05</v>
      </c>
      <c r="G2983">
        <f t="shared" si="46"/>
        <v>269.94</v>
      </c>
      <c r="H2983" t="str">
        <f>VLOOKUP(C2983,[1]products!$A:$B,2,FALSE)</f>
        <v>Electra Cruiser 1 (24-Inch) - 2016</v>
      </c>
      <c r="I2983">
        <f>VLOOKUP(C2983,[1]products!$A:$D,4,FALSE)</f>
        <v>1</v>
      </c>
      <c r="J2983" t="str">
        <f>VLOOKUP(I2983,[2]categories!$A$1:$B$8,2,FALSE)</f>
        <v>Children Bicycles</v>
      </c>
    </row>
    <row r="2984" customHeight="1" spans="1:10">
      <c r="A2984" s="1">
        <v>1035</v>
      </c>
      <c r="B2984" s="1">
        <v>1</v>
      </c>
      <c r="C2984" s="1">
        <v>96</v>
      </c>
      <c r="D2984" s="1">
        <v>1</v>
      </c>
      <c r="E2984" s="1">
        <v>349.99</v>
      </c>
      <c r="F2984" s="1">
        <v>0.2</v>
      </c>
      <c r="G2984">
        <f t="shared" si="46"/>
        <v>349.79</v>
      </c>
      <c r="H2984" t="str">
        <f>VLOOKUP(C2984,[1]products!$A:$B,2,FALSE)</f>
        <v>Electra Moto 3i (20-inch) - Boy's - 2017</v>
      </c>
      <c r="I2984">
        <f>VLOOKUP(C2984,[1]products!$A:$D,4,FALSE)</f>
        <v>1</v>
      </c>
      <c r="J2984" t="str">
        <f>VLOOKUP(I2984,[2]categories!$A$1:$B$8,2,FALSE)</f>
        <v>Children Bicycles</v>
      </c>
    </row>
    <row r="2985" customHeight="1" spans="1:10">
      <c r="A2985" s="1">
        <v>1036</v>
      </c>
      <c r="B2985" s="1">
        <v>1</v>
      </c>
      <c r="C2985" s="1">
        <v>55</v>
      </c>
      <c r="D2985" s="1">
        <v>2</v>
      </c>
      <c r="E2985" s="1">
        <v>2699.99</v>
      </c>
      <c r="F2985" s="1">
        <v>0.1</v>
      </c>
      <c r="G2985">
        <f t="shared" si="46"/>
        <v>5399.88</v>
      </c>
      <c r="H2985" t="str">
        <f>VLOOKUP(C2985,[1]products!$A:$B,2,FALSE)</f>
        <v>Trek Domane S 6 - 2017</v>
      </c>
      <c r="I2985">
        <f>VLOOKUP(C2985,[1]products!$A:$D,4,FALSE)</f>
        <v>7</v>
      </c>
      <c r="J2985" t="str">
        <f>VLOOKUP(I2985,[2]categories!$A$1:$B$8,2,FALSE)</f>
        <v>Road Bikes</v>
      </c>
    </row>
    <row r="2986" customHeight="1" spans="1:10">
      <c r="A2986" s="1">
        <v>1036</v>
      </c>
      <c r="B2986" s="1">
        <v>2</v>
      </c>
      <c r="C2986" s="1">
        <v>76</v>
      </c>
      <c r="D2986" s="1">
        <v>1</v>
      </c>
      <c r="E2986" s="1">
        <v>299.99</v>
      </c>
      <c r="F2986" s="1">
        <v>0.07</v>
      </c>
      <c r="G2986">
        <f t="shared" si="46"/>
        <v>299.92</v>
      </c>
      <c r="H2986" t="str">
        <f>VLOOKUP(C2986,[1]products!$A:$B,2,FALSE)</f>
        <v>Electra Girl's Hawaii 1 16" - 2017</v>
      </c>
      <c r="I2986">
        <f>VLOOKUP(C2986,[1]products!$A:$D,4,FALSE)</f>
        <v>3</v>
      </c>
      <c r="J2986" t="str">
        <f>VLOOKUP(I2986,[2]categories!$A$1:$B$8,2,FALSE)</f>
        <v>Cruisers Bicycles</v>
      </c>
    </row>
    <row r="2987" customHeight="1" spans="1:10">
      <c r="A2987" s="1">
        <v>1036</v>
      </c>
      <c r="B2987" s="1">
        <v>3</v>
      </c>
      <c r="C2987" s="1">
        <v>18</v>
      </c>
      <c r="D2987" s="1">
        <v>2</v>
      </c>
      <c r="E2987" s="1">
        <v>449</v>
      </c>
      <c r="F2987" s="1">
        <v>0.05</v>
      </c>
      <c r="G2987">
        <f t="shared" si="46"/>
        <v>897.95</v>
      </c>
      <c r="H2987" t="str">
        <f>VLOOKUP(C2987,[1]products!$A:$B,2,FALSE)</f>
        <v>Pure Cycles Western 3-Speed - Women's - 2015/2016</v>
      </c>
      <c r="I2987">
        <f>VLOOKUP(C2987,[1]products!$A:$D,4,FALSE)</f>
        <v>3</v>
      </c>
      <c r="J2987" t="str">
        <f>VLOOKUP(I2987,[2]categories!$A$1:$B$8,2,FALSE)</f>
        <v>Cruisers Bicycles</v>
      </c>
    </row>
    <row r="2988" customHeight="1" spans="1:10">
      <c r="A2988" s="1">
        <v>1036</v>
      </c>
      <c r="B2988" s="1">
        <v>4</v>
      </c>
      <c r="C2988" s="1">
        <v>65</v>
      </c>
      <c r="D2988" s="1">
        <v>2</v>
      </c>
      <c r="E2988" s="1">
        <v>346.99</v>
      </c>
      <c r="F2988" s="1">
        <v>0.2</v>
      </c>
      <c r="G2988">
        <f t="shared" si="46"/>
        <v>693.78</v>
      </c>
      <c r="H2988" t="str">
        <f>VLOOKUP(C2988,[1]products!$A:$B,2,FALSE)</f>
        <v>Sun Bicycles Lil Bolt Type-R - 2017</v>
      </c>
      <c r="I2988">
        <f>VLOOKUP(C2988,[1]products!$A:$D,4,FALSE)</f>
        <v>3</v>
      </c>
      <c r="J2988" t="str">
        <f>VLOOKUP(I2988,[2]categories!$A$1:$B$8,2,FALSE)</f>
        <v>Cruisers Bicycles</v>
      </c>
    </row>
    <row r="2989" customHeight="1" spans="1:10">
      <c r="A2989" s="1">
        <v>1036</v>
      </c>
      <c r="B2989" s="1">
        <v>5</v>
      </c>
      <c r="C2989" s="1">
        <v>12</v>
      </c>
      <c r="D2989" s="1">
        <v>1</v>
      </c>
      <c r="E2989" s="1">
        <v>549.99</v>
      </c>
      <c r="F2989" s="1">
        <v>0.2</v>
      </c>
      <c r="G2989">
        <f t="shared" si="46"/>
        <v>549.79</v>
      </c>
      <c r="H2989" t="str">
        <f>VLOOKUP(C2989,[1]products!$A:$B,2,FALSE)</f>
        <v>Electra Townie Original 21D - 2016</v>
      </c>
      <c r="I2989">
        <f>VLOOKUP(C2989,[1]products!$A:$D,4,FALSE)</f>
        <v>3</v>
      </c>
      <c r="J2989" t="str">
        <f>VLOOKUP(I2989,[2]categories!$A$1:$B$8,2,FALSE)</f>
        <v>Cruisers Bicycles</v>
      </c>
    </row>
    <row r="2990" customHeight="1" spans="1:10">
      <c r="A2990" s="1">
        <v>1037</v>
      </c>
      <c r="B2990" s="1">
        <v>1</v>
      </c>
      <c r="C2990" s="1">
        <v>74</v>
      </c>
      <c r="D2990" s="1">
        <v>2</v>
      </c>
      <c r="E2990" s="1">
        <v>439.99</v>
      </c>
      <c r="F2990" s="1">
        <v>0.07</v>
      </c>
      <c r="G2990">
        <f t="shared" si="46"/>
        <v>879.91</v>
      </c>
      <c r="H2990" t="str">
        <f>VLOOKUP(C2990,[1]products!$A:$B,2,FALSE)</f>
        <v>Electra Cruiser Lux 1 - 2017</v>
      </c>
      <c r="I2990">
        <f>VLOOKUP(C2990,[1]products!$A:$D,4,FALSE)</f>
        <v>3</v>
      </c>
      <c r="J2990" t="str">
        <f>VLOOKUP(I2990,[2]categories!$A$1:$B$8,2,FALSE)</f>
        <v>Cruisers Bicycles</v>
      </c>
    </row>
    <row r="2991" customHeight="1" spans="1:10">
      <c r="A2991" s="1">
        <v>1037</v>
      </c>
      <c r="B2991" s="1">
        <v>2</v>
      </c>
      <c r="C2991" s="1">
        <v>3</v>
      </c>
      <c r="D2991" s="1">
        <v>1</v>
      </c>
      <c r="E2991" s="1">
        <v>999.99</v>
      </c>
      <c r="F2991" s="1">
        <v>0.07</v>
      </c>
      <c r="G2991">
        <f t="shared" si="46"/>
        <v>999.92</v>
      </c>
      <c r="H2991" t="str">
        <f>VLOOKUP(C2991,[1]products!$A:$B,2,FALSE)</f>
        <v>Surly Wednesday Frameset - 2016</v>
      </c>
      <c r="I2991">
        <f>VLOOKUP(C2991,[1]products!$A:$D,4,FALSE)</f>
        <v>6</v>
      </c>
      <c r="J2991" t="str">
        <f>VLOOKUP(I2991,[2]categories!$A$1:$B$8,2,FALSE)</f>
        <v>Mountain Bikes</v>
      </c>
    </row>
    <row r="2992" customHeight="1" spans="1:10">
      <c r="A2992" s="1">
        <v>1037</v>
      </c>
      <c r="B2992" s="1">
        <v>3</v>
      </c>
      <c r="C2992" s="1">
        <v>65</v>
      </c>
      <c r="D2992" s="1">
        <v>2</v>
      </c>
      <c r="E2992" s="1">
        <v>346.99</v>
      </c>
      <c r="F2992" s="1">
        <v>0.2</v>
      </c>
      <c r="G2992">
        <f t="shared" si="46"/>
        <v>693.78</v>
      </c>
      <c r="H2992" t="str">
        <f>VLOOKUP(C2992,[1]products!$A:$B,2,FALSE)</f>
        <v>Sun Bicycles Lil Bolt Type-R - 2017</v>
      </c>
      <c r="I2992">
        <f>VLOOKUP(C2992,[1]products!$A:$D,4,FALSE)</f>
        <v>3</v>
      </c>
      <c r="J2992" t="str">
        <f>VLOOKUP(I2992,[2]categories!$A$1:$B$8,2,FALSE)</f>
        <v>Cruisers Bicycles</v>
      </c>
    </row>
    <row r="2993" customHeight="1" spans="1:10">
      <c r="A2993" s="1">
        <v>1037</v>
      </c>
      <c r="B2993" s="1">
        <v>4</v>
      </c>
      <c r="C2993" s="1">
        <v>92</v>
      </c>
      <c r="D2993" s="1">
        <v>1</v>
      </c>
      <c r="E2993" s="1">
        <v>209.99</v>
      </c>
      <c r="F2993" s="1">
        <v>0.07</v>
      </c>
      <c r="G2993">
        <f t="shared" si="46"/>
        <v>209.92</v>
      </c>
      <c r="H2993" t="str">
        <f>VLOOKUP(C2993,[1]products!$A:$B,2,FALSE)</f>
        <v>Haro Shredder 20 - 2017</v>
      </c>
      <c r="I2993">
        <f>VLOOKUP(C2993,[1]products!$A:$D,4,FALSE)</f>
        <v>1</v>
      </c>
      <c r="J2993" t="str">
        <f>VLOOKUP(I2993,[2]categories!$A$1:$B$8,2,FALSE)</f>
        <v>Children Bicycles</v>
      </c>
    </row>
    <row r="2994" customHeight="1" spans="1:10">
      <c r="A2994" s="1">
        <v>1037</v>
      </c>
      <c r="B2994" s="1">
        <v>5</v>
      </c>
      <c r="C2994" s="1">
        <v>84</v>
      </c>
      <c r="D2994" s="1">
        <v>2</v>
      </c>
      <c r="E2994" s="1">
        <v>109.99</v>
      </c>
      <c r="F2994" s="1">
        <v>0.05</v>
      </c>
      <c r="G2994">
        <f t="shared" si="46"/>
        <v>219.93</v>
      </c>
      <c r="H2994" t="str">
        <f>VLOOKUP(C2994,[1]products!$A:$B,2,FALSE)</f>
        <v>Sun Bicycles Lil Kitt'n - 2017</v>
      </c>
      <c r="I2994">
        <f>VLOOKUP(C2994,[1]products!$A:$D,4,FALSE)</f>
        <v>1</v>
      </c>
      <c r="J2994" t="str">
        <f>VLOOKUP(I2994,[2]categories!$A$1:$B$8,2,FALSE)</f>
        <v>Children Bicycles</v>
      </c>
    </row>
    <row r="2995" customHeight="1" spans="1:10">
      <c r="A2995" s="1">
        <v>1038</v>
      </c>
      <c r="B2995" s="1">
        <v>1</v>
      </c>
      <c r="C2995" s="1">
        <v>83</v>
      </c>
      <c r="D2995" s="1">
        <v>1</v>
      </c>
      <c r="E2995" s="1">
        <v>149.99</v>
      </c>
      <c r="F2995" s="1">
        <v>0.05</v>
      </c>
      <c r="G2995">
        <f t="shared" si="46"/>
        <v>149.94</v>
      </c>
      <c r="H2995" t="str">
        <f>VLOOKUP(C2995,[1]products!$A:$B,2,FALSE)</f>
        <v>Trek Boy's Kickster - 2015/2017</v>
      </c>
      <c r="I2995">
        <f>VLOOKUP(C2995,[1]products!$A:$D,4,FALSE)</f>
        <v>1</v>
      </c>
      <c r="J2995" t="str">
        <f>VLOOKUP(I2995,[2]categories!$A$1:$B$8,2,FALSE)</f>
        <v>Children Bicycles</v>
      </c>
    </row>
    <row r="2996" customHeight="1" spans="1:10">
      <c r="A2996" s="1">
        <v>1038</v>
      </c>
      <c r="B2996" s="1">
        <v>2</v>
      </c>
      <c r="C2996" s="1">
        <v>9</v>
      </c>
      <c r="D2996" s="1">
        <v>1</v>
      </c>
      <c r="E2996" s="1">
        <v>2999.99</v>
      </c>
      <c r="F2996" s="1">
        <v>0.07</v>
      </c>
      <c r="G2996">
        <f t="shared" si="46"/>
        <v>2999.92</v>
      </c>
      <c r="H2996" t="str">
        <f>VLOOKUP(C2996,[1]products!$A:$B,2,FALSE)</f>
        <v>Trek Conduit+ - 2016</v>
      </c>
      <c r="I2996">
        <f>VLOOKUP(C2996,[1]products!$A:$D,4,FALSE)</f>
        <v>5</v>
      </c>
      <c r="J2996" t="str">
        <f>VLOOKUP(I2996,[2]categories!$A$1:$B$8,2,FALSE)</f>
        <v>Electric Bikes</v>
      </c>
    </row>
    <row r="2997" customHeight="1" spans="1:10">
      <c r="A2997" s="1">
        <v>1039</v>
      </c>
      <c r="B2997" s="1">
        <v>1</v>
      </c>
      <c r="C2997" s="1">
        <v>18</v>
      </c>
      <c r="D2997" s="1">
        <v>2</v>
      </c>
      <c r="E2997" s="1">
        <v>449</v>
      </c>
      <c r="F2997" s="1">
        <v>0.2</v>
      </c>
      <c r="G2997">
        <f t="shared" si="46"/>
        <v>897.8</v>
      </c>
      <c r="H2997" t="str">
        <f>VLOOKUP(C2997,[1]products!$A:$B,2,FALSE)</f>
        <v>Pure Cycles Western 3-Speed - Women's - 2015/2016</v>
      </c>
      <c r="I2997">
        <f>VLOOKUP(C2997,[1]products!$A:$D,4,FALSE)</f>
        <v>3</v>
      </c>
      <c r="J2997" t="str">
        <f>VLOOKUP(I2997,[2]categories!$A$1:$B$8,2,FALSE)</f>
        <v>Cruisers Bicycles</v>
      </c>
    </row>
    <row r="2998" customHeight="1" spans="1:10">
      <c r="A2998" s="1">
        <v>1040</v>
      </c>
      <c r="B2998" s="1">
        <v>1</v>
      </c>
      <c r="C2998" s="1">
        <v>97</v>
      </c>
      <c r="D2998" s="1">
        <v>1</v>
      </c>
      <c r="E2998" s="1">
        <v>349.99</v>
      </c>
      <c r="F2998" s="1">
        <v>0.1</v>
      </c>
      <c r="G2998">
        <f t="shared" si="46"/>
        <v>349.89</v>
      </c>
      <c r="H2998" t="str">
        <f>VLOOKUP(C2998,[1]products!$A:$B,2,FALSE)</f>
        <v>Electra Savannah 3i (20-inch) - Girl's - 2017</v>
      </c>
      <c r="I2998">
        <f>VLOOKUP(C2998,[1]products!$A:$D,4,FALSE)</f>
        <v>1</v>
      </c>
      <c r="J2998" t="str">
        <f>VLOOKUP(I2998,[2]categories!$A$1:$B$8,2,FALSE)</f>
        <v>Children Bicycles</v>
      </c>
    </row>
    <row r="2999" customHeight="1" spans="1:10">
      <c r="A2999" s="1">
        <v>1040</v>
      </c>
      <c r="B2999" s="1">
        <v>2</v>
      </c>
      <c r="C2999" s="1">
        <v>28</v>
      </c>
      <c r="D2999" s="1">
        <v>2</v>
      </c>
      <c r="E2999" s="1">
        <v>2499.99</v>
      </c>
      <c r="F2999" s="1">
        <v>0.2</v>
      </c>
      <c r="G2999">
        <f t="shared" si="46"/>
        <v>4999.78</v>
      </c>
      <c r="H2999" t="str">
        <f>VLOOKUP(C2999,[1]products!$A:$B,2,FALSE)</f>
        <v>Surly Karate Monkey 27.5+ Frameset - 2017</v>
      </c>
      <c r="I2999">
        <f>VLOOKUP(C2999,[1]products!$A:$D,4,FALSE)</f>
        <v>6</v>
      </c>
      <c r="J2999" t="str">
        <f>VLOOKUP(I2999,[2]categories!$A$1:$B$8,2,FALSE)</f>
        <v>Mountain Bikes</v>
      </c>
    </row>
    <row r="3000" customHeight="1" spans="1:10">
      <c r="A3000" s="1">
        <v>1040</v>
      </c>
      <c r="B3000" s="1">
        <v>3</v>
      </c>
      <c r="C3000" s="1">
        <v>64</v>
      </c>
      <c r="D3000" s="1">
        <v>1</v>
      </c>
      <c r="E3000" s="1">
        <v>489.99</v>
      </c>
      <c r="F3000" s="1">
        <v>0.07</v>
      </c>
      <c r="G3000">
        <f t="shared" si="46"/>
        <v>489.92</v>
      </c>
      <c r="H3000" t="str">
        <f>VLOOKUP(C3000,[1]products!$A:$B,2,FALSE)</f>
        <v>Electra Townie Original 7D - 2017</v>
      </c>
      <c r="I3000">
        <f>VLOOKUP(C3000,[1]products!$A:$D,4,FALSE)</f>
        <v>3</v>
      </c>
      <c r="J3000" t="str">
        <f>VLOOKUP(I3000,[2]categories!$A$1:$B$8,2,FALSE)</f>
        <v>Cruisers Bicycles</v>
      </c>
    </row>
    <row r="3001" customHeight="1" spans="1:10">
      <c r="A3001" s="1">
        <v>1040</v>
      </c>
      <c r="B3001" s="1">
        <v>4</v>
      </c>
      <c r="C3001" s="1">
        <v>27</v>
      </c>
      <c r="D3001" s="1">
        <v>2</v>
      </c>
      <c r="E3001" s="1">
        <v>999.99</v>
      </c>
      <c r="F3001" s="1">
        <v>0.07</v>
      </c>
      <c r="G3001">
        <f t="shared" si="46"/>
        <v>1999.91</v>
      </c>
      <c r="H3001" t="str">
        <f>VLOOKUP(C3001,[1]products!$A:$B,2,FALSE)</f>
        <v>Surly Big Dummy Frameset - 2017</v>
      </c>
      <c r="I3001">
        <f>VLOOKUP(C3001,[1]products!$A:$D,4,FALSE)</f>
        <v>6</v>
      </c>
      <c r="J3001" t="str">
        <f>VLOOKUP(I3001,[2]categories!$A$1:$B$8,2,FALSE)</f>
        <v>Mountain Bikes</v>
      </c>
    </row>
    <row r="3002" customHeight="1" spans="1:10">
      <c r="A3002" s="1">
        <v>1040</v>
      </c>
      <c r="B3002" s="1">
        <v>5</v>
      </c>
      <c r="C3002" s="1">
        <v>8</v>
      </c>
      <c r="D3002" s="1">
        <v>2</v>
      </c>
      <c r="E3002" s="1">
        <v>1799.99</v>
      </c>
      <c r="F3002" s="1">
        <v>0.05</v>
      </c>
      <c r="G3002">
        <f t="shared" si="46"/>
        <v>3599.93</v>
      </c>
      <c r="H3002" t="str">
        <f>VLOOKUP(C3002,[1]products!$A:$B,2,FALSE)</f>
        <v>Trek Remedy 29 Carbon Frameset - 2016</v>
      </c>
      <c r="I3002">
        <f>VLOOKUP(C3002,[1]products!$A:$D,4,FALSE)</f>
        <v>6</v>
      </c>
      <c r="J3002" t="str">
        <f>VLOOKUP(I3002,[2]categories!$A$1:$B$8,2,FALSE)</f>
        <v>Mountain Bikes</v>
      </c>
    </row>
    <row r="3003" customHeight="1" spans="1:10">
      <c r="A3003" s="1">
        <v>1041</v>
      </c>
      <c r="B3003" s="1">
        <v>1</v>
      </c>
      <c r="C3003" s="1">
        <v>89</v>
      </c>
      <c r="D3003" s="1">
        <v>1</v>
      </c>
      <c r="E3003" s="1">
        <v>209.99</v>
      </c>
      <c r="F3003" s="1">
        <v>0.1</v>
      </c>
      <c r="G3003">
        <f t="shared" si="46"/>
        <v>209.89</v>
      </c>
      <c r="H3003" t="str">
        <f>VLOOKUP(C3003,[1]products!$A:$B,2,FALSE)</f>
        <v>Trek Precaliber 16 Boys - 2017</v>
      </c>
      <c r="I3003">
        <f>VLOOKUP(C3003,[1]products!$A:$D,4,FALSE)</f>
        <v>1</v>
      </c>
      <c r="J3003" t="str">
        <f>VLOOKUP(I3003,[2]categories!$A$1:$B$8,2,FALSE)</f>
        <v>Children Bicycles</v>
      </c>
    </row>
    <row r="3004" customHeight="1" spans="1:10">
      <c r="A3004" s="1">
        <v>1041</v>
      </c>
      <c r="B3004" s="1">
        <v>2</v>
      </c>
      <c r="C3004" s="1">
        <v>61</v>
      </c>
      <c r="D3004" s="1">
        <v>2</v>
      </c>
      <c r="E3004" s="1">
        <v>4999.99</v>
      </c>
      <c r="F3004" s="1">
        <v>0.07</v>
      </c>
      <c r="G3004">
        <f t="shared" si="46"/>
        <v>9999.91</v>
      </c>
      <c r="H3004" t="str">
        <f>VLOOKUP(C3004,[1]products!$A:$B,2,FALSE)</f>
        <v>Trek Powerfly 8 FS Plus - 2017</v>
      </c>
      <c r="I3004">
        <f>VLOOKUP(C3004,[1]products!$A:$D,4,FALSE)</f>
        <v>5</v>
      </c>
      <c r="J3004" t="str">
        <f>VLOOKUP(I3004,[2]categories!$A$1:$B$8,2,FALSE)</f>
        <v>Electric Bikes</v>
      </c>
    </row>
    <row r="3005" customHeight="1" spans="1:10">
      <c r="A3005" s="1">
        <v>1041</v>
      </c>
      <c r="B3005" s="1">
        <v>3</v>
      </c>
      <c r="C3005" s="1">
        <v>94</v>
      </c>
      <c r="D3005" s="1">
        <v>2</v>
      </c>
      <c r="E3005" s="1">
        <v>249.99</v>
      </c>
      <c r="F3005" s="1">
        <v>0.1</v>
      </c>
      <c r="G3005">
        <f t="shared" si="46"/>
        <v>499.88</v>
      </c>
      <c r="H3005" t="str">
        <f>VLOOKUP(C3005,[1]products!$A:$B,2,FALSE)</f>
        <v>Haro Shredder Pro 20 - 2017</v>
      </c>
      <c r="I3005">
        <f>VLOOKUP(C3005,[1]products!$A:$D,4,FALSE)</f>
        <v>1</v>
      </c>
      <c r="J3005" t="str">
        <f>VLOOKUP(I3005,[2]categories!$A$1:$B$8,2,FALSE)</f>
        <v>Children Bicycles</v>
      </c>
    </row>
    <row r="3006" customHeight="1" spans="1:10">
      <c r="A3006" s="1">
        <v>1042</v>
      </c>
      <c r="B3006" s="1">
        <v>1</v>
      </c>
      <c r="C3006" s="1">
        <v>23</v>
      </c>
      <c r="D3006" s="1">
        <v>1</v>
      </c>
      <c r="E3006" s="1">
        <v>299.99</v>
      </c>
      <c r="F3006" s="1">
        <v>0.1</v>
      </c>
      <c r="G3006">
        <f t="shared" si="46"/>
        <v>299.89</v>
      </c>
      <c r="H3006" t="str">
        <f>VLOOKUP(C3006,[1]products!$A:$B,2,FALSE)</f>
        <v>Electra Girl's Hawaii 1 (20-inch) - 2015/2016</v>
      </c>
      <c r="I3006">
        <f>VLOOKUP(C3006,[1]products!$A:$D,4,FALSE)</f>
        <v>1</v>
      </c>
      <c r="J3006" t="str">
        <f>VLOOKUP(I3006,[2]categories!$A$1:$B$8,2,FALSE)</f>
        <v>Children Bicycles</v>
      </c>
    </row>
    <row r="3007" customHeight="1" spans="1:10">
      <c r="A3007" s="1">
        <v>1043</v>
      </c>
      <c r="B3007" s="1">
        <v>1</v>
      </c>
      <c r="C3007" s="1">
        <v>55</v>
      </c>
      <c r="D3007" s="1">
        <v>2</v>
      </c>
      <c r="E3007" s="1">
        <v>2699.99</v>
      </c>
      <c r="F3007" s="1">
        <v>0.1</v>
      </c>
      <c r="G3007">
        <f t="shared" si="46"/>
        <v>5399.88</v>
      </c>
      <c r="H3007" t="str">
        <f>VLOOKUP(C3007,[1]products!$A:$B,2,FALSE)</f>
        <v>Trek Domane S 6 - 2017</v>
      </c>
      <c r="I3007">
        <f>VLOOKUP(C3007,[1]products!$A:$D,4,FALSE)</f>
        <v>7</v>
      </c>
      <c r="J3007" t="str">
        <f>VLOOKUP(I3007,[2]categories!$A$1:$B$8,2,FALSE)</f>
        <v>Road Bikes</v>
      </c>
    </row>
    <row r="3008" customHeight="1" spans="1:10">
      <c r="A3008" s="1">
        <v>1043</v>
      </c>
      <c r="B3008" s="1">
        <v>2</v>
      </c>
      <c r="C3008" s="1">
        <v>20</v>
      </c>
      <c r="D3008" s="1">
        <v>1</v>
      </c>
      <c r="E3008" s="1">
        <v>599.99</v>
      </c>
      <c r="F3008" s="1">
        <v>0.07</v>
      </c>
      <c r="G3008">
        <f t="shared" si="46"/>
        <v>599.92</v>
      </c>
      <c r="H3008" t="str">
        <f>VLOOKUP(C3008,[1]products!$A:$B,2,FALSE)</f>
        <v>Electra Townie Original 7D EQ - Women's - 2016</v>
      </c>
      <c r="I3008">
        <f>VLOOKUP(C3008,[1]products!$A:$D,4,FALSE)</f>
        <v>3</v>
      </c>
      <c r="J3008" t="str">
        <f>VLOOKUP(I3008,[2]categories!$A$1:$B$8,2,FALSE)</f>
        <v>Cruisers Bicycles</v>
      </c>
    </row>
    <row r="3009" customHeight="1" spans="1:10">
      <c r="A3009" s="1">
        <v>1044</v>
      </c>
      <c r="B3009" s="1">
        <v>1</v>
      </c>
      <c r="C3009" s="1">
        <v>97</v>
      </c>
      <c r="D3009" s="1">
        <v>2</v>
      </c>
      <c r="E3009" s="1">
        <v>349.99</v>
      </c>
      <c r="F3009" s="1">
        <v>0.1</v>
      </c>
      <c r="G3009">
        <f t="shared" si="46"/>
        <v>699.88</v>
      </c>
      <c r="H3009" t="str">
        <f>VLOOKUP(C3009,[1]products!$A:$B,2,FALSE)</f>
        <v>Electra Savannah 3i (20-inch) - Girl's - 2017</v>
      </c>
      <c r="I3009">
        <f>VLOOKUP(C3009,[1]products!$A:$D,4,FALSE)</f>
        <v>1</v>
      </c>
      <c r="J3009" t="str">
        <f>VLOOKUP(I3009,[2]categories!$A$1:$B$8,2,FALSE)</f>
        <v>Children Bicycles</v>
      </c>
    </row>
    <row r="3010" customHeight="1" spans="1:10">
      <c r="A3010" s="1">
        <v>1045</v>
      </c>
      <c r="B3010" s="1">
        <v>1</v>
      </c>
      <c r="C3010" s="1">
        <v>28</v>
      </c>
      <c r="D3010" s="1">
        <v>1</v>
      </c>
      <c r="E3010" s="1">
        <v>2499.99</v>
      </c>
      <c r="F3010" s="1">
        <v>0.05</v>
      </c>
      <c r="G3010">
        <f t="shared" si="46"/>
        <v>2499.94</v>
      </c>
      <c r="H3010" t="str">
        <f>VLOOKUP(C3010,[1]products!$A:$B,2,FALSE)</f>
        <v>Surly Karate Monkey 27.5+ Frameset - 2017</v>
      </c>
      <c r="I3010">
        <f>VLOOKUP(C3010,[1]products!$A:$D,4,FALSE)</f>
        <v>6</v>
      </c>
      <c r="J3010" t="str">
        <f>VLOOKUP(I3010,[2]categories!$A$1:$B$8,2,FALSE)</f>
        <v>Mountain Bikes</v>
      </c>
    </row>
    <row r="3011" customHeight="1" spans="1:10">
      <c r="A3011" s="1">
        <v>1045</v>
      </c>
      <c r="B3011" s="1">
        <v>2</v>
      </c>
      <c r="C3011" s="1">
        <v>104</v>
      </c>
      <c r="D3011" s="1">
        <v>2</v>
      </c>
      <c r="E3011" s="1">
        <v>481.99</v>
      </c>
      <c r="F3011" s="1">
        <v>0.05</v>
      </c>
      <c r="G3011">
        <f t="shared" ref="G3011:G3074" si="47">(E3011*D3011)-F3011</f>
        <v>963.93</v>
      </c>
      <c r="H3011" t="str">
        <f>VLOOKUP(C3011,[1]products!$A:$B,2,FALSE)</f>
        <v>Sun Bicycles Streamway - 2017</v>
      </c>
      <c r="I3011">
        <f>VLOOKUP(C3011,[1]products!$A:$D,4,FALSE)</f>
        <v>2</v>
      </c>
      <c r="J3011" t="str">
        <f>VLOOKUP(I3011,[2]categories!$A$1:$B$8,2,FALSE)</f>
        <v>Comfort Bicycles</v>
      </c>
    </row>
    <row r="3012" customHeight="1" spans="1:10">
      <c r="A3012" s="1">
        <v>1046</v>
      </c>
      <c r="B3012" s="1">
        <v>1</v>
      </c>
      <c r="C3012" s="1">
        <v>60</v>
      </c>
      <c r="D3012" s="1">
        <v>1</v>
      </c>
      <c r="E3012" s="1">
        <v>1559.99</v>
      </c>
      <c r="F3012" s="1">
        <v>0.07</v>
      </c>
      <c r="G3012">
        <f t="shared" si="47"/>
        <v>1559.92</v>
      </c>
      <c r="H3012" t="str">
        <f>VLOOKUP(C3012,[1]products!$A:$B,2,FALSE)</f>
        <v>Sun Bicycles ElectroLite - 2017</v>
      </c>
      <c r="I3012">
        <f>VLOOKUP(C3012,[1]products!$A:$D,4,FALSE)</f>
        <v>5</v>
      </c>
      <c r="J3012" t="str">
        <f>VLOOKUP(I3012,[2]categories!$A$1:$B$8,2,FALSE)</f>
        <v>Electric Bikes</v>
      </c>
    </row>
    <row r="3013" customHeight="1" spans="1:10">
      <c r="A3013" s="1">
        <v>1046</v>
      </c>
      <c r="B3013" s="1">
        <v>2</v>
      </c>
      <c r="C3013" s="1">
        <v>79</v>
      </c>
      <c r="D3013" s="1">
        <v>1</v>
      </c>
      <c r="E3013" s="1">
        <v>402.99</v>
      </c>
      <c r="F3013" s="1">
        <v>0.07</v>
      </c>
      <c r="G3013">
        <f t="shared" si="47"/>
        <v>402.92</v>
      </c>
      <c r="H3013" t="str">
        <f>VLOOKUP(C3013,[1]products!$A:$B,2,FALSE)</f>
        <v>Sun Bicycles Boardwalk (24-inch Wheels) - 2017</v>
      </c>
      <c r="I3013">
        <f>VLOOKUP(C3013,[1]products!$A:$D,4,FALSE)</f>
        <v>3</v>
      </c>
      <c r="J3013" t="str">
        <f>VLOOKUP(I3013,[2]categories!$A$1:$B$8,2,FALSE)</f>
        <v>Cruisers Bicycles</v>
      </c>
    </row>
    <row r="3014" customHeight="1" spans="1:10">
      <c r="A3014" s="1">
        <v>1046</v>
      </c>
      <c r="B3014" s="1">
        <v>3</v>
      </c>
      <c r="C3014" s="1">
        <v>32</v>
      </c>
      <c r="D3014" s="1">
        <v>1</v>
      </c>
      <c r="E3014" s="1">
        <v>469.99</v>
      </c>
      <c r="F3014" s="1">
        <v>0.07</v>
      </c>
      <c r="G3014">
        <f t="shared" si="47"/>
        <v>469.92</v>
      </c>
      <c r="H3014" t="str">
        <f>VLOOKUP(C3014,[1]products!$A:$B,2,FALSE)</f>
        <v>Trek Farley Alloy Frameset - 2017</v>
      </c>
      <c r="I3014">
        <f>VLOOKUP(C3014,[1]products!$A:$D,4,FALSE)</f>
        <v>6</v>
      </c>
      <c r="J3014" t="str">
        <f>VLOOKUP(I3014,[2]categories!$A$1:$B$8,2,FALSE)</f>
        <v>Mountain Bikes</v>
      </c>
    </row>
    <row r="3015" customHeight="1" spans="1:10">
      <c r="A3015" s="1">
        <v>1046</v>
      </c>
      <c r="B3015" s="1">
        <v>4</v>
      </c>
      <c r="C3015" s="1">
        <v>41</v>
      </c>
      <c r="D3015" s="1">
        <v>2</v>
      </c>
      <c r="E3015" s="1">
        <v>1469.99</v>
      </c>
      <c r="F3015" s="1">
        <v>0.1</v>
      </c>
      <c r="G3015">
        <f t="shared" si="47"/>
        <v>2939.88</v>
      </c>
      <c r="H3015" t="str">
        <f>VLOOKUP(C3015,[1]products!$A:$B,2,FALSE)</f>
        <v>Haro Shift R3 - 2017</v>
      </c>
      <c r="I3015">
        <f>VLOOKUP(C3015,[1]products!$A:$D,4,FALSE)</f>
        <v>6</v>
      </c>
      <c r="J3015" t="str">
        <f>VLOOKUP(I3015,[2]categories!$A$1:$B$8,2,FALSE)</f>
        <v>Mountain Bikes</v>
      </c>
    </row>
    <row r="3016" customHeight="1" spans="1:10">
      <c r="A3016" s="1">
        <v>1046</v>
      </c>
      <c r="B3016" s="1">
        <v>5</v>
      </c>
      <c r="C3016" s="1">
        <v>17</v>
      </c>
      <c r="D3016" s="1">
        <v>2</v>
      </c>
      <c r="E3016" s="1">
        <v>429</v>
      </c>
      <c r="F3016" s="1">
        <v>0.05</v>
      </c>
      <c r="G3016">
        <f t="shared" si="47"/>
        <v>857.95</v>
      </c>
      <c r="H3016" t="str">
        <f>VLOOKUP(C3016,[1]products!$A:$B,2,FALSE)</f>
        <v>Pure Cycles Vine 8-Speed - 2016</v>
      </c>
      <c r="I3016">
        <f>VLOOKUP(C3016,[1]products!$A:$D,4,FALSE)</f>
        <v>3</v>
      </c>
      <c r="J3016" t="str">
        <f>VLOOKUP(I3016,[2]categories!$A$1:$B$8,2,FALSE)</f>
        <v>Cruisers Bicycles</v>
      </c>
    </row>
    <row r="3017" customHeight="1" spans="1:10">
      <c r="A3017" s="1">
        <v>1047</v>
      </c>
      <c r="B3017" s="1">
        <v>1</v>
      </c>
      <c r="C3017" s="1">
        <v>28</v>
      </c>
      <c r="D3017" s="1">
        <v>2</v>
      </c>
      <c r="E3017" s="1">
        <v>2499.99</v>
      </c>
      <c r="F3017" s="1">
        <v>0.1</v>
      </c>
      <c r="G3017">
        <f t="shared" si="47"/>
        <v>4999.88</v>
      </c>
      <c r="H3017" t="str">
        <f>VLOOKUP(C3017,[1]products!$A:$B,2,FALSE)</f>
        <v>Surly Karate Monkey 27.5+ Frameset - 2017</v>
      </c>
      <c r="I3017">
        <f>VLOOKUP(C3017,[1]products!$A:$D,4,FALSE)</f>
        <v>6</v>
      </c>
      <c r="J3017" t="str">
        <f>VLOOKUP(I3017,[2]categories!$A$1:$B$8,2,FALSE)</f>
        <v>Mountain Bikes</v>
      </c>
    </row>
    <row r="3018" customHeight="1" spans="1:10">
      <c r="A3018" s="1">
        <v>1047</v>
      </c>
      <c r="B3018" s="1">
        <v>2</v>
      </c>
      <c r="C3018" s="1">
        <v>78</v>
      </c>
      <c r="D3018" s="1">
        <v>1</v>
      </c>
      <c r="E3018" s="1">
        <v>647.99</v>
      </c>
      <c r="F3018" s="1">
        <v>0.2</v>
      </c>
      <c r="G3018">
        <f t="shared" si="47"/>
        <v>647.79</v>
      </c>
      <c r="H3018" t="str">
        <f>VLOOKUP(C3018,[1]products!$A:$B,2,FALSE)</f>
        <v>Sun Bicycles Biscayne Tandem CB - 2017</v>
      </c>
      <c r="I3018">
        <f>VLOOKUP(C3018,[1]products!$A:$D,4,FALSE)</f>
        <v>3</v>
      </c>
      <c r="J3018" t="str">
        <f>VLOOKUP(I3018,[2]categories!$A$1:$B$8,2,FALSE)</f>
        <v>Cruisers Bicycles</v>
      </c>
    </row>
    <row r="3019" customHeight="1" spans="1:10">
      <c r="A3019" s="1">
        <v>1047</v>
      </c>
      <c r="B3019" s="1">
        <v>3</v>
      </c>
      <c r="C3019" s="1">
        <v>35</v>
      </c>
      <c r="D3019" s="1">
        <v>1</v>
      </c>
      <c r="E3019" s="1">
        <v>832.99</v>
      </c>
      <c r="F3019" s="1">
        <v>0.05</v>
      </c>
      <c r="G3019">
        <f t="shared" si="47"/>
        <v>832.94</v>
      </c>
      <c r="H3019" t="str">
        <f>VLOOKUP(C3019,[1]products!$A:$B,2,FALSE)</f>
        <v>Sun Bicycles Spider 3i - 2017</v>
      </c>
      <c r="I3019">
        <f>VLOOKUP(C3019,[1]products!$A:$D,4,FALSE)</f>
        <v>6</v>
      </c>
      <c r="J3019" t="str">
        <f>VLOOKUP(I3019,[2]categories!$A$1:$B$8,2,FALSE)</f>
        <v>Mountain Bikes</v>
      </c>
    </row>
    <row r="3020" customHeight="1" spans="1:10">
      <c r="A3020" s="1">
        <v>1047</v>
      </c>
      <c r="B3020" s="1">
        <v>4</v>
      </c>
      <c r="C3020" s="1">
        <v>49</v>
      </c>
      <c r="D3020" s="1">
        <v>1</v>
      </c>
      <c r="E3020" s="1">
        <v>3499.99</v>
      </c>
      <c r="F3020" s="1">
        <v>0.05</v>
      </c>
      <c r="G3020">
        <f t="shared" si="47"/>
        <v>3499.94</v>
      </c>
      <c r="H3020" t="str">
        <f>VLOOKUP(C3020,[1]products!$A:$B,2,FALSE)</f>
        <v>Trek Domane SL 6 - 2017</v>
      </c>
      <c r="I3020">
        <f>VLOOKUP(C3020,[1]products!$A:$D,4,FALSE)</f>
        <v>7</v>
      </c>
      <c r="J3020" t="str">
        <f>VLOOKUP(I3020,[2]categories!$A$1:$B$8,2,FALSE)</f>
        <v>Road Bikes</v>
      </c>
    </row>
    <row r="3021" customHeight="1" spans="1:10">
      <c r="A3021" s="1">
        <v>1048</v>
      </c>
      <c r="B3021" s="1">
        <v>1</v>
      </c>
      <c r="C3021" s="1">
        <v>3</v>
      </c>
      <c r="D3021" s="1">
        <v>2</v>
      </c>
      <c r="E3021" s="1">
        <v>999.99</v>
      </c>
      <c r="F3021" s="1">
        <v>0.1</v>
      </c>
      <c r="G3021">
        <f t="shared" si="47"/>
        <v>1999.88</v>
      </c>
      <c r="H3021" t="str">
        <f>VLOOKUP(C3021,[1]products!$A:$B,2,FALSE)</f>
        <v>Surly Wednesday Frameset - 2016</v>
      </c>
      <c r="I3021">
        <f>VLOOKUP(C3021,[1]products!$A:$D,4,FALSE)</f>
        <v>6</v>
      </c>
      <c r="J3021" t="str">
        <f>VLOOKUP(I3021,[2]categories!$A$1:$B$8,2,FALSE)</f>
        <v>Mountain Bikes</v>
      </c>
    </row>
    <row r="3022" customHeight="1" spans="1:10">
      <c r="A3022" s="1">
        <v>1048</v>
      </c>
      <c r="B3022" s="1">
        <v>2</v>
      </c>
      <c r="C3022" s="1">
        <v>37</v>
      </c>
      <c r="D3022" s="1">
        <v>1</v>
      </c>
      <c r="E3022" s="1">
        <v>379.99</v>
      </c>
      <c r="F3022" s="1">
        <v>0.1</v>
      </c>
      <c r="G3022">
        <f t="shared" si="47"/>
        <v>379.89</v>
      </c>
      <c r="H3022" t="str">
        <f>VLOOKUP(C3022,[1]products!$A:$B,2,FALSE)</f>
        <v>Haro Flightline One ST - 2017</v>
      </c>
      <c r="I3022">
        <f>VLOOKUP(C3022,[1]products!$A:$D,4,FALSE)</f>
        <v>6</v>
      </c>
      <c r="J3022" t="str">
        <f>VLOOKUP(I3022,[2]categories!$A$1:$B$8,2,FALSE)</f>
        <v>Mountain Bikes</v>
      </c>
    </row>
    <row r="3023" customHeight="1" spans="1:10">
      <c r="A3023" s="1">
        <v>1048</v>
      </c>
      <c r="B3023" s="1">
        <v>3</v>
      </c>
      <c r="C3023" s="1">
        <v>94</v>
      </c>
      <c r="D3023" s="1">
        <v>1</v>
      </c>
      <c r="E3023" s="1">
        <v>249.99</v>
      </c>
      <c r="F3023" s="1">
        <v>0.05</v>
      </c>
      <c r="G3023">
        <f t="shared" si="47"/>
        <v>249.94</v>
      </c>
      <c r="H3023" t="str">
        <f>VLOOKUP(C3023,[1]products!$A:$B,2,FALSE)</f>
        <v>Haro Shredder Pro 20 - 2017</v>
      </c>
      <c r="I3023">
        <f>VLOOKUP(C3023,[1]products!$A:$D,4,FALSE)</f>
        <v>1</v>
      </c>
      <c r="J3023" t="str">
        <f>VLOOKUP(I3023,[2]categories!$A$1:$B$8,2,FALSE)</f>
        <v>Children Bicycles</v>
      </c>
    </row>
    <row r="3024" customHeight="1" spans="1:10">
      <c r="A3024" s="1">
        <v>1049</v>
      </c>
      <c r="B3024" s="1">
        <v>1</v>
      </c>
      <c r="C3024" s="1">
        <v>9</v>
      </c>
      <c r="D3024" s="1">
        <v>1</v>
      </c>
      <c r="E3024" s="1">
        <v>2999.99</v>
      </c>
      <c r="F3024" s="1">
        <v>0.1</v>
      </c>
      <c r="G3024">
        <f t="shared" si="47"/>
        <v>2999.89</v>
      </c>
      <c r="H3024" t="str">
        <f>VLOOKUP(C3024,[1]products!$A:$B,2,FALSE)</f>
        <v>Trek Conduit+ - 2016</v>
      </c>
      <c r="I3024">
        <f>VLOOKUP(C3024,[1]products!$A:$D,4,FALSE)</f>
        <v>5</v>
      </c>
      <c r="J3024" t="str">
        <f>VLOOKUP(I3024,[2]categories!$A$1:$B$8,2,FALSE)</f>
        <v>Electric Bikes</v>
      </c>
    </row>
    <row r="3025" customHeight="1" spans="1:10">
      <c r="A3025" s="1">
        <v>1049</v>
      </c>
      <c r="B3025" s="1">
        <v>2</v>
      </c>
      <c r="C3025" s="1">
        <v>36</v>
      </c>
      <c r="D3025" s="1">
        <v>2</v>
      </c>
      <c r="E3025" s="1">
        <v>832.99</v>
      </c>
      <c r="F3025" s="1">
        <v>0.05</v>
      </c>
      <c r="G3025">
        <f t="shared" si="47"/>
        <v>1665.93</v>
      </c>
      <c r="H3025" t="str">
        <f>VLOOKUP(C3025,[1]products!$A:$B,2,FALSE)</f>
        <v>Surly Troll Frameset - 2017</v>
      </c>
      <c r="I3025">
        <f>VLOOKUP(C3025,[1]products!$A:$D,4,FALSE)</f>
        <v>6</v>
      </c>
      <c r="J3025" t="str">
        <f>VLOOKUP(I3025,[2]categories!$A$1:$B$8,2,FALSE)</f>
        <v>Mountain Bikes</v>
      </c>
    </row>
    <row r="3026" customHeight="1" spans="1:10">
      <c r="A3026" s="1">
        <v>1049</v>
      </c>
      <c r="B3026" s="1">
        <v>3</v>
      </c>
      <c r="C3026" s="1">
        <v>3</v>
      </c>
      <c r="D3026" s="1">
        <v>1</v>
      </c>
      <c r="E3026" s="1">
        <v>999.99</v>
      </c>
      <c r="F3026" s="1">
        <v>0.1</v>
      </c>
      <c r="G3026">
        <f t="shared" si="47"/>
        <v>999.89</v>
      </c>
      <c r="H3026" t="str">
        <f>VLOOKUP(C3026,[1]products!$A:$B,2,FALSE)</f>
        <v>Surly Wednesday Frameset - 2016</v>
      </c>
      <c r="I3026">
        <f>VLOOKUP(C3026,[1]products!$A:$D,4,FALSE)</f>
        <v>6</v>
      </c>
      <c r="J3026" t="str">
        <f>VLOOKUP(I3026,[2]categories!$A$1:$B$8,2,FALSE)</f>
        <v>Mountain Bikes</v>
      </c>
    </row>
    <row r="3027" customHeight="1" spans="1:10">
      <c r="A3027" s="1">
        <v>1049</v>
      </c>
      <c r="B3027" s="1">
        <v>4</v>
      </c>
      <c r="C3027" s="1">
        <v>26</v>
      </c>
      <c r="D3027" s="1">
        <v>1</v>
      </c>
      <c r="E3027" s="1">
        <v>599.99</v>
      </c>
      <c r="F3027" s="1">
        <v>0.07</v>
      </c>
      <c r="G3027">
        <f t="shared" si="47"/>
        <v>599.92</v>
      </c>
      <c r="H3027" t="str">
        <f>VLOOKUP(C3027,[1]products!$A:$B,2,FALSE)</f>
        <v>Electra Townie Original 7D EQ - 2016</v>
      </c>
      <c r="I3027">
        <f>VLOOKUP(C3027,[1]products!$A:$D,4,FALSE)</f>
        <v>2</v>
      </c>
      <c r="J3027" t="str">
        <f>VLOOKUP(I3027,[2]categories!$A$1:$B$8,2,FALSE)</f>
        <v>Comfort Bicycles</v>
      </c>
    </row>
    <row r="3028" customHeight="1" spans="1:10">
      <c r="A3028" s="1">
        <v>1049</v>
      </c>
      <c r="B3028" s="1">
        <v>5</v>
      </c>
      <c r="C3028" s="1">
        <v>10</v>
      </c>
      <c r="D3028" s="1">
        <v>2</v>
      </c>
      <c r="E3028" s="1">
        <v>1549</v>
      </c>
      <c r="F3028" s="1">
        <v>0.05</v>
      </c>
      <c r="G3028">
        <f t="shared" si="47"/>
        <v>3097.95</v>
      </c>
      <c r="H3028" t="str">
        <f>VLOOKUP(C3028,[1]products!$A:$B,2,FALSE)</f>
        <v>Surly Straggler - 2016</v>
      </c>
      <c r="I3028">
        <f>VLOOKUP(C3028,[1]products!$A:$D,4,FALSE)</f>
        <v>4</v>
      </c>
      <c r="J3028" t="str">
        <f>VLOOKUP(I3028,[2]categories!$A$1:$B$8,2,FALSE)</f>
        <v>Cyclocross Bicycles</v>
      </c>
    </row>
    <row r="3029" customHeight="1" spans="1:10">
      <c r="A3029" s="1">
        <v>1050</v>
      </c>
      <c r="B3029" s="1">
        <v>1</v>
      </c>
      <c r="C3029" s="1">
        <v>96</v>
      </c>
      <c r="D3029" s="1">
        <v>2</v>
      </c>
      <c r="E3029" s="1">
        <v>349.99</v>
      </c>
      <c r="F3029" s="1">
        <v>0.07</v>
      </c>
      <c r="G3029">
        <f t="shared" si="47"/>
        <v>699.91</v>
      </c>
      <c r="H3029" t="str">
        <f>VLOOKUP(C3029,[1]products!$A:$B,2,FALSE)</f>
        <v>Electra Moto 3i (20-inch) - Boy's - 2017</v>
      </c>
      <c r="I3029">
        <f>VLOOKUP(C3029,[1]products!$A:$D,4,FALSE)</f>
        <v>1</v>
      </c>
      <c r="J3029" t="str">
        <f>VLOOKUP(I3029,[2]categories!$A$1:$B$8,2,FALSE)</f>
        <v>Children Bicycles</v>
      </c>
    </row>
    <row r="3030" customHeight="1" spans="1:10">
      <c r="A3030" s="1">
        <v>1050</v>
      </c>
      <c r="B3030" s="1">
        <v>2</v>
      </c>
      <c r="C3030" s="1">
        <v>99</v>
      </c>
      <c r="D3030" s="1">
        <v>2</v>
      </c>
      <c r="E3030" s="1">
        <v>299.99</v>
      </c>
      <c r="F3030" s="1">
        <v>0.1</v>
      </c>
      <c r="G3030">
        <f t="shared" si="47"/>
        <v>599.88</v>
      </c>
      <c r="H3030" t="str">
        <f>VLOOKUP(C3030,[1]products!$A:$B,2,FALSE)</f>
        <v>Electra Sugar Skulls 1 (20-inch) - Girl's - 2017</v>
      </c>
      <c r="I3030">
        <f>VLOOKUP(C3030,[1]products!$A:$D,4,FALSE)</f>
        <v>1</v>
      </c>
      <c r="J3030" t="str">
        <f>VLOOKUP(I3030,[2]categories!$A$1:$B$8,2,FALSE)</f>
        <v>Children Bicycles</v>
      </c>
    </row>
    <row r="3031" customHeight="1" spans="1:10">
      <c r="A3031" s="1">
        <v>1050</v>
      </c>
      <c r="B3031" s="1">
        <v>3</v>
      </c>
      <c r="C3031" s="1">
        <v>45</v>
      </c>
      <c r="D3031" s="1">
        <v>2</v>
      </c>
      <c r="E3031" s="1">
        <v>869.99</v>
      </c>
      <c r="F3031" s="1">
        <v>0.2</v>
      </c>
      <c r="G3031">
        <f t="shared" si="47"/>
        <v>1739.78</v>
      </c>
      <c r="H3031" t="str">
        <f>VLOOKUP(C3031,[1]products!$A:$B,2,FALSE)</f>
        <v>Haro SR 1.2 - 2017</v>
      </c>
      <c r="I3031">
        <f>VLOOKUP(C3031,[1]products!$A:$D,4,FALSE)</f>
        <v>6</v>
      </c>
      <c r="J3031" t="str">
        <f>VLOOKUP(I3031,[2]categories!$A$1:$B$8,2,FALSE)</f>
        <v>Mountain Bikes</v>
      </c>
    </row>
    <row r="3032" customHeight="1" spans="1:10">
      <c r="A3032" s="1">
        <v>1050</v>
      </c>
      <c r="B3032" s="1">
        <v>4</v>
      </c>
      <c r="C3032" s="1">
        <v>14</v>
      </c>
      <c r="D3032" s="1">
        <v>2</v>
      </c>
      <c r="E3032" s="1">
        <v>269.99</v>
      </c>
      <c r="F3032" s="1">
        <v>0.2</v>
      </c>
      <c r="G3032">
        <f t="shared" si="47"/>
        <v>539.78</v>
      </c>
      <c r="H3032" t="str">
        <f>VLOOKUP(C3032,[1]products!$A:$B,2,FALSE)</f>
        <v>Electra Girl's Hawaii 1 (16-inch) - 2015/2016</v>
      </c>
      <c r="I3032">
        <f>VLOOKUP(C3032,[1]products!$A:$D,4,FALSE)</f>
        <v>3</v>
      </c>
      <c r="J3032" t="str">
        <f>VLOOKUP(I3032,[2]categories!$A$1:$B$8,2,FALSE)</f>
        <v>Cruisers Bicycles</v>
      </c>
    </row>
    <row r="3033" customHeight="1" spans="1:10">
      <c r="A3033" s="1">
        <v>1051</v>
      </c>
      <c r="B3033" s="1">
        <v>1</v>
      </c>
      <c r="C3033" s="1">
        <v>46</v>
      </c>
      <c r="D3033" s="1">
        <v>1</v>
      </c>
      <c r="E3033" s="1">
        <v>1409.99</v>
      </c>
      <c r="F3033" s="1">
        <v>0.2</v>
      </c>
      <c r="G3033">
        <f t="shared" si="47"/>
        <v>1409.79</v>
      </c>
      <c r="H3033" t="str">
        <f>VLOOKUP(C3033,[1]products!$A:$B,2,FALSE)</f>
        <v>Haro SR 1.3 - 2017</v>
      </c>
      <c r="I3033">
        <f>VLOOKUP(C3033,[1]products!$A:$D,4,FALSE)</f>
        <v>6</v>
      </c>
      <c r="J3033" t="str">
        <f>VLOOKUP(I3033,[2]categories!$A$1:$B$8,2,FALSE)</f>
        <v>Mountain Bikes</v>
      </c>
    </row>
    <row r="3034" customHeight="1" spans="1:10">
      <c r="A3034" s="1">
        <v>1052</v>
      </c>
      <c r="B3034" s="1">
        <v>1</v>
      </c>
      <c r="C3034" s="1">
        <v>7</v>
      </c>
      <c r="D3034" s="1">
        <v>1</v>
      </c>
      <c r="E3034" s="1">
        <v>3999.99</v>
      </c>
      <c r="F3034" s="1">
        <v>0.05</v>
      </c>
      <c r="G3034">
        <f t="shared" si="47"/>
        <v>3999.94</v>
      </c>
      <c r="H3034" t="str">
        <f>VLOOKUP(C3034,[1]products!$A:$B,2,FALSE)</f>
        <v>Trek Slash 8 27.5 - 2016</v>
      </c>
      <c r="I3034">
        <f>VLOOKUP(C3034,[1]products!$A:$D,4,FALSE)</f>
        <v>6</v>
      </c>
      <c r="J3034" t="str">
        <f>VLOOKUP(I3034,[2]categories!$A$1:$B$8,2,FALSE)</f>
        <v>Mountain Bikes</v>
      </c>
    </row>
    <row r="3035" customHeight="1" spans="1:10">
      <c r="A3035" s="1">
        <v>1052</v>
      </c>
      <c r="B3035" s="1">
        <v>2</v>
      </c>
      <c r="C3035" s="1">
        <v>103</v>
      </c>
      <c r="D3035" s="1">
        <v>1</v>
      </c>
      <c r="E3035" s="1">
        <v>551.99</v>
      </c>
      <c r="F3035" s="1">
        <v>0.05</v>
      </c>
      <c r="G3035">
        <f t="shared" si="47"/>
        <v>551.94</v>
      </c>
      <c r="H3035" t="str">
        <f>VLOOKUP(C3035,[1]products!$A:$B,2,FALSE)</f>
        <v>Sun Bicycles Streamway 3 - 2017</v>
      </c>
      <c r="I3035">
        <f>VLOOKUP(C3035,[1]products!$A:$D,4,FALSE)</f>
        <v>2</v>
      </c>
      <c r="J3035" t="str">
        <f>VLOOKUP(I3035,[2]categories!$A$1:$B$8,2,FALSE)</f>
        <v>Comfort Bicycles</v>
      </c>
    </row>
    <row r="3036" customHeight="1" spans="1:10">
      <c r="A3036" s="1">
        <v>1052</v>
      </c>
      <c r="B3036" s="1">
        <v>3</v>
      </c>
      <c r="C3036" s="1">
        <v>26</v>
      </c>
      <c r="D3036" s="1">
        <v>2</v>
      </c>
      <c r="E3036" s="1">
        <v>599.99</v>
      </c>
      <c r="F3036" s="1">
        <v>0.07</v>
      </c>
      <c r="G3036">
        <f t="shared" si="47"/>
        <v>1199.91</v>
      </c>
      <c r="H3036" t="str">
        <f>VLOOKUP(C3036,[1]products!$A:$B,2,FALSE)</f>
        <v>Electra Townie Original 7D EQ - 2016</v>
      </c>
      <c r="I3036">
        <f>VLOOKUP(C3036,[1]products!$A:$D,4,FALSE)</f>
        <v>2</v>
      </c>
      <c r="J3036" t="str">
        <f>VLOOKUP(I3036,[2]categories!$A$1:$B$8,2,FALSE)</f>
        <v>Comfort Bicycles</v>
      </c>
    </row>
    <row r="3037" customHeight="1" spans="1:10">
      <c r="A3037" s="1">
        <v>1053</v>
      </c>
      <c r="B3037" s="1">
        <v>1</v>
      </c>
      <c r="C3037" s="1">
        <v>49</v>
      </c>
      <c r="D3037" s="1">
        <v>2</v>
      </c>
      <c r="E3037" s="1">
        <v>3499.99</v>
      </c>
      <c r="F3037" s="1">
        <v>0.05</v>
      </c>
      <c r="G3037">
        <f t="shared" si="47"/>
        <v>6999.93</v>
      </c>
      <c r="H3037" t="str">
        <f>VLOOKUP(C3037,[1]products!$A:$B,2,FALSE)</f>
        <v>Trek Domane SL 6 - 2017</v>
      </c>
      <c r="I3037">
        <f>VLOOKUP(C3037,[1]products!$A:$D,4,FALSE)</f>
        <v>7</v>
      </c>
      <c r="J3037" t="str">
        <f>VLOOKUP(I3037,[2]categories!$A$1:$B$8,2,FALSE)</f>
        <v>Road Bikes</v>
      </c>
    </row>
    <row r="3038" customHeight="1" spans="1:10">
      <c r="A3038" s="1">
        <v>1053</v>
      </c>
      <c r="B3038" s="1">
        <v>2</v>
      </c>
      <c r="C3038" s="1">
        <v>26</v>
      </c>
      <c r="D3038" s="1">
        <v>2</v>
      </c>
      <c r="E3038" s="1">
        <v>599.99</v>
      </c>
      <c r="F3038" s="1">
        <v>0.2</v>
      </c>
      <c r="G3038">
        <f t="shared" si="47"/>
        <v>1199.78</v>
      </c>
      <c r="H3038" t="str">
        <f>VLOOKUP(C3038,[1]products!$A:$B,2,FALSE)</f>
        <v>Electra Townie Original 7D EQ - 2016</v>
      </c>
      <c r="I3038">
        <f>VLOOKUP(C3038,[1]products!$A:$D,4,FALSE)</f>
        <v>2</v>
      </c>
      <c r="J3038" t="str">
        <f>VLOOKUP(I3038,[2]categories!$A$1:$B$8,2,FALSE)</f>
        <v>Comfort Bicycles</v>
      </c>
    </row>
    <row r="3039" customHeight="1" spans="1:10">
      <c r="A3039" s="1">
        <v>1053</v>
      </c>
      <c r="B3039" s="1">
        <v>3</v>
      </c>
      <c r="C3039" s="1">
        <v>23</v>
      </c>
      <c r="D3039" s="1">
        <v>2</v>
      </c>
      <c r="E3039" s="1">
        <v>299.99</v>
      </c>
      <c r="F3039" s="1">
        <v>0.2</v>
      </c>
      <c r="G3039">
        <f t="shared" si="47"/>
        <v>599.78</v>
      </c>
      <c r="H3039" t="str">
        <f>VLOOKUP(C3039,[1]products!$A:$B,2,FALSE)</f>
        <v>Electra Girl's Hawaii 1 (20-inch) - 2015/2016</v>
      </c>
      <c r="I3039">
        <f>VLOOKUP(C3039,[1]products!$A:$D,4,FALSE)</f>
        <v>1</v>
      </c>
      <c r="J3039" t="str">
        <f>VLOOKUP(I3039,[2]categories!$A$1:$B$8,2,FALSE)</f>
        <v>Children Bicycles</v>
      </c>
    </row>
    <row r="3040" customHeight="1" spans="1:10">
      <c r="A3040" s="1">
        <v>1053</v>
      </c>
      <c r="B3040" s="1">
        <v>4</v>
      </c>
      <c r="C3040" s="1">
        <v>68</v>
      </c>
      <c r="D3040" s="1">
        <v>1</v>
      </c>
      <c r="E3040" s="1">
        <v>449.99</v>
      </c>
      <c r="F3040" s="1">
        <v>0.1</v>
      </c>
      <c r="G3040">
        <f t="shared" si="47"/>
        <v>449.89</v>
      </c>
      <c r="H3040" t="str">
        <f>VLOOKUP(C3040,[1]products!$A:$B,2,FALSE)</f>
        <v>Sun Bicycles Cruz 3 - 2017</v>
      </c>
      <c r="I3040">
        <f>VLOOKUP(C3040,[1]products!$A:$D,4,FALSE)</f>
        <v>3</v>
      </c>
      <c r="J3040" t="str">
        <f>VLOOKUP(I3040,[2]categories!$A$1:$B$8,2,FALSE)</f>
        <v>Cruisers Bicycles</v>
      </c>
    </row>
    <row r="3041" customHeight="1" spans="1:10">
      <c r="A3041" s="1">
        <v>1053</v>
      </c>
      <c r="B3041" s="1">
        <v>5</v>
      </c>
      <c r="C3041" s="1">
        <v>73</v>
      </c>
      <c r="D3041" s="1">
        <v>2</v>
      </c>
      <c r="E3041" s="1">
        <v>749.99</v>
      </c>
      <c r="F3041" s="1">
        <v>0.05</v>
      </c>
      <c r="G3041">
        <f t="shared" si="47"/>
        <v>1499.93</v>
      </c>
      <c r="H3041" t="str">
        <f>VLOOKUP(C3041,[1]products!$A:$B,2,FALSE)</f>
        <v>Sun Bicycles Brickell Tandem 7 - 2017</v>
      </c>
      <c r="I3041">
        <f>VLOOKUP(C3041,[1]products!$A:$D,4,FALSE)</f>
        <v>3</v>
      </c>
      <c r="J3041" t="str">
        <f>VLOOKUP(I3041,[2]categories!$A$1:$B$8,2,FALSE)</f>
        <v>Cruisers Bicycles</v>
      </c>
    </row>
    <row r="3042" customHeight="1" spans="1:10">
      <c r="A3042" s="1">
        <v>1054</v>
      </c>
      <c r="B3042" s="1">
        <v>1</v>
      </c>
      <c r="C3042" s="1">
        <v>36</v>
      </c>
      <c r="D3042" s="1">
        <v>2</v>
      </c>
      <c r="E3042" s="1">
        <v>832.99</v>
      </c>
      <c r="F3042" s="1">
        <v>0.1</v>
      </c>
      <c r="G3042">
        <f t="shared" si="47"/>
        <v>1665.88</v>
      </c>
      <c r="H3042" t="str">
        <f>VLOOKUP(C3042,[1]products!$A:$B,2,FALSE)</f>
        <v>Surly Troll Frameset - 2017</v>
      </c>
      <c r="I3042">
        <f>VLOOKUP(C3042,[1]products!$A:$D,4,FALSE)</f>
        <v>6</v>
      </c>
      <c r="J3042" t="str">
        <f>VLOOKUP(I3042,[2]categories!$A$1:$B$8,2,FALSE)</f>
        <v>Mountain Bikes</v>
      </c>
    </row>
    <row r="3043" customHeight="1" spans="1:10">
      <c r="A3043" s="1">
        <v>1054</v>
      </c>
      <c r="B3043" s="1">
        <v>2</v>
      </c>
      <c r="C3043" s="1">
        <v>16</v>
      </c>
      <c r="D3043" s="1">
        <v>1</v>
      </c>
      <c r="E3043" s="1">
        <v>599.99</v>
      </c>
      <c r="F3043" s="1">
        <v>0.05</v>
      </c>
      <c r="G3043">
        <f t="shared" si="47"/>
        <v>599.94</v>
      </c>
      <c r="H3043" t="str">
        <f>VLOOKUP(C3043,[1]products!$A:$B,2,FALSE)</f>
        <v>Electra Townie Original 7D EQ - 2016</v>
      </c>
      <c r="I3043">
        <f>VLOOKUP(C3043,[1]products!$A:$D,4,FALSE)</f>
        <v>3</v>
      </c>
      <c r="J3043" t="str">
        <f>VLOOKUP(I3043,[2]categories!$A$1:$B$8,2,FALSE)</f>
        <v>Cruisers Bicycles</v>
      </c>
    </row>
    <row r="3044" customHeight="1" spans="1:10">
      <c r="A3044" s="1">
        <v>1055</v>
      </c>
      <c r="B3044" s="1">
        <v>1</v>
      </c>
      <c r="C3044" s="1">
        <v>43</v>
      </c>
      <c r="D3044" s="1">
        <v>2</v>
      </c>
      <c r="E3044" s="1">
        <v>5299.99</v>
      </c>
      <c r="F3044" s="1">
        <v>0.07</v>
      </c>
      <c r="G3044">
        <f t="shared" si="47"/>
        <v>10599.91</v>
      </c>
      <c r="H3044" t="str">
        <f>VLOOKUP(C3044,[1]products!$A:$B,2,FALSE)</f>
        <v>Trek Fuel EX 9.8 27.5 Plus - 2017</v>
      </c>
      <c r="I3044">
        <f>VLOOKUP(C3044,[1]products!$A:$D,4,FALSE)</f>
        <v>6</v>
      </c>
      <c r="J3044" t="str">
        <f>VLOOKUP(I3044,[2]categories!$A$1:$B$8,2,FALSE)</f>
        <v>Mountain Bikes</v>
      </c>
    </row>
    <row r="3045" customHeight="1" spans="1:10">
      <c r="A3045" s="1">
        <v>1055</v>
      </c>
      <c r="B3045" s="1">
        <v>2</v>
      </c>
      <c r="C3045" s="1">
        <v>101</v>
      </c>
      <c r="D3045" s="1">
        <v>2</v>
      </c>
      <c r="E3045" s="1">
        <v>339.99</v>
      </c>
      <c r="F3045" s="1">
        <v>0.2</v>
      </c>
      <c r="G3045">
        <f t="shared" si="47"/>
        <v>679.78</v>
      </c>
      <c r="H3045" t="str">
        <f>VLOOKUP(C3045,[1]products!$A:$B,2,FALSE)</f>
        <v>Electra Townie 7D (20-inch) - Boys' - 2017</v>
      </c>
      <c r="I3045">
        <f>VLOOKUP(C3045,[1]products!$A:$D,4,FALSE)</f>
        <v>1</v>
      </c>
      <c r="J3045" t="str">
        <f>VLOOKUP(I3045,[2]categories!$A$1:$B$8,2,FALSE)</f>
        <v>Children Bicycles</v>
      </c>
    </row>
    <row r="3046" customHeight="1" spans="1:10">
      <c r="A3046" s="1">
        <v>1055</v>
      </c>
      <c r="B3046" s="1">
        <v>3</v>
      </c>
      <c r="C3046" s="1">
        <v>12</v>
      </c>
      <c r="D3046" s="1">
        <v>2</v>
      </c>
      <c r="E3046" s="1">
        <v>549.99</v>
      </c>
      <c r="F3046" s="1">
        <v>0.1</v>
      </c>
      <c r="G3046">
        <f t="shared" si="47"/>
        <v>1099.88</v>
      </c>
      <c r="H3046" t="str">
        <f>VLOOKUP(C3046,[1]products!$A:$B,2,FALSE)</f>
        <v>Electra Townie Original 21D - 2016</v>
      </c>
      <c r="I3046">
        <f>VLOOKUP(C3046,[1]products!$A:$D,4,FALSE)</f>
        <v>3</v>
      </c>
      <c r="J3046" t="str">
        <f>VLOOKUP(I3046,[2]categories!$A$1:$B$8,2,FALSE)</f>
        <v>Cruisers Bicycles</v>
      </c>
    </row>
    <row r="3047" customHeight="1" spans="1:10">
      <c r="A3047" s="1">
        <v>1055</v>
      </c>
      <c r="B3047" s="1">
        <v>4</v>
      </c>
      <c r="C3047" s="1">
        <v>83</v>
      </c>
      <c r="D3047" s="1">
        <v>2</v>
      </c>
      <c r="E3047" s="1">
        <v>149.99</v>
      </c>
      <c r="F3047" s="1">
        <v>0.1</v>
      </c>
      <c r="G3047">
        <f t="shared" si="47"/>
        <v>299.88</v>
      </c>
      <c r="H3047" t="str">
        <f>VLOOKUP(C3047,[1]products!$A:$B,2,FALSE)</f>
        <v>Trek Boy's Kickster - 2015/2017</v>
      </c>
      <c r="I3047">
        <f>VLOOKUP(C3047,[1]products!$A:$D,4,FALSE)</f>
        <v>1</v>
      </c>
      <c r="J3047" t="str">
        <f>VLOOKUP(I3047,[2]categories!$A$1:$B$8,2,FALSE)</f>
        <v>Children Bicycles</v>
      </c>
    </row>
    <row r="3048" customHeight="1" spans="1:10">
      <c r="A3048" s="1">
        <v>1055</v>
      </c>
      <c r="B3048" s="1">
        <v>5</v>
      </c>
      <c r="C3048" s="1">
        <v>60</v>
      </c>
      <c r="D3048" s="1">
        <v>1</v>
      </c>
      <c r="E3048" s="1">
        <v>1559.99</v>
      </c>
      <c r="F3048" s="1">
        <v>0.2</v>
      </c>
      <c r="G3048">
        <f t="shared" si="47"/>
        <v>1559.79</v>
      </c>
      <c r="H3048" t="str">
        <f>VLOOKUP(C3048,[1]products!$A:$B,2,FALSE)</f>
        <v>Sun Bicycles ElectroLite - 2017</v>
      </c>
      <c r="I3048">
        <f>VLOOKUP(C3048,[1]products!$A:$D,4,FALSE)</f>
        <v>5</v>
      </c>
      <c r="J3048" t="str">
        <f>VLOOKUP(I3048,[2]categories!$A$1:$B$8,2,FALSE)</f>
        <v>Electric Bikes</v>
      </c>
    </row>
    <row r="3049" customHeight="1" spans="1:10">
      <c r="A3049" s="1">
        <v>1056</v>
      </c>
      <c r="B3049" s="1">
        <v>1</v>
      </c>
      <c r="C3049" s="1">
        <v>3</v>
      </c>
      <c r="D3049" s="1">
        <v>1</v>
      </c>
      <c r="E3049" s="1">
        <v>999.99</v>
      </c>
      <c r="F3049" s="1">
        <v>0.05</v>
      </c>
      <c r="G3049">
        <f t="shared" si="47"/>
        <v>999.94</v>
      </c>
      <c r="H3049" t="str">
        <f>VLOOKUP(C3049,[1]products!$A:$B,2,FALSE)</f>
        <v>Surly Wednesday Frameset - 2016</v>
      </c>
      <c r="I3049">
        <f>VLOOKUP(C3049,[1]products!$A:$D,4,FALSE)</f>
        <v>6</v>
      </c>
      <c r="J3049" t="str">
        <f>VLOOKUP(I3049,[2]categories!$A$1:$B$8,2,FALSE)</f>
        <v>Mountain Bikes</v>
      </c>
    </row>
    <row r="3050" customHeight="1" spans="1:10">
      <c r="A3050" s="1">
        <v>1057</v>
      </c>
      <c r="B3050" s="1">
        <v>1</v>
      </c>
      <c r="C3050" s="1">
        <v>105</v>
      </c>
      <c r="D3050" s="1">
        <v>1</v>
      </c>
      <c r="E3050" s="1">
        <v>533.99</v>
      </c>
      <c r="F3050" s="1">
        <v>0.2</v>
      </c>
      <c r="G3050">
        <f t="shared" si="47"/>
        <v>533.79</v>
      </c>
      <c r="H3050" t="str">
        <f>VLOOKUP(C3050,[1]products!$A:$B,2,FALSE)</f>
        <v>Sun Bicycles Streamway 7 - 2017</v>
      </c>
      <c r="I3050">
        <f>VLOOKUP(C3050,[1]products!$A:$D,4,FALSE)</f>
        <v>2</v>
      </c>
      <c r="J3050" t="str">
        <f>VLOOKUP(I3050,[2]categories!$A$1:$B$8,2,FALSE)</f>
        <v>Comfort Bicycles</v>
      </c>
    </row>
    <row r="3051" customHeight="1" spans="1:10">
      <c r="A3051" s="1">
        <v>1057</v>
      </c>
      <c r="B3051" s="1">
        <v>2</v>
      </c>
      <c r="C3051" s="1">
        <v>97</v>
      </c>
      <c r="D3051" s="1">
        <v>1</v>
      </c>
      <c r="E3051" s="1">
        <v>349.99</v>
      </c>
      <c r="F3051" s="1">
        <v>0.05</v>
      </c>
      <c r="G3051">
        <f t="shared" si="47"/>
        <v>349.94</v>
      </c>
      <c r="H3051" t="str">
        <f>VLOOKUP(C3051,[1]products!$A:$B,2,FALSE)</f>
        <v>Electra Savannah 3i (20-inch) - Girl's - 2017</v>
      </c>
      <c r="I3051">
        <f>VLOOKUP(C3051,[1]products!$A:$D,4,FALSE)</f>
        <v>1</v>
      </c>
      <c r="J3051" t="str">
        <f>VLOOKUP(I3051,[2]categories!$A$1:$B$8,2,FALSE)</f>
        <v>Children Bicycles</v>
      </c>
    </row>
    <row r="3052" customHeight="1" spans="1:10">
      <c r="A3052" s="1">
        <v>1057</v>
      </c>
      <c r="B3052" s="1">
        <v>3</v>
      </c>
      <c r="C3052" s="1">
        <v>98</v>
      </c>
      <c r="D3052" s="1">
        <v>2</v>
      </c>
      <c r="E3052" s="1">
        <v>489.99</v>
      </c>
      <c r="F3052" s="1">
        <v>0.05</v>
      </c>
      <c r="G3052">
        <f t="shared" si="47"/>
        <v>979.93</v>
      </c>
      <c r="H3052" t="str">
        <f>VLOOKUP(C3052,[1]products!$A:$B,2,FALSE)</f>
        <v>Electra Straight 8 3i (20-inch) - Boy's - 2017</v>
      </c>
      <c r="I3052">
        <f>VLOOKUP(C3052,[1]products!$A:$D,4,FALSE)</f>
        <v>1</v>
      </c>
      <c r="J3052" t="str">
        <f>VLOOKUP(I3052,[2]categories!$A$1:$B$8,2,FALSE)</f>
        <v>Children Bicycles</v>
      </c>
    </row>
    <row r="3053" customHeight="1" spans="1:10">
      <c r="A3053" s="1">
        <v>1058</v>
      </c>
      <c r="B3053" s="1">
        <v>1</v>
      </c>
      <c r="C3053" s="1">
        <v>43</v>
      </c>
      <c r="D3053" s="1">
        <v>1</v>
      </c>
      <c r="E3053" s="1">
        <v>5299.99</v>
      </c>
      <c r="F3053" s="1">
        <v>0.1</v>
      </c>
      <c r="G3053">
        <f t="shared" si="47"/>
        <v>5299.89</v>
      </c>
      <c r="H3053" t="str">
        <f>VLOOKUP(C3053,[1]products!$A:$B,2,FALSE)</f>
        <v>Trek Fuel EX 9.8 27.5 Plus - 2017</v>
      </c>
      <c r="I3053">
        <f>VLOOKUP(C3053,[1]products!$A:$D,4,FALSE)</f>
        <v>6</v>
      </c>
      <c r="J3053" t="str">
        <f>VLOOKUP(I3053,[2]categories!$A$1:$B$8,2,FALSE)</f>
        <v>Mountain Bikes</v>
      </c>
    </row>
    <row r="3054" customHeight="1" spans="1:10">
      <c r="A3054" s="1">
        <v>1058</v>
      </c>
      <c r="B3054" s="1">
        <v>2</v>
      </c>
      <c r="C3054" s="1">
        <v>29</v>
      </c>
      <c r="D3054" s="1">
        <v>2</v>
      </c>
      <c r="E3054" s="1">
        <v>999.99</v>
      </c>
      <c r="F3054" s="1">
        <v>0.05</v>
      </c>
      <c r="G3054">
        <f t="shared" si="47"/>
        <v>1999.93</v>
      </c>
      <c r="H3054" t="str">
        <f>VLOOKUP(C3054,[1]products!$A:$B,2,FALSE)</f>
        <v>Trek X-Caliber 8 - 2017</v>
      </c>
      <c r="I3054">
        <f>VLOOKUP(C3054,[1]products!$A:$D,4,FALSE)</f>
        <v>6</v>
      </c>
      <c r="J3054" t="str">
        <f>VLOOKUP(I3054,[2]categories!$A$1:$B$8,2,FALSE)</f>
        <v>Mountain Bikes</v>
      </c>
    </row>
    <row r="3055" customHeight="1" spans="1:10">
      <c r="A3055" s="1">
        <v>1058</v>
      </c>
      <c r="B3055" s="1">
        <v>3</v>
      </c>
      <c r="C3055" s="1">
        <v>103</v>
      </c>
      <c r="D3055" s="1">
        <v>1</v>
      </c>
      <c r="E3055" s="1">
        <v>551.99</v>
      </c>
      <c r="F3055" s="1">
        <v>0.07</v>
      </c>
      <c r="G3055">
        <f t="shared" si="47"/>
        <v>551.92</v>
      </c>
      <c r="H3055" t="str">
        <f>VLOOKUP(C3055,[1]products!$A:$B,2,FALSE)</f>
        <v>Sun Bicycles Streamway 3 - 2017</v>
      </c>
      <c r="I3055">
        <f>VLOOKUP(C3055,[1]products!$A:$D,4,FALSE)</f>
        <v>2</v>
      </c>
      <c r="J3055" t="str">
        <f>VLOOKUP(I3055,[2]categories!$A$1:$B$8,2,FALSE)</f>
        <v>Comfort Bicycles</v>
      </c>
    </row>
    <row r="3056" customHeight="1" spans="1:10">
      <c r="A3056" s="1">
        <v>1059</v>
      </c>
      <c r="B3056" s="1">
        <v>1</v>
      </c>
      <c r="C3056" s="1">
        <v>46</v>
      </c>
      <c r="D3056" s="1">
        <v>2</v>
      </c>
      <c r="E3056" s="1">
        <v>1409.99</v>
      </c>
      <c r="F3056" s="1">
        <v>0.05</v>
      </c>
      <c r="G3056">
        <f t="shared" si="47"/>
        <v>2819.93</v>
      </c>
      <c r="H3056" t="str">
        <f>VLOOKUP(C3056,[1]products!$A:$B,2,FALSE)</f>
        <v>Haro SR 1.3 - 2017</v>
      </c>
      <c r="I3056">
        <f>VLOOKUP(C3056,[1]products!$A:$D,4,FALSE)</f>
        <v>6</v>
      </c>
      <c r="J3056" t="str">
        <f>VLOOKUP(I3056,[2]categories!$A$1:$B$8,2,FALSE)</f>
        <v>Mountain Bikes</v>
      </c>
    </row>
    <row r="3057" customHeight="1" spans="1:10">
      <c r="A3057" s="1">
        <v>1059</v>
      </c>
      <c r="B3057" s="1">
        <v>2</v>
      </c>
      <c r="C3057" s="1">
        <v>7</v>
      </c>
      <c r="D3057" s="1">
        <v>1</v>
      </c>
      <c r="E3057" s="1">
        <v>3999.99</v>
      </c>
      <c r="F3057" s="1">
        <v>0.1</v>
      </c>
      <c r="G3057">
        <f t="shared" si="47"/>
        <v>3999.89</v>
      </c>
      <c r="H3057" t="str">
        <f>VLOOKUP(C3057,[1]products!$A:$B,2,FALSE)</f>
        <v>Trek Slash 8 27.5 - 2016</v>
      </c>
      <c r="I3057">
        <f>VLOOKUP(C3057,[1]products!$A:$D,4,FALSE)</f>
        <v>6</v>
      </c>
      <c r="J3057" t="str">
        <f>VLOOKUP(I3057,[2]categories!$A$1:$B$8,2,FALSE)</f>
        <v>Mountain Bikes</v>
      </c>
    </row>
    <row r="3058" customHeight="1" spans="1:10">
      <c r="A3058" s="1">
        <v>1059</v>
      </c>
      <c r="B3058" s="1">
        <v>3</v>
      </c>
      <c r="C3058" s="1">
        <v>13</v>
      </c>
      <c r="D3058" s="1">
        <v>1</v>
      </c>
      <c r="E3058" s="1">
        <v>269.99</v>
      </c>
      <c r="F3058" s="1">
        <v>0.07</v>
      </c>
      <c r="G3058">
        <f t="shared" si="47"/>
        <v>269.92</v>
      </c>
      <c r="H3058" t="str">
        <f>VLOOKUP(C3058,[1]products!$A:$B,2,FALSE)</f>
        <v>Electra Cruiser 1 (24-Inch) - 2016</v>
      </c>
      <c r="I3058">
        <f>VLOOKUP(C3058,[1]products!$A:$D,4,FALSE)</f>
        <v>3</v>
      </c>
      <c r="J3058" t="str">
        <f>VLOOKUP(I3058,[2]categories!$A$1:$B$8,2,FALSE)</f>
        <v>Cruisers Bicycles</v>
      </c>
    </row>
    <row r="3059" customHeight="1" spans="1:10">
      <c r="A3059" s="1">
        <v>1060</v>
      </c>
      <c r="B3059" s="1">
        <v>1</v>
      </c>
      <c r="C3059" s="1">
        <v>7</v>
      </c>
      <c r="D3059" s="1">
        <v>1</v>
      </c>
      <c r="E3059" s="1">
        <v>3999.99</v>
      </c>
      <c r="F3059" s="1">
        <v>0.07</v>
      </c>
      <c r="G3059">
        <f t="shared" si="47"/>
        <v>3999.92</v>
      </c>
      <c r="H3059" t="str">
        <f>VLOOKUP(C3059,[1]products!$A:$B,2,FALSE)</f>
        <v>Trek Slash 8 27.5 - 2016</v>
      </c>
      <c r="I3059">
        <f>VLOOKUP(C3059,[1]products!$A:$D,4,FALSE)</f>
        <v>6</v>
      </c>
      <c r="J3059" t="str">
        <f>VLOOKUP(I3059,[2]categories!$A$1:$B$8,2,FALSE)</f>
        <v>Mountain Bikes</v>
      </c>
    </row>
    <row r="3060" customHeight="1" spans="1:10">
      <c r="A3060" s="1">
        <v>1060</v>
      </c>
      <c r="B3060" s="1">
        <v>2</v>
      </c>
      <c r="C3060" s="1">
        <v>11</v>
      </c>
      <c r="D3060" s="1">
        <v>2</v>
      </c>
      <c r="E3060" s="1">
        <v>1680.99</v>
      </c>
      <c r="F3060" s="1">
        <v>0.07</v>
      </c>
      <c r="G3060">
        <f t="shared" si="47"/>
        <v>3361.91</v>
      </c>
      <c r="H3060" t="str">
        <f>VLOOKUP(C3060,[1]products!$A:$B,2,FALSE)</f>
        <v>Surly Straggler 650b - 2016</v>
      </c>
      <c r="I3060">
        <f>VLOOKUP(C3060,[1]products!$A:$D,4,FALSE)</f>
        <v>4</v>
      </c>
      <c r="J3060" t="str">
        <f>VLOOKUP(I3060,[2]categories!$A$1:$B$8,2,FALSE)</f>
        <v>Cyclocross Bicycles</v>
      </c>
    </row>
    <row r="3061" customHeight="1" spans="1:10">
      <c r="A3061" s="1">
        <v>1060</v>
      </c>
      <c r="B3061" s="1">
        <v>3</v>
      </c>
      <c r="C3061" s="1">
        <v>61</v>
      </c>
      <c r="D3061" s="1">
        <v>2</v>
      </c>
      <c r="E3061" s="1">
        <v>4999.99</v>
      </c>
      <c r="F3061" s="1">
        <v>0.1</v>
      </c>
      <c r="G3061">
        <f t="shared" si="47"/>
        <v>9999.88</v>
      </c>
      <c r="H3061" t="str">
        <f>VLOOKUP(C3061,[1]products!$A:$B,2,FALSE)</f>
        <v>Trek Powerfly 8 FS Plus - 2017</v>
      </c>
      <c r="I3061">
        <f>VLOOKUP(C3061,[1]products!$A:$D,4,FALSE)</f>
        <v>5</v>
      </c>
      <c r="J3061" t="str">
        <f>VLOOKUP(I3061,[2]categories!$A$1:$B$8,2,FALSE)</f>
        <v>Electric Bikes</v>
      </c>
    </row>
    <row r="3062" customHeight="1" spans="1:10">
      <c r="A3062" s="1">
        <v>1060</v>
      </c>
      <c r="B3062" s="1">
        <v>4</v>
      </c>
      <c r="C3062" s="1">
        <v>30</v>
      </c>
      <c r="D3062" s="1">
        <v>2</v>
      </c>
      <c r="E3062" s="1">
        <v>999.99</v>
      </c>
      <c r="F3062" s="1">
        <v>0.05</v>
      </c>
      <c r="G3062">
        <f t="shared" si="47"/>
        <v>1999.93</v>
      </c>
      <c r="H3062" t="str">
        <f>VLOOKUP(C3062,[1]products!$A:$B,2,FALSE)</f>
        <v>Surly Ice Cream Truck Frameset - 2017</v>
      </c>
      <c r="I3062">
        <f>VLOOKUP(C3062,[1]products!$A:$D,4,FALSE)</f>
        <v>6</v>
      </c>
      <c r="J3062" t="str">
        <f>VLOOKUP(I3062,[2]categories!$A$1:$B$8,2,FALSE)</f>
        <v>Mountain Bikes</v>
      </c>
    </row>
    <row r="3063" customHeight="1" spans="1:10">
      <c r="A3063" s="1">
        <v>1061</v>
      </c>
      <c r="B3063" s="1">
        <v>1</v>
      </c>
      <c r="C3063" s="1">
        <v>14</v>
      </c>
      <c r="D3063" s="1">
        <v>1</v>
      </c>
      <c r="E3063" s="1">
        <v>269.99</v>
      </c>
      <c r="F3063" s="1">
        <v>0.07</v>
      </c>
      <c r="G3063">
        <f t="shared" si="47"/>
        <v>269.92</v>
      </c>
      <c r="H3063" t="str">
        <f>VLOOKUP(C3063,[1]products!$A:$B,2,FALSE)</f>
        <v>Electra Girl's Hawaii 1 (16-inch) - 2015/2016</v>
      </c>
      <c r="I3063">
        <f>VLOOKUP(C3063,[1]products!$A:$D,4,FALSE)</f>
        <v>3</v>
      </c>
      <c r="J3063" t="str">
        <f>VLOOKUP(I3063,[2]categories!$A$1:$B$8,2,FALSE)</f>
        <v>Cruisers Bicycles</v>
      </c>
    </row>
    <row r="3064" customHeight="1" spans="1:10">
      <c r="A3064" s="1">
        <v>1061</v>
      </c>
      <c r="B3064" s="1">
        <v>2</v>
      </c>
      <c r="C3064" s="1">
        <v>19</v>
      </c>
      <c r="D3064" s="1">
        <v>1</v>
      </c>
      <c r="E3064" s="1">
        <v>449</v>
      </c>
      <c r="F3064" s="1">
        <v>0.1</v>
      </c>
      <c r="G3064">
        <f t="shared" si="47"/>
        <v>448.9</v>
      </c>
      <c r="H3064" t="str">
        <f>VLOOKUP(C3064,[1]products!$A:$B,2,FALSE)</f>
        <v>Pure Cycles William 3-Speed - 2016</v>
      </c>
      <c r="I3064">
        <f>VLOOKUP(C3064,[1]products!$A:$D,4,FALSE)</f>
        <v>3</v>
      </c>
      <c r="J3064" t="str">
        <f>VLOOKUP(I3064,[2]categories!$A$1:$B$8,2,FALSE)</f>
        <v>Cruisers Bicycles</v>
      </c>
    </row>
    <row r="3065" customHeight="1" spans="1:10">
      <c r="A3065" s="1">
        <v>1062</v>
      </c>
      <c r="B3065" s="1">
        <v>1</v>
      </c>
      <c r="C3065" s="1">
        <v>13</v>
      </c>
      <c r="D3065" s="1">
        <v>1</v>
      </c>
      <c r="E3065" s="1">
        <v>269.99</v>
      </c>
      <c r="F3065" s="1">
        <v>0.05</v>
      </c>
      <c r="G3065">
        <f t="shared" si="47"/>
        <v>269.94</v>
      </c>
      <c r="H3065" t="str">
        <f>VLOOKUP(C3065,[1]products!$A:$B,2,FALSE)</f>
        <v>Electra Cruiser 1 (24-Inch) - 2016</v>
      </c>
      <c r="I3065">
        <f>VLOOKUP(C3065,[1]products!$A:$D,4,FALSE)</f>
        <v>3</v>
      </c>
      <c r="J3065" t="str">
        <f>VLOOKUP(I3065,[2]categories!$A$1:$B$8,2,FALSE)</f>
        <v>Cruisers Bicycles</v>
      </c>
    </row>
    <row r="3066" customHeight="1" spans="1:10">
      <c r="A3066" s="1">
        <v>1062</v>
      </c>
      <c r="B3066" s="1">
        <v>2</v>
      </c>
      <c r="C3066" s="1">
        <v>111</v>
      </c>
      <c r="D3066" s="1">
        <v>2</v>
      </c>
      <c r="E3066" s="1">
        <v>470.99</v>
      </c>
      <c r="F3066" s="1">
        <v>0.2</v>
      </c>
      <c r="G3066">
        <f t="shared" si="47"/>
        <v>941.78</v>
      </c>
      <c r="H3066" t="str">
        <f>VLOOKUP(C3066,[1]products!$A:$B,2,FALSE)</f>
        <v>Sun Bicycles Drifter 7 - Women's - 2017</v>
      </c>
      <c r="I3066">
        <f>VLOOKUP(C3066,[1]products!$A:$D,4,FALSE)</f>
        <v>2</v>
      </c>
      <c r="J3066" t="str">
        <f>VLOOKUP(I3066,[2]categories!$A$1:$B$8,2,FALSE)</f>
        <v>Comfort Bicycles</v>
      </c>
    </row>
    <row r="3067" customHeight="1" spans="1:10">
      <c r="A3067" s="1">
        <v>1062</v>
      </c>
      <c r="B3067" s="1">
        <v>3</v>
      </c>
      <c r="C3067" s="1">
        <v>5</v>
      </c>
      <c r="D3067" s="1">
        <v>1</v>
      </c>
      <c r="E3067" s="1">
        <v>1320.99</v>
      </c>
      <c r="F3067" s="1">
        <v>0.05</v>
      </c>
      <c r="G3067">
        <f t="shared" si="47"/>
        <v>1320.94</v>
      </c>
      <c r="H3067" t="str">
        <f>VLOOKUP(C3067,[1]products!$A:$B,2,FALSE)</f>
        <v>Heller Shagamaw Frame - 2016</v>
      </c>
      <c r="I3067">
        <f>VLOOKUP(C3067,[1]products!$A:$D,4,FALSE)</f>
        <v>6</v>
      </c>
      <c r="J3067" t="str">
        <f>VLOOKUP(I3067,[2]categories!$A$1:$B$8,2,FALSE)</f>
        <v>Mountain Bikes</v>
      </c>
    </row>
    <row r="3068" customHeight="1" spans="1:10">
      <c r="A3068" s="1">
        <v>1062</v>
      </c>
      <c r="B3068" s="1">
        <v>4</v>
      </c>
      <c r="C3068" s="1">
        <v>12</v>
      </c>
      <c r="D3068" s="1">
        <v>1</v>
      </c>
      <c r="E3068" s="1">
        <v>549.99</v>
      </c>
      <c r="F3068" s="1">
        <v>0.2</v>
      </c>
      <c r="G3068">
        <f t="shared" si="47"/>
        <v>549.79</v>
      </c>
      <c r="H3068" t="str">
        <f>VLOOKUP(C3068,[1]products!$A:$B,2,FALSE)</f>
        <v>Electra Townie Original 21D - 2016</v>
      </c>
      <c r="I3068">
        <f>VLOOKUP(C3068,[1]products!$A:$D,4,FALSE)</f>
        <v>3</v>
      </c>
      <c r="J3068" t="str">
        <f>VLOOKUP(I3068,[2]categories!$A$1:$B$8,2,FALSE)</f>
        <v>Cruisers Bicycles</v>
      </c>
    </row>
    <row r="3069" customHeight="1" spans="1:10">
      <c r="A3069" s="1">
        <v>1063</v>
      </c>
      <c r="B3069" s="1">
        <v>1</v>
      </c>
      <c r="C3069" s="1">
        <v>33</v>
      </c>
      <c r="D3069" s="1">
        <v>2</v>
      </c>
      <c r="E3069" s="1">
        <v>469.99</v>
      </c>
      <c r="F3069" s="1">
        <v>0.1</v>
      </c>
      <c r="G3069">
        <f t="shared" si="47"/>
        <v>939.88</v>
      </c>
      <c r="H3069" t="str">
        <f>VLOOKUP(C3069,[1]products!$A:$B,2,FALSE)</f>
        <v>Surly Wednesday Frameset - 2017</v>
      </c>
      <c r="I3069">
        <f>VLOOKUP(C3069,[1]products!$A:$D,4,FALSE)</f>
        <v>6</v>
      </c>
      <c r="J3069" t="str">
        <f>VLOOKUP(I3069,[2]categories!$A$1:$B$8,2,FALSE)</f>
        <v>Mountain Bikes</v>
      </c>
    </row>
    <row r="3070" customHeight="1" spans="1:10">
      <c r="A3070" s="1">
        <v>1063</v>
      </c>
      <c r="B3070" s="1">
        <v>2</v>
      </c>
      <c r="C3070" s="1">
        <v>100</v>
      </c>
      <c r="D3070" s="1">
        <v>2</v>
      </c>
      <c r="E3070" s="1">
        <v>489.99</v>
      </c>
      <c r="F3070" s="1">
        <v>0.07</v>
      </c>
      <c r="G3070">
        <f t="shared" si="47"/>
        <v>979.91</v>
      </c>
      <c r="H3070" t="str">
        <f>VLOOKUP(C3070,[1]products!$A:$B,2,FALSE)</f>
        <v>Electra Townie 3i EQ (20-inch) - Boys' - 2017</v>
      </c>
      <c r="I3070">
        <f>VLOOKUP(C3070,[1]products!$A:$D,4,FALSE)</f>
        <v>1</v>
      </c>
      <c r="J3070" t="str">
        <f>VLOOKUP(I3070,[2]categories!$A$1:$B$8,2,FALSE)</f>
        <v>Children Bicycles</v>
      </c>
    </row>
    <row r="3071" customHeight="1" spans="1:10">
      <c r="A3071" s="1">
        <v>1063</v>
      </c>
      <c r="B3071" s="1">
        <v>3</v>
      </c>
      <c r="C3071" s="1">
        <v>72</v>
      </c>
      <c r="D3071" s="1">
        <v>2</v>
      </c>
      <c r="E3071" s="1">
        <v>619.99</v>
      </c>
      <c r="F3071" s="1">
        <v>0.2</v>
      </c>
      <c r="G3071">
        <f t="shared" si="47"/>
        <v>1239.78</v>
      </c>
      <c r="H3071" t="str">
        <f>VLOOKUP(C3071,[1]products!$A:$B,2,FALSE)</f>
        <v>Sun Bicycles Biscayne Tandem 7 - 2017</v>
      </c>
      <c r="I3071">
        <f>VLOOKUP(C3071,[1]products!$A:$D,4,FALSE)</f>
        <v>3</v>
      </c>
      <c r="J3071" t="str">
        <f>VLOOKUP(I3071,[2]categories!$A$1:$B$8,2,FALSE)</f>
        <v>Cruisers Bicycles</v>
      </c>
    </row>
    <row r="3072" customHeight="1" spans="1:10">
      <c r="A3072" s="1">
        <v>1064</v>
      </c>
      <c r="B3072" s="1">
        <v>1</v>
      </c>
      <c r="C3072" s="1">
        <v>18</v>
      </c>
      <c r="D3072" s="1">
        <v>1</v>
      </c>
      <c r="E3072" s="1">
        <v>449</v>
      </c>
      <c r="F3072" s="1">
        <v>0.07</v>
      </c>
      <c r="G3072">
        <f t="shared" si="47"/>
        <v>448.93</v>
      </c>
      <c r="H3072" t="str">
        <f>VLOOKUP(C3072,[1]products!$A:$B,2,FALSE)</f>
        <v>Pure Cycles Western 3-Speed - Women's - 2015/2016</v>
      </c>
      <c r="I3072">
        <f>VLOOKUP(C3072,[1]products!$A:$D,4,FALSE)</f>
        <v>3</v>
      </c>
      <c r="J3072" t="str">
        <f>VLOOKUP(I3072,[2]categories!$A$1:$B$8,2,FALSE)</f>
        <v>Cruisers Bicycles</v>
      </c>
    </row>
    <row r="3073" customHeight="1" spans="1:10">
      <c r="A3073" s="1">
        <v>1064</v>
      </c>
      <c r="B3073" s="1">
        <v>2</v>
      </c>
      <c r="C3073" s="1">
        <v>49</v>
      </c>
      <c r="D3073" s="1">
        <v>1</v>
      </c>
      <c r="E3073" s="1">
        <v>3499.99</v>
      </c>
      <c r="F3073" s="1">
        <v>0.1</v>
      </c>
      <c r="G3073">
        <f t="shared" si="47"/>
        <v>3499.89</v>
      </c>
      <c r="H3073" t="str">
        <f>VLOOKUP(C3073,[1]products!$A:$B,2,FALSE)</f>
        <v>Trek Domane SL 6 - 2017</v>
      </c>
      <c r="I3073">
        <f>VLOOKUP(C3073,[1]products!$A:$D,4,FALSE)</f>
        <v>7</v>
      </c>
      <c r="J3073" t="str">
        <f>VLOOKUP(I3073,[2]categories!$A$1:$B$8,2,FALSE)</f>
        <v>Road Bikes</v>
      </c>
    </row>
    <row r="3074" customHeight="1" spans="1:10">
      <c r="A3074" s="1">
        <v>1065</v>
      </c>
      <c r="B3074" s="1">
        <v>1</v>
      </c>
      <c r="C3074" s="1">
        <v>48</v>
      </c>
      <c r="D3074" s="1">
        <v>2</v>
      </c>
      <c r="E3074" s="1">
        <v>1499.99</v>
      </c>
      <c r="F3074" s="1">
        <v>0.07</v>
      </c>
      <c r="G3074">
        <f t="shared" si="47"/>
        <v>2999.91</v>
      </c>
      <c r="H3074" t="str">
        <f>VLOOKUP(C3074,[1]products!$A:$B,2,FALSE)</f>
        <v>Trek Emonda S 4 - 2017</v>
      </c>
      <c r="I3074">
        <f>VLOOKUP(C3074,[1]products!$A:$D,4,FALSE)</f>
        <v>7</v>
      </c>
      <c r="J3074" t="str">
        <f>VLOOKUP(I3074,[2]categories!$A$1:$B$8,2,FALSE)</f>
        <v>Road Bikes</v>
      </c>
    </row>
    <row r="3075" customHeight="1" spans="1:10">
      <c r="A3075" s="1">
        <v>1065</v>
      </c>
      <c r="B3075" s="1">
        <v>2</v>
      </c>
      <c r="C3075" s="1">
        <v>103</v>
      </c>
      <c r="D3075" s="1">
        <v>2</v>
      </c>
      <c r="E3075" s="1">
        <v>551.99</v>
      </c>
      <c r="F3075" s="1">
        <v>0.05</v>
      </c>
      <c r="G3075">
        <f t="shared" ref="G3075:G3138" si="48">(E3075*D3075)-F3075</f>
        <v>1103.93</v>
      </c>
      <c r="H3075" t="str">
        <f>VLOOKUP(C3075,[1]products!$A:$B,2,FALSE)</f>
        <v>Sun Bicycles Streamway 3 - 2017</v>
      </c>
      <c r="I3075">
        <f>VLOOKUP(C3075,[1]products!$A:$D,4,FALSE)</f>
        <v>2</v>
      </c>
      <c r="J3075" t="str">
        <f>VLOOKUP(I3075,[2]categories!$A$1:$B$8,2,FALSE)</f>
        <v>Comfort Bicycles</v>
      </c>
    </row>
    <row r="3076" customHeight="1" spans="1:10">
      <c r="A3076" s="1">
        <v>1065</v>
      </c>
      <c r="B3076" s="1">
        <v>3</v>
      </c>
      <c r="C3076" s="1">
        <v>63</v>
      </c>
      <c r="D3076" s="1">
        <v>1</v>
      </c>
      <c r="E3076" s="1">
        <v>3499.99</v>
      </c>
      <c r="F3076" s="1">
        <v>0.07</v>
      </c>
      <c r="G3076">
        <f t="shared" si="48"/>
        <v>3499.92</v>
      </c>
      <c r="H3076" t="str">
        <f>VLOOKUP(C3076,[1]products!$A:$B,2,FALSE)</f>
        <v>Trek Boone Race Shop Limited - 2017</v>
      </c>
      <c r="I3076">
        <f>VLOOKUP(C3076,[1]products!$A:$D,4,FALSE)</f>
        <v>4</v>
      </c>
      <c r="J3076" t="str">
        <f>VLOOKUP(I3076,[2]categories!$A$1:$B$8,2,FALSE)</f>
        <v>Cyclocross Bicycles</v>
      </c>
    </row>
    <row r="3077" customHeight="1" spans="1:10">
      <c r="A3077" s="1">
        <v>1066</v>
      </c>
      <c r="B3077" s="1">
        <v>1</v>
      </c>
      <c r="C3077" s="1">
        <v>15</v>
      </c>
      <c r="D3077" s="1">
        <v>2</v>
      </c>
      <c r="E3077" s="1">
        <v>529.99</v>
      </c>
      <c r="F3077" s="1">
        <v>0.05</v>
      </c>
      <c r="G3077">
        <f t="shared" si="48"/>
        <v>1059.93</v>
      </c>
      <c r="H3077" t="str">
        <f>VLOOKUP(C3077,[1]products!$A:$B,2,FALSE)</f>
        <v>Electra Moto 1 - 2016</v>
      </c>
      <c r="I3077">
        <f>VLOOKUP(C3077,[1]products!$A:$D,4,FALSE)</f>
        <v>3</v>
      </c>
      <c r="J3077" t="str">
        <f>VLOOKUP(I3077,[2]categories!$A$1:$B$8,2,FALSE)</f>
        <v>Cruisers Bicycles</v>
      </c>
    </row>
    <row r="3078" customHeight="1" spans="1:10">
      <c r="A3078" s="1">
        <v>1066</v>
      </c>
      <c r="B3078" s="1">
        <v>2</v>
      </c>
      <c r="C3078" s="1">
        <v>46</v>
      </c>
      <c r="D3078" s="1">
        <v>1</v>
      </c>
      <c r="E3078" s="1">
        <v>1409.99</v>
      </c>
      <c r="F3078" s="1">
        <v>0.1</v>
      </c>
      <c r="G3078">
        <f t="shared" si="48"/>
        <v>1409.89</v>
      </c>
      <c r="H3078" t="str">
        <f>VLOOKUP(C3078,[1]products!$A:$B,2,FALSE)</f>
        <v>Haro SR 1.3 - 2017</v>
      </c>
      <c r="I3078">
        <f>VLOOKUP(C3078,[1]products!$A:$D,4,FALSE)</f>
        <v>6</v>
      </c>
      <c r="J3078" t="str">
        <f>VLOOKUP(I3078,[2]categories!$A$1:$B$8,2,FALSE)</f>
        <v>Mountain Bikes</v>
      </c>
    </row>
    <row r="3079" customHeight="1" spans="1:10">
      <c r="A3079" s="1">
        <v>1066</v>
      </c>
      <c r="B3079" s="1">
        <v>3</v>
      </c>
      <c r="C3079" s="1">
        <v>12</v>
      </c>
      <c r="D3079" s="1">
        <v>1</v>
      </c>
      <c r="E3079" s="1">
        <v>549.99</v>
      </c>
      <c r="F3079" s="1">
        <v>0.1</v>
      </c>
      <c r="G3079">
        <f t="shared" si="48"/>
        <v>549.89</v>
      </c>
      <c r="H3079" t="str">
        <f>VLOOKUP(C3079,[1]products!$A:$B,2,FALSE)</f>
        <v>Electra Townie Original 21D - 2016</v>
      </c>
      <c r="I3079">
        <f>VLOOKUP(C3079,[1]products!$A:$D,4,FALSE)</f>
        <v>3</v>
      </c>
      <c r="J3079" t="str">
        <f>VLOOKUP(I3079,[2]categories!$A$1:$B$8,2,FALSE)</f>
        <v>Cruisers Bicycles</v>
      </c>
    </row>
    <row r="3080" customHeight="1" spans="1:10">
      <c r="A3080" s="1">
        <v>1067</v>
      </c>
      <c r="B3080" s="1">
        <v>1</v>
      </c>
      <c r="C3080" s="1">
        <v>74</v>
      </c>
      <c r="D3080" s="1">
        <v>2</v>
      </c>
      <c r="E3080" s="1">
        <v>439.99</v>
      </c>
      <c r="F3080" s="1">
        <v>0.07</v>
      </c>
      <c r="G3080">
        <f t="shared" si="48"/>
        <v>879.91</v>
      </c>
      <c r="H3080" t="str">
        <f>VLOOKUP(C3080,[1]products!$A:$B,2,FALSE)</f>
        <v>Electra Cruiser Lux 1 - 2017</v>
      </c>
      <c r="I3080">
        <f>VLOOKUP(C3080,[1]products!$A:$D,4,FALSE)</f>
        <v>3</v>
      </c>
      <c r="J3080" t="str">
        <f>VLOOKUP(I3080,[2]categories!$A$1:$B$8,2,FALSE)</f>
        <v>Cruisers Bicycles</v>
      </c>
    </row>
    <row r="3081" customHeight="1" spans="1:10">
      <c r="A3081" s="1">
        <v>1067</v>
      </c>
      <c r="B3081" s="1">
        <v>2</v>
      </c>
      <c r="C3081" s="1">
        <v>9</v>
      </c>
      <c r="D3081" s="1">
        <v>2</v>
      </c>
      <c r="E3081" s="1">
        <v>2999.99</v>
      </c>
      <c r="F3081" s="1">
        <v>0.2</v>
      </c>
      <c r="G3081">
        <f t="shared" si="48"/>
        <v>5999.78</v>
      </c>
      <c r="H3081" t="str">
        <f>VLOOKUP(C3081,[1]products!$A:$B,2,FALSE)</f>
        <v>Trek Conduit+ - 2016</v>
      </c>
      <c r="I3081">
        <f>VLOOKUP(C3081,[1]products!$A:$D,4,FALSE)</f>
        <v>5</v>
      </c>
      <c r="J3081" t="str">
        <f>VLOOKUP(I3081,[2]categories!$A$1:$B$8,2,FALSE)</f>
        <v>Electric Bikes</v>
      </c>
    </row>
    <row r="3082" customHeight="1" spans="1:10">
      <c r="A3082" s="1">
        <v>1067</v>
      </c>
      <c r="B3082" s="1">
        <v>3</v>
      </c>
      <c r="C3082" s="1">
        <v>72</v>
      </c>
      <c r="D3082" s="1">
        <v>2</v>
      </c>
      <c r="E3082" s="1">
        <v>619.99</v>
      </c>
      <c r="F3082" s="1">
        <v>0.1</v>
      </c>
      <c r="G3082">
        <f t="shared" si="48"/>
        <v>1239.88</v>
      </c>
      <c r="H3082" t="str">
        <f>VLOOKUP(C3082,[1]products!$A:$B,2,FALSE)</f>
        <v>Sun Bicycles Biscayne Tandem 7 - 2017</v>
      </c>
      <c r="I3082">
        <f>VLOOKUP(C3082,[1]products!$A:$D,4,FALSE)</f>
        <v>3</v>
      </c>
      <c r="J3082" t="str">
        <f>VLOOKUP(I3082,[2]categories!$A$1:$B$8,2,FALSE)</f>
        <v>Cruisers Bicycles</v>
      </c>
    </row>
    <row r="3083" customHeight="1" spans="1:10">
      <c r="A3083" s="1">
        <v>1067</v>
      </c>
      <c r="B3083" s="1">
        <v>4</v>
      </c>
      <c r="C3083" s="1">
        <v>6</v>
      </c>
      <c r="D3083" s="1">
        <v>2</v>
      </c>
      <c r="E3083" s="1">
        <v>469.99</v>
      </c>
      <c r="F3083" s="1">
        <v>0.2</v>
      </c>
      <c r="G3083">
        <f t="shared" si="48"/>
        <v>939.78</v>
      </c>
      <c r="H3083" t="str">
        <f>VLOOKUP(C3083,[1]products!$A:$B,2,FALSE)</f>
        <v>Surly Ice Cream Truck Frameset - 2016</v>
      </c>
      <c r="I3083">
        <f>VLOOKUP(C3083,[1]products!$A:$D,4,FALSE)</f>
        <v>6</v>
      </c>
      <c r="J3083" t="str">
        <f>VLOOKUP(I3083,[2]categories!$A$1:$B$8,2,FALSE)</f>
        <v>Mountain Bikes</v>
      </c>
    </row>
    <row r="3084" customHeight="1" spans="1:10">
      <c r="A3084" s="1">
        <v>1068</v>
      </c>
      <c r="B3084" s="1">
        <v>1</v>
      </c>
      <c r="C3084" s="1">
        <v>87</v>
      </c>
      <c r="D3084" s="1">
        <v>2</v>
      </c>
      <c r="E3084" s="1">
        <v>189.99</v>
      </c>
      <c r="F3084" s="1">
        <v>0.2</v>
      </c>
      <c r="G3084">
        <f t="shared" si="48"/>
        <v>379.78</v>
      </c>
      <c r="H3084" t="str">
        <f>VLOOKUP(C3084,[1]products!$A:$B,2,FALSE)</f>
        <v>Trek Precaliber 12 Boys - 2017</v>
      </c>
      <c r="I3084">
        <f>VLOOKUP(C3084,[1]products!$A:$D,4,FALSE)</f>
        <v>1</v>
      </c>
      <c r="J3084" t="str">
        <f>VLOOKUP(I3084,[2]categories!$A$1:$B$8,2,FALSE)</f>
        <v>Children Bicycles</v>
      </c>
    </row>
    <row r="3085" customHeight="1" spans="1:10">
      <c r="A3085" s="1">
        <v>1068</v>
      </c>
      <c r="B3085" s="1">
        <v>2</v>
      </c>
      <c r="C3085" s="1">
        <v>82</v>
      </c>
      <c r="D3085" s="1">
        <v>1</v>
      </c>
      <c r="E3085" s="1">
        <v>659.99</v>
      </c>
      <c r="F3085" s="1">
        <v>0.2</v>
      </c>
      <c r="G3085">
        <f t="shared" si="48"/>
        <v>659.79</v>
      </c>
      <c r="H3085" t="str">
        <f>VLOOKUP(C3085,[1]products!$A:$B,2,FALSE)</f>
        <v>Electra Amsterdam Original 3i Ladies' - 2017</v>
      </c>
      <c r="I3085">
        <f>VLOOKUP(C3085,[1]products!$A:$D,4,FALSE)</f>
        <v>3</v>
      </c>
      <c r="J3085" t="str">
        <f>VLOOKUP(I3085,[2]categories!$A$1:$B$8,2,FALSE)</f>
        <v>Cruisers Bicycles</v>
      </c>
    </row>
    <row r="3086" customHeight="1" spans="1:10">
      <c r="A3086" s="1">
        <v>1068</v>
      </c>
      <c r="B3086" s="1">
        <v>3</v>
      </c>
      <c r="C3086" s="1">
        <v>49</v>
      </c>
      <c r="D3086" s="1">
        <v>2</v>
      </c>
      <c r="E3086" s="1">
        <v>3499.99</v>
      </c>
      <c r="F3086" s="1">
        <v>0.2</v>
      </c>
      <c r="G3086">
        <f t="shared" si="48"/>
        <v>6999.78</v>
      </c>
      <c r="H3086" t="str">
        <f>VLOOKUP(C3086,[1]products!$A:$B,2,FALSE)</f>
        <v>Trek Domane SL 6 - 2017</v>
      </c>
      <c r="I3086">
        <f>VLOOKUP(C3086,[1]products!$A:$D,4,FALSE)</f>
        <v>7</v>
      </c>
      <c r="J3086" t="str">
        <f>VLOOKUP(I3086,[2]categories!$A$1:$B$8,2,FALSE)</f>
        <v>Road Bikes</v>
      </c>
    </row>
    <row r="3087" customHeight="1" spans="1:10">
      <c r="A3087" s="1">
        <v>1068</v>
      </c>
      <c r="B3087" s="1">
        <v>4</v>
      </c>
      <c r="C3087" s="1">
        <v>45</v>
      </c>
      <c r="D3087" s="1">
        <v>2</v>
      </c>
      <c r="E3087" s="1">
        <v>869.99</v>
      </c>
      <c r="F3087" s="1">
        <v>0.2</v>
      </c>
      <c r="G3087">
        <f t="shared" si="48"/>
        <v>1739.78</v>
      </c>
      <c r="H3087" t="str">
        <f>VLOOKUP(C3087,[1]products!$A:$B,2,FALSE)</f>
        <v>Haro SR 1.2 - 2017</v>
      </c>
      <c r="I3087">
        <f>VLOOKUP(C3087,[1]products!$A:$D,4,FALSE)</f>
        <v>6</v>
      </c>
      <c r="J3087" t="str">
        <f>VLOOKUP(I3087,[2]categories!$A$1:$B$8,2,FALSE)</f>
        <v>Mountain Bikes</v>
      </c>
    </row>
    <row r="3088" customHeight="1" spans="1:10">
      <c r="A3088" s="1">
        <v>1069</v>
      </c>
      <c r="B3088" s="1">
        <v>1</v>
      </c>
      <c r="C3088" s="1">
        <v>109</v>
      </c>
      <c r="D3088" s="1">
        <v>1</v>
      </c>
      <c r="E3088" s="1">
        <v>416.99</v>
      </c>
      <c r="F3088" s="1">
        <v>0.07</v>
      </c>
      <c r="G3088">
        <f t="shared" si="48"/>
        <v>416.92</v>
      </c>
      <c r="H3088" t="str">
        <f>VLOOKUP(C3088,[1]products!$A:$B,2,FALSE)</f>
        <v>Sun Bicycles Cruz 7 - Women's - 2017</v>
      </c>
      <c r="I3088">
        <f>VLOOKUP(C3088,[1]products!$A:$D,4,FALSE)</f>
        <v>2</v>
      </c>
      <c r="J3088" t="str">
        <f>VLOOKUP(I3088,[2]categories!$A$1:$B$8,2,FALSE)</f>
        <v>Comfort Bicycles</v>
      </c>
    </row>
    <row r="3089" customHeight="1" spans="1:10">
      <c r="A3089" s="1">
        <v>1069</v>
      </c>
      <c r="B3089" s="1">
        <v>2</v>
      </c>
      <c r="C3089" s="1">
        <v>93</v>
      </c>
      <c r="D3089" s="1">
        <v>1</v>
      </c>
      <c r="E3089" s="1">
        <v>209.99</v>
      </c>
      <c r="F3089" s="1">
        <v>0.1</v>
      </c>
      <c r="G3089">
        <f t="shared" si="48"/>
        <v>209.89</v>
      </c>
      <c r="H3089" t="str">
        <f>VLOOKUP(C3089,[1]products!$A:$B,2,FALSE)</f>
        <v>Haro Shredder 20 Girls - 2017</v>
      </c>
      <c r="I3089">
        <f>VLOOKUP(C3089,[1]products!$A:$D,4,FALSE)</f>
        <v>1</v>
      </c>
      <c r="J3089" t="str">
        <f>VLOOKUP(I3089,[2]categories!$A$1:$B$8,2,FALSE)</f>
        <v>Children Bicycles</v>
      </c>
    </row>
    <row r="3090" customHeight="1" spans="1:10">
      <c r="A3090" s="1">
        <v>1070</v>
      </c>
      <c r="B3090" s="1">
        <v>1</v>
      </c>
      <c r="C3090" s="1">
        <v>110</v>
      </c>
      <c r="D3090" s="1">
        <v>1</v>
      </c>
      <c r="E3090" s="1">
        <v>470.99</v>
      </c>
      <c r="F3090" s="1">
        <v>0.2</v>
      </c>
      <c r="G3090">
        <f t="shared" si="48"/>
        <v>470.79</v>
      </c>
      <c r="H3090" t="str">
        <f>VLOOKUP(C3090,[1]products!$A:$B,2,FALSE)</f>
        <v>Sun Bicycles Drifter 7 - 2017</v>
      </c>
      <c r="I3090">
        <f>VLOOKUP(C3090,[1]products!$A:$D,4,FALSE)</f>
        <v>2</v>
      </c>
      <c r="J3090" t="str">
        <f>VLOOKUP(I3090,[2]categories!$A$1:$B$8,2,FALSE)</f>
        <v>Comfort Bicycles</v>
      </c>
    </row>
    <row r="3091" customHeight="1" spans="1:10">
      <c r="A3091" s="1">
        <v>1070</v>
      </c>
      <c r="B3091" s="1">
        <v>2</v>
      </c>
      <c r="C3091" s="1">
        <v>18</v>
      </c>
      <c r="D3091" s="1">
        <v>2</v>
      </c>
      <c r="E3091" s="1">
        <v>449</v>
      </c>
      <c r="F3091" s="1">
        <v>0.1</v>
      </c>
      <c r="G3091">
        <f t="shared" si="48"/>
        <v>897.9</v>
      </c>
      <c r="H3091" t="str">
        <f>VLOOKUP(C3091,[1]products!$A:$B,2,FALSE)</f>
        <v>Pure Cycles Western 3-Speed - Women's - 2015/2016</v>
      </c>
      <c r="I3091">
        <f>VLOOKUP(C3091,[1]products!$A:$D,4,FALSE)</f>
        <v>3</v>
      </c>
      <c r="J3091" t="str">
        <f>VLOOKUP(I3091,[2]categories!$A$1:$B$8,2,FALSE)</f>
        <v>Cruisers Bicycles</v>
      </c>
    </row>
    <row r="3092" customHeight="1" spans="1:10">
      <c r="A3092" s="1">
        <v>1070</v>
      </c>
      <c r="B3092" s="1">
        <v>3</v>
      </c>
      <c r="C3092" s="1">
        <v>94</v>
      </c>
      <c r="D3092" s="1">
        <v>1</v>
      </c>
      <c r="E3092" s="1">
        <v>249.99</v>
      </c>
      <c r="F3092" s="1">
        <v>0.05</v>
      </c>
      <c r="G3092">
        <f t="shared" si="48"/>
        <v>249.94</v>
      </c>
      <c r="H3092" t="str">
        <f>VLOOKUP(C3092,[1]products!$A:$B,2,FALSE)</f>
        <v>Haro Shredder Pro 20 - 2017</v>
      </c>
      <c r="I3092">
        <f>VLOOKUP(C3092,[1]products!$A:$D,4,FALSE)</f>
        <v>1</v>
      </c>
      <c r="J3092" t="str">
        <f>VLOOKUP(I3092,[2]categories!$A$1:$B$8,2,FALSE)</f>
        <v>Children Bicycles</v>
      </c>
    </row>
    <row r="3093" customHeight="1" spans="1:10">
      <c r="A3093" s="1">
        <v>1071</v>
      </c>
      <c r="B3093" s="1">
        <v>1</v>
      </c>
      <c r="C3093" s="1">
        <v>25</v>
      </c>
      <c r="D3093" s="1">
        <v>2</v>
      </c>
      <c r="E3093" s="1">
        <v>499.99</v>
      </c>
      <c r="F3093" s="1">
        <v>0.2</v>
      </c>
      <c r="G3093">
        <f t="shared" si="48"/>
        <v>999.78</v>
      </c>
      <c r="H3093" t="str">
        <f>VLOOKUP(C3093,[1]products!$A:$B,2,FALSE)</f>
        <v>Electra Townie Original 7D - 2015/2016</v>
      </c>
      <c r="I3093">
        <f>VLOOKUP(C3093,[1]products!$A:$D,4,FALSE)</f>
        <v>2</v>
      </c>
      <c r="J3093" t="str">
        <f>VLOOKUP(I3093,[2]categories!$A$1:$B$8,2,FALSE)</f>
        <v>Comfort Bicycles</v>
      </c>
    </row>
    <row r="3094" customHeight="1" spans="1:10">
      <c r="A3094" s="1">
        <v>1072</v>
      </c>
      <c r="B3094" s="1">
        <v>1</v>
      </c>
      <c r="C3094" s="1">
        <v>83</v>
      </c>
      <c r="D3094" s="1">
        <v>1</v>
      </c>
      <c r="E3094" s="1">
        <v>149.99</v>
      </c>
      <c r="F3094" s="1">
        <v>0.2</v>
      </c>
      <c r="G3094">
        <f t="shared" si="48"/>
        <v>149.79</v>
      </c>
      <c r="H3094" t="str">
        <f>VLOOKUP(C3094,[1]products!$A:$B,2,FALSE)</f>
        <v>Trek Boy's Kickster - 2015/2017</v>
      </c>
      <c r="I3094">
        <f>VLOOKUP(C3094,[1]products!$A:$D,4,FALSE)</f>
        <v>1</v>
      </c>
      <c r="J3094" t="str">
        <f>VLOOKUP(I3094,[2]categories!$A$1:$B$8,2,FALSE)</f>
        <v>Children Bicycles</v>
      </c>
    </row>
    <row r="3095" customHeight="1" spans="1:10">
      <c r="A3095" s="1">
        <v>1072</v>
      </c>
      <c r="B3095" s="1">
        <v>2</v>
      </c>
      <c r="C3095" s="1">
        <v>89</v>
      </c>
      <c r="D3095" s="1">
        <v>2</v>
      </c>
      <c r="E3095" s="1">
        <v>209.99</v>
      </c>
      <c r="F3095" s="1">
        <v>0.07</v>
      </c>
      <c r="G3095">
        <f t="shared" si="48"/>
        <v>419.91</v>
      </c>
      <c r="H3095" t="str">
        <f>VLOOKUP(C3095,[1]products!$A:$B,2,FALSE)</f>
        <v>Trek Precaliber 16 Boys - 2017</v>
      </c>
      <c r="I3095">
        <f>VLOOKUP(C3095,[1]products!$A:$D,4,FALSE)</f>
        <v>1</v>
      </c>
      <c r="J3095" t="str">
        <f>VLOOKUP(I3095,[2]categories!$A$1:$B$8,2,FALSE)</f>
        <v>Children Bicycles</v>
      </c>
    </row>
    <row r="3096" customHeight="1" spans="1:10">
      <c r="A3096" s="1">
        <v>1072</v>
      </c>
      <c r="B3096" s="1">
        <v>3</v>
      </c>
      <c r="C3096" s="1">
        <v>36</v>
      </c>
      <c r="D3096" s="1">
        <v>2</v>
      </c>
      <c r="E3096" s="1">
        <v>832.99</v>
      </c>
      <c r="F3096" s="1">
        <v>0.07</v>
      </c>
      <c r="G3096">
        <f t="shared" si="48"/>
        <v>1665.91</v>
      </c>
      <c r="H3096" t="str">
        <f>VLOOKUP(C3096,[1]products!$A:$B,2,FALSE)</f>
        <v>Surly Troll Frameset - 2017</v>
      </c>
      <c r="I3096">
        <f>VLOOKUP(C3096,[1]products!$A:$D,4,FALSE)</f>
        <v>6</v>
      </c>
      <c r="J3096" t="str">
        <f>VLOOKUP(I3096,[2]categories!$A$1:$B$8,2,FALSE)</f>
        <v>Mountain Bikes</v>
      </c>
    </row>
    <row r="3097" customHeight="1" spans="1:10">
      <c r="A3097" s="1">
        <v>1073</v>
      </c>
      <c r="B3097" s="1">
        <v>1</v>
      </c>
      <c r="C3097" s="1">
        <v>81</v>
      </c>
      <c r="D3097" s="1">
        <v>1</v>
      </c>
      <c r="E3097" s="1">
        <v>1099.99</v>
      </c>
      <c r="F3097" s="1">
        <v>0.2</v>
      </c>
      <c r="G3097">
        <f t="shared" si="48"/>
        <v>1099.79</v>
      </c>
      <c r="H3097" t="str">
        <f>VLOOKUP(C3097,[1]products!$A:$B,2,FALSE)</f>
        <v>Electra Amsterdam Fashion 7i Ladies' - 2017</v>
      </c>
      <c r="I3097">
        <f>VLOOKUP(C3097,[1]products!$A:$D,4,FALSE)</f>
        <v>3</v>
      </c>
      <c r="J3097" t="str">
        <f>VLOOKUP(I3097,[2]categories!$A$1:$B$8,2,FALSE)</f>
        <v>Cruisers Bicycles</v>
      </c>
    </row>
    <row r="3098" customHeight="1" spans="1:10">
      <c r="A3098" s="1">
        <v>1073</v>
      </c>
      <c r="B3098" s="1">
        <v>2</v>
      </c>
      <c r="C3098" s="1">
        <v>13</v>
      </c>
      <c r="D3098" s="1">
        <v>1</v>
      </c>
      <c r="E3098" s="1">
        <v>269.99</v>
      </c>
      <c r="F3098" s="1">
        <v>0.07</v>
      </c>
      <c r="G3098">
        <f t="shared" si="48"/>
        <v>269.92</v>
      </c>
      <c r="H3098" t="str">
        <f>VLOOKUP(C3098,[1]products!$A:$B,2,FALSE)</f>
        <v>Electra Cruiser 1 (24-Inch) - 2016</v>
      </c>
      <c r="I3098">
        <f>VLOOKUP(C3098,[1]products!$A:$D,4,FALSE)</f>
        <v>3</v>
      </c>
      <c r="J3098" t="str">
        <f>VLOOKUP(I3098,[2]categories!$A$1:$B$8,2,FALSE)</f>
        <v>Cruisers Bicycles</v>
      </c>
    </row>
    <row r="3099" customHeight="1" spans="1:10">
      <c r="A3099" s="1">
        <v>1073</v>
      </c>
      <c r="B3099" s="1">
        <v>3</v>
      </c>
      <c r="C3099" s="1">
        <v>20</v>
      </c>
      <c r="D3099" s="1">
        <v>1</v>
      </c>
      <c r="E3099" s="1">
        <v>599.99</v>
      </c>
      <c r="F3099" s="1">
        <v>0.2</v>
      </c>
      <c r="G3099">
        <f t="shared" si="48"/>
        <v>599.79</v>
      </c>
      <c r="H3099" t="str">
        <f>VLOOKUP(C3099,[1]products!$A:$B,2,FALSE)</f>
        <v>Electra Townie Original 7D EQ - Women's - 2016</v>
      </c>
      <c r="I3099">
        <f>VLOOKUP(C3099,[1]products!$A:$D,4,FALSE)</f>
        <v>3</v>
      </c>
      <c r="J3099" t="str">
        <f>VLOOKUP(I3099,[2]categories!$A$1:$B$8,2,FALSE)</f>
        <v>Cruisers Bicycles</v>
      </c>
    </row>
    <row r="3100" customHeight="1" spans="1:10">
      <c r="A3100" s="1">
        <v>1074</v>
      </c>
      <c r="B3100" s="1">
        <v>1</v>
      </c>
      <c r="C3100" s="1">
        <v>59</v>
      </c>
      <c r="D3100" s="1">
        <v>1</v>
      </c>
      <c r="E3100" s="1">
        <v>2599.99</v>
      </c>
      <c r="F3100" s="1">
        <v>0.1</v>
      </c>
      <c r="G3100">
        <f t="shared" si="48"/>
        <v>2599.89</v>
      </c>
      <c r="H3100" t="str">
        <f>VLOOKUP(C3100,[1]products!$A:$B,2,FALSE)</f>
        <v>Trek Domane S 5 Disc - 2017</v>
      </c>
      <c r="I3100">
        <f>VLOOKUP(C3100,[1]products!$A:$D,4,FALSE)</f>
        <v>7</v>
      </c>
      <c r="J3100" t="str">
        <f>VLOOKUP(I3100,[2]categories!$A$1:$B$8,2,FALSE)</f>
        <v>Road Bikes</v>
      </c>
    </row>
    <row r="3101" customHeight="1" spans="1:10">
      <c r="A3101" s="1">
        <v>1074</v>
      </c>
      <c r="B3101" s="1">
        <v>2</v>
      </c>
      <c r="C3101" s="1">
        <v>87</v>
      </c>
      <c r="D3101" s="1">
        <v>1</v>
      </c>
      <c r="E3101" s="1">
        <v>189.99</v>
      </c>
      <c r="F3101" s="1">
        <v>0.07</v>
      </c>
      <c r="G3101">
        <f t="shared" si="48"/>
        <v>189.92</v>
      </c>
      <c r="H3101" t="str">
        <f>VLOOKUP(C3101,[1]products!$A:$B,2,FALSE)</f>
        <v>Trek Precaliber 12 Boys - 2017</v>
      </c>
      <c r="I3101">
        <f>VLOOKUP(C3101,[1]products!$A:$D,4,FALSE)</f>
        <v>1</v>
      </c>
      <c r="J3101" t="str">
        <f>VLOOKUP(I3101,[2]categories!$A$1:$B$8,2,FALSE)</f>
        <v>Children Bicycles</v>
      </c>
    </row>
    <row r="3102" customHeight="1" spans="1:10">
      <c r="A3102" s="1">
        <v>1074</v>
      </c>
      <c r="B3102" s="1">
        <v>3</v>
      </c>
      <c r="C3102" s="1">
        <v>89</v>
      </c>
      <c r="D3102" s="1">
        <v>2</v>
      </c>
      <c r="E3102" s="1">
        <v>209.99</v>
      </c>
      <c r="F3102" s="1">
        <v>0.1</v>
      </c>
      <c r="G3102">
        <f t="shared" si="48"/>
        <v>419.88</v>
      </c>
      <c r="H3102" t="str">
        <f>VLOOKUP(C3102,[1]products!$A:$B,2,FALSE)</f>
        <v>Trek Precaliber 16 Boys - 2017</v>
      </c>
      <c r="I3102">
        <f>VLOOKUP(C3102,[1]products!$A:$D,4,FALSE)</f>
        <v>1</v>
      </c>
      <c r="J3102" t="str">
        <f>VLOOKUP(I3102,[2]categories!$A$1:$B$8,2,FALSE)</f>
        <v>Children Bicycles</v>
      </c>
    </row>
    <row r="3103" customHeight="1" spans="1:10">
      <c r="A3103" s="1">
        <v>1075</v>
      </c>
      <c r="B3103" s="1">
        <v>1</v>
      </c>
      <c r="C3103" s="1">
        <v>48</v>
      </c>
      <c r="D3103" s="1">
        <v>2</v>
      </c>
      <c r="E3103" s="1">
        <v>1499.99</v>
      </c>
      <c r="F3103" s="1">
        <v>0.1</v>
      </c>
      <c r="G3103">
        <f t="shared" si="48"/>
        <v>2999.88</v>
      </c>
      <c r="H3103" t="str">
        <f>VLOOKUP(C3103,[1]products!$A:$B,2,FALSE)</f>
        <v>Trek Emonda S 4 - 2017</v>
      </c>
      <c r="I3103">
        <f>VLOOKUP(C3103,[1]products!$A:$D,4,FALSE)</f>
        <v>7</v>
      </c>
      <c r="J3103" t="str">
        <f>VLOOKUP(I3103,[2]categories!$A$1:$B$8,2,FALSE)</f>
        <v>Road Bikes</v>
      </c>
    </row>
    <row r="3104" customHeight="1" spans="1:10">
      <c r="A3104" s="1">
        <v>1075</v>
      </c>
      <c r="B3104" s="1">
        <v>2</v>
      </c>
      <c r="C3104" s="1">
        <v>111</v>
      </c>
      <c r="D3104" s="1">
        <v>2</v>
      </c>
      <c r="E3104" s="1">
        <v>470.99</v>
      </c>
      <c r="F3104" s="1">
        <v>0.05</v>
      </c>
      <c r="G3104">
        <f t="shared" si="48"/>
        <v>941.93</v>
      </c>
      <c r="H3104" t="str">
        <f>VLOOKUP(C3104,[1]products!$A:$B,2,FALSE)</f>
        <v>Sun Bicycles Drifter 7 - Women's - 2017</v>
      </c>
      <c r="I3104">
        <f>VLOOKUP(C3104,[1]products!$A:$D,4,FALSE)</f>
        <v>2</v>
      </c>
      <c r="J3104" t="str">
        <f>VLOOKUP(I3104,[2]categories!$A$1:$B$8,2,FALSE)</f>
        <v>Comfort Bicycles</v>
      </c>
    </row>
    <row r="3105" customHeight="1" spans="1:10">
      <c r="A3105" s="1">
        <v>1076</v>
      </c>
      <c r="B3105" s="1">
        <v>1</v>
      </c>
      <c r="C3105" s="1">
        <v>95</v>
      </c>
      <c r="D3105" s="1">
        <v>1</v>
      </c>
      <c r="E3105" s="1">
        <v>299.99</v>
      </c>
      <c r="F3105" s="1">
        <v>0.1</v>
      </c>
      <c r="G3105">
        <f t="shared" si="48"/>
        <v>299.89</v>
      </c>
      <c r="H3105" t="str">
        <f>VLOOKUP(C3105,[1]products!$A:$B,2,FALSE)</f>
        <v>Electra Girl's Hawaii 1 16" - 2017</v>
      </c>
      <c r="I3105">
        <f>VLOOKUP(C3105,[1]products!$A:$D,4,FALSE)</f>
        <v>1</v>
      </c>
      <c r="J3105" t="str">
        <f>VLOOKUP(I3105,[2]categories!$A$1:$B$8,2,FALSE)</f>
        <v>Children Bicycles</v>
      </c>
    </row>
    <row r="3106" customHeight="1" spans="1:10">
      <c r="A3106" s="1">
        <v>1076</v>
      </c>
      <c r="B3106" s="1">
        <v>2</v>
      </c>
      <c r="C3106" s="1">
        <v>102</v>
      </c>
      <c r="D3106" s="1">
        <v>1</v>
      </c>
      <c r="E3106" s="1">
        <v>489.99</v>
      </c>
      <c r="F3106" s="1">
        <v>0.07</v>
      </c>
      <c r="G3106">
        <f t="shared" si="48"/>
        <v>489.92</v>
      </c>
      <c r="H3106" t="str">
        <f>VLOOKUP(C3106,[1]products!$A:$B,2,FALSE)</f>
        <v>Electra Townie Original 7D - 2017</v>
      </c>
      <c r="I3106">
        <f>VLOOKUP(C3106,[1]products!$A:$D,4,FALSE)</f>
        <v>2</v>
      </c>
      <c r="J3106" t="str">
        <f>VLOOKUP(I3106,[2]categories!$A$1:$B$8,2,FALSE)</f>
        <v>Comfort Bicycles</v>
      </c>
    </row>
    <row r="3107" customHeight="1" spans="1:10">
      <c r="A3107" s="1">
        <v>1076</v>
      </c>
      <c r="B3107" s="1">
        <v>3</v>
      </c>
      <c r="C3107" s="1">
        <v>73</v>
      </c>
      <c r="D3107" s="1">
        <v>2</v>
      </c>
      <c r="E3107" s="1">
        <v>749.99</v>
      </c>
      <c r="F3107" s="1">
        <v>0.07</v>
      </c>
      <c r="G3107">
        <f t="shared" si="48"/>
        <v>1499.91</v>
      </c>
      <c r="H3107" t="str">
        <f>VLOOKUP(C3107,[1]products!$A:$B,2,FALSE)</f>
        <v>Sun Bicycles Brickell Tandem 7 - 2017</v>
      </c>
      <c r="I3107">
        <f>VLOOKUP(C3107,[1]products!$A:$D,4,FALSE)</f>
        <v>3</v>
      </c>
      <c r="J3107" t="str">
        <f>VLOOKUP(I3107,[2]categories!$A$1:$B$8,2,FALSE)</f>
        <v>Cruisers Bicycles</v>
      </c>
    </row>
    <row r="3108" customHeight="1" spans="1:10">
      <c r="A3108" s="1">
        <v>1077</v>
      </c>
      <c r="B3108" s="1">
        <v>1</v>
      </c>
      <c r="C3108" s="1">
        <v>60</v>
      </c>
      <c r="D3108" s="1">
        <v>2</v>
      </c>
      <c r="E3108" s="1">
        <v>1559.99</v>
      </c>
      <c r="F3108" s="1">
        <v>0.05</v>
      </c>
      <c r="G3108">
        <f t="shared" si="48"/>
        <v>3119.93</v>
      </c>
      <c r="H3108" t="str">
        <f>VLOOKUP(C3108,[1]products!$A:$B,2,FALSE)</f>
        <v>Sun Bicycles ElectroLite - 2017</v>
      </c>
      <c r="I3108">
        <f>VLOOKUP(C3108,[1]products!$A:$D,4,FALSE)</f>
        <v>5</v>
      </c>
      <c r="J3108" t="str">
        <f>VLOOKUP(I3108,[2]categories!$A$1:$B$8,2,FALSE)</f>
        <v>Electric Bikes</v>
      </c>
    </row>
    <row r="3109" customHeight="1" spans="1:10">
      <c r="A3109" s="1">
        <v>1078</v>
      </c>
      <c r="B3109" s="1">
        <v>1</v>
      </c>
      <c r="C3109" s="1">
        <v>76</v>
      </c>
      <c r="D3109" s="1">
        <v>2</v>
      </c>
      <c r="E3109" s="1">
        <v>299.99</v>
      </c>
      <c r="F3109" s="1">
        <v>0.07</v>
      </c>
      <c r="G3109">
        <f t="shared" si="48"/>
        <v>599.91</v>
      </c>
      <c r="H3109" t="str">
        <f>VLOOKUP(C3109,[1]products!$A:$B,2,FALSE)</f>
        <v>Electra Girl's Hawaii 1 16" - 2017</v>
      </c>
      <c r="I3109">
        <f>VLOOKUP(C3109,[1]products!$A:$D,4,FALSE)</f>
        <v>3</v>
      </c>
      <c r="J3109" t="str">
        <f>VLOOKUP(I3109,[2]categories!$A$1:$B$8,2,FALSE)</f>
        <v>Cruisers Bicycles</v>
      </c>
    </row>
    <row r="3110" customHeight="1" spans="1:10">
      <c r="A3110" s="1">
        <v>1078</v>
      </c>
      <c r="B3110" s="1">
        <v>2</v>
      </c>
      <c r="C3110" s="1">
        <v>60</v>
      </c>
      <c r="D3110" s="1">
        <v>2</v>
      </c>
      <c r="E3110" s="1">
        <v>1559.99</v>
      </c>
      <c r="F3110" s="1">
        <v>0.2</v>
      </c>
      <c r="G3110">
        <f t="shared" si="48"/>
        <v>3119.78</v>
      </c>
      <c r="H3110" t="str">
        <f>VLOOKUP(C3110,[1]products!$A:$B,2,FALSE)</f>
        <v>Sun Bicycles ElectroLite - 2017</v>
      </c>
      <c r="I3110">
        <f>VLOOKUP(C3110,[1]products!$A:$D,4,FALSE)</f>
        <v>5</v>
      </c>
      <c r="J3110" t="str">
        <f>VLOOKUP(I3110,[2]categories!$A$1:$B$8,2,FALSE)</f>
        <v>Electric Bikes</v>
      </c>
    </row>
    <row r="3111" customHeight="1" spans="1:10">
      <c r="A3111" s="1">
        <v>1078</v>
      </c>
      <c r="B3111" s="1">
        <v>3</v>
      </c>
      <c r="C3111" s="1">
        <v>15</v>
      </c>
      <c r="D3111" s="1">
        <v>1</v>
      </c>
      <c r="E3111" s="1">
        <v>529.99</v>
      </c>
      <c r="F3111" s="1">
        <v>0.07</v>
      </c>
      <c r="G3111">
        <f t="shared" si="48"/>
        <v>529.92</v>
      </c>
      <c r="H3111" t="str">
        <f>VLOOKUP(C3111,[1]products!$A:$B,2,FALSE)</f>
        <v>Electra Moto 1 - 2016</v>
      </c>
      <c r="I3111">
        <f>VLOOKUP(C3111,[1]products!$A:$D,4,FALSE)</f>
        <v>3</v>
      </c>
      <c r="J3111" t="str">
        <f>VLOOKUP(I3111,[2]categories!$A$1:$B$8,2,FALSE)</f>
        <v>Cruisers Bicycles</v>
      </c>
    </row>
    <row r="3112" customHeight="1" spans="1:10">
      <c r="A3112" s="1">
        <v>1078</v>
      </c>
      <c r="B3112" s="1">
        <v>4</v>
      </c>
      <c r="C3112" s="1">
        <v>10</v>
      </c>
      <c r="D3112" s="1">
        <v>2</v>
      </c>
      <c r="E3112" s="1">
        <v>1549</v>
      </c>
      <c r="F3112" s="1">
        <v>0.1</v>
      </c>
      <c r="G3112">
        <f t="shared" si="48"/>
        <v>3097.9</v>
      </c>
      <c r="H3112" t="str">
        <f>VLOOKUP(C3112,[1]products!$A:$B,2,FALSE)</f>
        <v>Surly Straggler - 2016</v>
      </c>
      <c r="I3112">
        <f>VLOOKUP(C3112,[1]products!$A:$D,4,FALSE)</f>
        <v>4</v>
      </c>
      <c r="J3112" t="str">
        <f>VLOOKUP(I3112,[2]categories!$A$1:$B$8,2,FALSE)</f>
        <v>Cyclocross Bicycles</v>
      </c>
    </row>
    <row r="3113" customHeight="1" spans="1:10">
      <c r="A3113" s="1">
        <v>1078</v>
      </c>
      <c r="B3113" s="1">
        <v>5</v>
      </c>
      <c r="C3113" s="1">
        <v>72</v>
      </c>
      <c r="D3113" s="1">
        <v>2</v>
      </c>
      <c r="E3113" s="1">
        <v>619.99</v>
      </c>
      <c r="F3113" s="1">
        <v>0.2</v>
      </c>
      <c r="G3113">
        <f t="shared" si="48"/>
        <v>1239.78</v>
      </c>
      <c r="H3113" t="str">
        <f>VLOOKUP(C3113,[1]products!$A:$B,2,FALSE)</f>
        <v>Sun Bicycles Biscayne Tandem 7 - 2017</v>
      </c>
      <c r="I3113">
        <f>VLOOKUP(C3113,[1]products!$A:$D,4,FALSE)</f>
        <v>3</v>
      </c>
      <c r="J3113" t="str">
        <f>VLOOKUP(I3113,[2]categories!$A$1:$B$8,2,FALSE)</f>
        <v>Cruisers Bicycles</v>
      </c>
    </row>
    <row r="3114" customHeight="1" spans="1:10">
      <c r="A3114" s="1">
        <v>1079</v>
      </c>
      <c r="B3114" s="1">
        <v>1</v>
      </c>
      <c r="C3114" s="1">
        <v>70</v>
      </c>
      <c r="D3114" s="1">
        <v>2</v>
      </c>
      <c r="E3114" s="1">
        <v>659.99</v>
      </c>
      <c r="F3114" s="1">
        <v>0.07</v>
      </c>
      <c r="G3114">
        <f t="shared" si="48"/>
        <v>1319.91</v>
      </c>
      <c r="H3114" t="str">
        <f>VLOOKUP(C3114,[1]products!$A:$B,2,FALSE)</f>
        <v>Electra Amsterdam Original 3i - 2015/2017</v>
      </c>
      <c r="I3114">
        <f>VLOOKUP(C3114,[1]products!$A:$D,4,FALSE)</f>
        <v>3</v>
      </c>
      <c r="J3114" t="str">
        <f>VLOOKUP(I3114,[2]categories!$A$1:$B$8,2,FALSE)</f>
        <v>Cruisers Bicycles</v>
      </c>
    </row>
    <row r="3115" customHeight="1" spans="1:10">
      <c r="A3115" s="1">
        <v>1080</v>
      </c>
      <c r="B3115" s="1">
        <v>1</v>
      </c>
      <c r="C3115" s="1">
        <v>31</v>
      </c>
      <c r="D3115" s="1">
        <v>1</v>
      </c>
      <c r="E3115" s="1">
        <v>1632.99</v>
      </c>
      <c r="F3115" s="1">
        <v>0.2</v>
      </c>
      <c r="G3115">
        <f t="shared" si="48"/>
        <v>1632.79</v>
      </c>
      <c r="H3115" t="str">
        <f>VLOOKUP(C3115,[1]products!$A:$B,2,FALSE)</f>
        <v>Surly Wednesday - 2017</v>
      </c>
      <c r="I3115">
        <f>VLOOKUP(C3115,[1]products!$A:$D,4,FALSE)</f>
        <v>6</v>
      </c>
      <c r="J3115" t="str">
        <f>VLOOKUP(I3115,[2]categories!$A$1:$B$8,2,FALSE)</f>
        <v>Mountain Bikes</v>
      </c>
    </row>
    <row r="3116" customHeight="1" spans="1:10">
      <c r="A3116" s="1">
        <v>1080</v>
      </c>
      <c r="B3116" s="1">
        <v>2</v>
      </c>
      <c r="C3116" s="1">
        <v>40</v>
      </c>
      <c r="D3116" s="1">
        <v>1</v>
      </c>
      <c r="E3116" s="1">
        <v>4999.99</v>
      </c>
      <c r="F3116" s="1">
        <v>0.1</v>
      </c>
      <c r="G3116">
        <f t="shared" si="48"/>
        <v>4999.89</v>
      </c>
      <c r="H3116" t="str">
        <f>VLOOKUP(C3116,[1]products!$A:$B,2,FALSE)</f>
        <v>Trek Fuel EX 9.8 29 - 2017</v>
      </c>
      <c r="I3116">
        <f>VLOOKUP(C3116,[1]products!$A:$D,4,FALSE)</f>
        <v>6</v>
      </c>
      <c r="J3116" t="str">
        <f>VLOOKUP(I3116,[2]categories!$A$1:$B$8,2,FALSE)</f>
        <v>Mountain Bikes</v>
      </c>
    </row>
    <row r="3117" customHeight="1" spans="1:10">
      <c r="A3117" s="1">
        <v>1080</v>
      </c>
      <c r="B3117" s="1">
        <v>3</v>
      </c>
      <c r="C3117" s="1">
        <v>50</v>
      </c>
      <c r="D3117" s="1">
        <v>1</v>
      </c>
      <c r="E3117" s="1">
        <v>5999.99</v>
      </c>
      <c r="F3117" s="1">
        <v>0.05</v>
      </c>
      <c r="G3117">
        <f t="shared" si="48"/>
        <v>5999.94</v>
      </c>
      <c r="H3117" t="str">
        <f>VLOOKUP(C3117,[1]products!$A:$B,2,FALSE)</f>
        <v>Trek Silque SLR 7 Women's - 2017</v>
      </c>
      <c r="I3117">
        <f>VLOOKUP(C3117,[1]products!$A:$D,4,FALSE)</f>
        <v>7</v>
      </c>
      <c r="J3117" t="str">
        <f>VLOOKUP(I3117,[2]categories!$A$1:$B$8,2,FALSE)</f>
        <v>Road Bikes</v>
      </c>
    </row>
    <row r="3118" customHeight="1" spans="1:10">
      <c r="A3118" s="1">
        <v>1080</v>
      </c>
      <c r="B3118" s="1">
        <v>4</v>
      </c>
      <c r="C3118" s="1">
        <v>32</v>
      </c>
      <c r="D3118" s="1">
        <v>2</v>
      </c>
      <c r="E3118" s="1">
        <v>469.99</v>
      </c>
      <c r="F3118" s="1">
        <v>0.2</v>
      </c>
      <c r="G3118">
        <f t="shared" si="48"/>
        <v>939.78</v>
      </c>
      <c r="H3118" t="str">
        <f>VLOOKUP(C3118,[1]products!$A:$B,2,FALSE)</f>
        <v>Trek Farley Alloy Frameset - 2017</v>
      </c>
      <c r="I3118">
        <f>VLOOKUP(C3118,[1]products!$A:$D,4,FALSE)</f>
        <v>6</v>
      </c>
      <c r="J3118" t="str">
        <f>VLOOKUP(I3118,[2]categories!$A$1:$B$8,2,FALSE)</f>
        <v>Mountain Bikes</v>
      </c>
    </row>
    <row r="3119" customHeight="1" spans="1:10">
      <c r="A3119" s="1">
        <v>1080</v>
      </c>
      <c r="B3119" s="1">
        <v>5</v>
      </c>
      <c r="C3119" s="1">
        <v>86</v>
      </c>
      <c r="D3119" s="1">
        <v>1</v>
      </c>
      <c r="E3119" s="1">
        <v>149.99</v>
      </c>
      <c r="F3119" s="1">
        <v>0.05</v>
      </c>
      <c r="G3119">
        <f t="shared" si="48"/>
        <v>149.94</v>
      </c>
      <c r="H3119" t="str">
        <f>VLOOKUP(C3119,[1]products!$A:$B,2,FALSE)</f>
        <v>Trek Girl's Kickster - 2017</v>
      </c>
      <c r="I3119">
        <f>VLOOKUP(C3119,[1]products!$A:$D,4,FALSE)</f>
        <v>1</v>
      </c>
      <c r="J3119" t="str">
        <f>VLOOKUP(I3119,[2]categories!$A$1:$B$8,2,FALSE)</f>
        <v>Children Bicycles</v>
      </c>
    </row>
    <row r="3120" customHeight="1" spans="1:10">
      <c r="A3120" s="1">
        <v>1081</v>
      </c>
      <c r="B3120" s="1">
        <v>1</v>
      </c>
      <c r="C3120" s="1">
        <v>52</v>
      </c>
      <c r="D3120" s="1">
        <v>2</v>
      </c>
      <c r="E3120" s="1">
        <v>875.99</v>
      </c>
      <c r="F3120" s="1">
        <v>0.1</v>
      </c>
      <c r="G3120">
        <f t="shared" si="48"/>
        <v>1751.88</v>
      </c>
      <c r="H3120" t="str">
        <f>VLOOKUP(C3120,[1]products!$A:$B,2,FALSE)</f>
        <v>Surly Steamroller - 2017</v>
      </c>
      <c r="I3120">
        <f>VLOOKUP(C3120,[1]products!$A:$D,4,FALSE)</f>
        <v>7</v>
      </c>
      <c r="J3120" t="str">
        <f>VLOOKUP(I3120,[2]categories!$A$1:$B$8,2,FALSE)</f>
        <v>Road Bikes</v>
      </c>
    </row>
    <row r="3121" customHeight="1" spans="1:10">
      <c r="A3121" s="1">
        <v>1082</v>
      </c>
      <c r="B3121" s="1">
        <v>1</v>
      </c>
      <c r="C3121" s="1">
        <v>29</v>
      </c>
      <c r="D3121" s="1">
        <v>2</v>
      </c>
      <c r="E3121" s="1">
        <v>999.99</v>
      </c>
      <c r="F3121" s="1">
        <v>0.2</v>
      </c>
      <c r="G3121">
        <f t="shared" si="48"/>
        <v>1999.78</v>
      </c>
      <c r="H3121" t="str">
        <f>VLOOKUP(C3121,[1]products!$A:$B,2,FALSE)</f>
        <v>Trek X-Caliber 8 - 2017</v>
      </c>
      <c r="I3121">
        <f>VLOOKUP(C3121,[1]products!$A:$D,4,FALSE)</f>
        <v>6</v>
      </c>
      <c r="J3121" t="str">
        <f>VLOOKUP(I3121,[2]categories!$A$1:$B$8,2,FALSE)</f>
        <v>Mountain Bikes</v>
      </c>
    </row>
    <row r="3122" customHeight="1" spans="1:10">
      <c r="A3122" s="1">
        <v>1083</v>
      </c>
      <c r="B3122" s="1">
        <v>1</v>
      </c>
      <c r="C3122" s="1">
        <v>65</v>
      </c>
      <c r="D3122" s="1">
        <v>2</v>
      </c>
      <c r="E3122" s="1">
        <v>346.99</v>
      </c>
      <c r="F3122" s="1">
        <v>0.2</v>
      </c>
      <c r="G3122">
        <f t="shared" si="48"/>
        <v>693.78</v>
      </c>
      <c r="H3122" t="str">
        <f>VLOOKUP(C3122,[1]products!$A:$B,2,FALSE)</f>
        <v>Sun Bicycles Lil Bolt Type-R - 2017</v>
      </c>
      <c r="I3122">
        <f>VLOOKUP(C3122,[1]products!$A:$D,4,FALSE)</f>
        <v>3</v>
      </c>
      <c r="J3122" t="str">
        <f>VLOOKUP(I3122,[2]categories!$A$1:$B$8,2,FALSE)</f>
        <v>Cruisers Bicycles</v>
      </c>
    </row>
    <row r="3123" customHeight="1" spans="1:10">
      <c r="A3123" s="1">
        <v>1083</v>
      </c>
      <c r="B3123" s="1">
        <v>2</v>
      </c>
      <c r="C3123" s="1">
        <v>77</v>
      </c>
      <c r="D3123" s="1">
        <v>2</v>
      </c>
      <c r="E3123" s="1">
        <v>799.99</v>
      </c>
      <c r="F3123" s="1">
        <v>0.1</v>
      </c>
      <c r="G3123">
        <f t="shared" si="48"/>
        <v>1599.88</v>
      </c>
      <c r="H3123" t="str">
        <f>VLOOKUP(C3123,[1]products!$A:$B,2,FALSE)</f>
        <v>Electra Glam Punk 3i Ladies' - 2017</v>
      </c>
      <c r="I3123">
        <f>VLOOKUP(C3123,[1]products!$A:$D,4,FALSE)</f>
        <v>3</v>
      </c>
      <c r="J3123" t="str">
        <f>VLOOKUP(I3123,[2]categories!$A$1:$B$8,2,FALSE)</f>
        <v>Cruisers Bicycles</v>
      </c>
    </row>
    <row r="3124" customHeight="1" spans="1:10">
      <c r="A3124" s="1">
        <v>1083</v>
      </c>
      <c r="B3124" s="1">
        <v>3</v>
      </c>
      <c r="C3124" s="1">
        <v>61</v>
      </c>
      <c r="D3124" s="1">
        <v>1</v>
      </c>
      <c r="E3124" s="1">
        <v>4999.99</v>
      </c>
      <c r="F3124" s="1">
        <v>0.07</v>
      </c>
      <c r="G3124">
        <f t="shared" si="48"/>
        <v>4999.92</v>
      </c>
      <c r="H3124" t="str">
        <f>VLOOKUP(C3124,[1]products!$A:$B,2,FALSE)</f>
        <v>Trek Powerfly 8 FS Plus - 2017</v>
      </c>
      <c r="I3124">
        <f>VLOOKUP(C3124,[1]products!$A:$D,4,FALSE)</f>
        <v>5</v>
      </c>
      <c r="J3124" t="str">
        <f>VLOOKUP(I3124,[2]categories!$A$1:$B$8,2,FALSE)</f>
        <v>Electric Bikes</v>
      </c>
    </row>
    <row r="3125" customHeight="1" spans="1:10">
      <c r="A3125" s="1">
        <v>1083</v>
      </c>
      <c r="B3125" s="1">
        <v>4</v>
      </c>
      <c r="C3125" s="1">
        <v>33</v>
      </c>
      <c r="D3125" s="1">
        <v>1</v>
      </c>
      <c r="E3125" s="1">
        <v>469.99</v>
      </c>
      <c r="F3125" s="1">
        <v>0.2</v>
      </c>
      <c r="G3125">
        <f t="shared" si="48"/>
        <v>469.79</v>
      </c>
      <c r="H3125" t="str">
        <f>VLOOKUP(C3125,[1]products!$A:$B,2,FALSE)</f>
        <v>Surly Wednesday Frameset - 2017</v>
      </c>
      <c r="I3125">
        <f>VLOOKUP(C3125,[1]products!$A:$D,4,FALSE)</f>
        <v>6</v>
      </c>
      <c r="J3125" t="str">
        <f>VLOOKUP(I3125,[2]categories!$A$1:$B$8,2,FALSE)</f>
        <v>Mountain Bikes</v>
      </c>
    </row>
    <row r="3126" customHeight="1" spans="1:10">
      <c r="A3126" s="1">
        <v>1084</v>
      </c>
      <c r="B3126" s="1">
        <v>1</v>
      </c>
      <c r="C3126" s="1">
        <v>30</v>
      </c>
      <c r="D3126" s="1">
        <v>1</v>
      </c>
      <c r="E3126" s="1">
        <v>999.99</v>
      </c>
      <c r="F3126" s="1">
        <v>0.05</v>
      </c>
      <c r="G3126">
        <f t="shared" si="48"/>
        <v>999.94</v>
      </c>
      <c r="H3126" t="str">
        <f>VLOOKUP(C3126,[1]products!$A:$B,2,FALSE)</f>
        <v>Surly Ice Cream Truck Frameset - 2017</v>
      </c>
      <c r="I3126">
        <f>VLOOKUP(C3126,[1]products!$A:$D,4,FALSE)</f>
        <v>6</v>
      </c>
      <c r="J3126" t="str">
        <f>VLOOKUP(I3126,[2]categories!$A$1:$B$8,2,FALSE)</f>
        <v>Mountain Bikes</v>
      </c>
    </row>
    <row r="3127" customHeight="1" spans="1:10">
      <c r="A3127" s="1">
        <v>1084</v>
      </c>
      <c r="B3127" s="1">
        <v>2</v>
      </c>
      <c r="C3127" s="1">
        <v>70</v>
      </c>
      <c r="D3127" s="1">
        <v>1</v>
      </c>
      <c r="E3127" s="1">
        <v>659.99</v>
      </c>
      <c r="F3127" s="1">
        <v>0.05</v>
      </c>
      <c r="G3127">
        <f t="shared" si="48"/>
        <v>659.94</v>
      </c>
      <c r="H3127" t="str">
        <f>VLOOKUP(C3127,[1]products!$A:$B,2,FALSE)</f>
        <v>Electra Amsterdam Original 3i - 2015/2017</v>
      </c>
      <c r="I3127">
        <f>VLOOKUP(C3127,[1]products!$A:$D,4,FALSE)</f>
        <v>3</v>
      </c>
      <c r="J3127" t="str">
        <f>VLOOKUP(I3127,[2]categories!$A$1:$B$8,2,FALSE)</f>
        <v>Cruisers Bicycles</v>
      </c>
    </row>
    <row r="3128" customHeight="1" spans="1:10">
      <c r="A3128" s="1">
        <v>1084</v>
      </c>
      <c r="B3128" s="1">
        <v>3</v>
      </c>
      <c r="C3128" s="1">
        <v>98</v>
      </c>
      <c r="D3128" s="1">
        <v>2</v>
      </c>
      <c r="E3128" s="1">
        <v>489.99</v>
      </c>
      <c r="F3128" s="1">
        <v>0.2</v>
      </c>
      <c r="G3128">
        <f t="shared" si="48"/>
        <v>979.78</v>
      </c>
      <c r="H3128" t="str">
        <f>VLOOKUP(C3128,[1]products!$A:$B,2,FALSE)</f>
        <v>Electra Straight 8 3i (20-inch) - Boy's - 2017</v>
      </c>
      <c r="I3128">
        <f>VLOOKUP(C3128,[1]products!$A:$D,4,FALSE)</f>
        <v>1</v>
      </c>
      <c r="J3128" t="str">
        <f>VLOOKUP(I3128,[2]categories!$A$1:$B$8,2,FALSE)</f>
        <v>Children Bicycles</v>
      </c>
    </row>
    <row r="3129" customHeight="1" spans="1:10">
      <c r="A3129" s="1">
        <v>1084</v>
      </c>
      <c r="B3129" s="1">
        <v>4</v>
      </c>
      <c r="C3129" s="1">
        <v>65</v>
      </c>
      <c r="D3129" s="1">
        <v>2</v>
      </c>
      <c r="E3129" s="1">
        <v>346.99</v>
      </c>
      <c r="F3129" s="1">
        <v>0.07</v>
      </c>
      <c r="G3129">
        <f t="shared" si="48"/>
        <v>693.91</v>
      </c>
      <c r="H3129" t="str">
        <f>VLOOKUP(C3129,[1]products!$A:$B,2,FALSE)</f>
        <v>Sun Bicycles Lil Bolt Type-R - 2017</v>
      </c>
      <c r="I3129">
        <f>VLOOKUP(C3129,[1]products!$A:$D,4,FALSE)</f>
        <v>3</v>
      </c>
      <c r="J3129" t="str">
        <f>VLOOKUP(I3129,[2]categories!$A$1:$B$8,2,FALSE)</f>
        <v>Cruisers Bicycles</v>
      </c>
    </row>
    <row r="3130" customHeight="1" spans="1:10">
      <c r="A3130" s="1">
        <v>1084</v>
      </c>
      <c r="B3130" s="1">
        <v>5</v>
      </c>
      <c r="C3130" s="1">
        <v>60</v>
      </c>
      <c r="D3130" s="1">
        <v>1</v>
      </c>
      <c r="E3130" s="1">
        <v>1559.99</v>
      </c>
      <c r="F3130" s="1">
        <v>0.1</v>
      </c>
      <c r="G3130">
        <f t="shared" si="48"/>
        <v>1559.89</v>
      </c>
      <c r="H3130" t="str">
        <f>VLOOKUP(C3130,[1]products!$A:$B,2,FALSE)</f>
        <v>Sun Bicycles ElectroLite - 2017</v>
      </c>
      <c r="I3130">
        <f>VLOOKUP(C3130,[1]products!$A:$D,4,FALSE)</f>
        <v>5</v>
      </c>
      <c r="J3130" t="str">
        <f>VLOOKUP(I3130,[2]categories!$A$1:$B$8,2,FALSE)</f>
        <v>Electric Bikes</v>
      </c>
    </row>
    <row r="3131" customHeight="1" spans="1:10">
      <c r="A3131" s="1">
        <v>1085</v>
      </c>
      <c r="B3131" s="1">
        <v>1</v>
      </c>
      <c r="C3131" s="1">
        <v>66</v>
      </c>
      <c r="D3131" s="1">
        <v>2</v>
      </c>
      <c r="E3131" s="1">
        <v>250.99</v>
      </c>
      <c r="F3131" s="1">
        <v>0.2</v>
      </c>
      <c r="G3131">
        <f t="shared" si="48"/>
        <v>501.78</v>
      </c>
      <c r="H3131" t="str">
        <f>VLOOKUP(C3131,[1]products!$A:$B,2,FALSE)</f>
        <v>Sun Bicycles Revolutions 24 - 2017</v>
      </c>
      <c r="I3131">
        <f>VLOOKUP(C3131,[1]products!$A:$D,4,FALSE)</f>
        <v>3</v>
      </c>
      <c r="J3131" t="str">
        <f>VLOOKUP(I3131,[2]categories!$A$1:$B$8,2,FALSE)</f>
        <v>Cruisers Bicycles</v>
      </c>
    </row>
    <row r="3132" customHeight="1" spans="1:10">
      <c r="A3132" s="1">
        <v>1085</v>
      </c>
      <c r="B3132" s="1">
        <v>2</v>
      </c>
      <c r="C3132" s="1">
        <v>64</v>
      </c>
      <c r="D3132" s="1">
        <v>1</v>
      </c>
      <c r="E3132" s="1">
        <v>489.99</v>
      </c>
      <c r="F3132" s="1">
        <v>0.1</v>
      </c>
      <c r="G3132">
        <f t="shared" si="48"/>
        <v>489.89</v>
      </c>
      <c r="H3132" t="str">
        <f>VLOOKUP(C3132,[1]products!$A:$B,2,FALSE)</f>
        <v>Electra Townie Original 7D - 2017</v>
      </c>
      <c r="I3132">
        <f>VLOOKUP(C3132,[1]products!$A:$D,4,FALSE)</f>
        <v>3</v>
      </c>
      <c r="J3132" t="str">
        <f>VLOOKUP(I3132,[2]categories!$A$1:$B$8,2,FALSE)</f>
        <v>Cruisers Bicycles</v>
      </c>
    </row>
    <row r="3133" customHeight="1" spans="1:10">
      <c r="A3133" s="1">
        <v>1085</v>
      </c>
      <c r="B3133" s="1">
        <v>3</v>
      </c>
      <c r="C3133" s="1">
        <v>74</v>
      </c>
      <c r="D3133" s="1">
        <v>1</v>
      </c>
      <c r="E3133" s="1">
        <v>439.99</v>
      </c>
      <c r="F3133" s="1">
        <v>0.1</v>
      </c>
      <c r="G3133">
        <f t="shared" si="48"/>
        <v>439.89</v>
      </c>
      <c r="H3133" t="str">
        <f>VLOOKUP(C3133,[1]products!$A:$B,2,FALSE)</f>
        <v>Electra Cruiser Lux 1 - 2017</v>
      </c>
      <c r="I3133">
        <f>VLOOKUP(C3133,[1]products!$A:$D,4,FALSE)</f>
        <v>3</v>
      </c>
      <c r="J3133" t="str">
        <f>VLOOKUP(I3133,[2]categories!$A$1:$B$8,2,FALSE)</f>
        <v>Cruisers Bicycles</v>
      </c>
    </row>
    <row r="3134" customHeight="1" spans="1:10">
      <c r="A3134" s="1">
        <v>1086</v>
      </c>
      <c r="B3134" s="1">
        <v>1</v>
      </c>
      <c r="C3134" s="1">
        <v>108</v>
      </c>
      <c r="D3134" s="1">
        <v>1</v>
      </c>
      <c r="E3134" s="1">
        <v>449.99</v>
      </c>
      <c r="F3134" s="1">
        <v>0.07</v>
      </c>
      <c r="G3134">
        <f t="shared" si="48"/>
        <v>449.92</v>
      </c>
      <c r="H3134" t="str">
        <f>VLOOKUP(C3134,[1]products!$A:$B,2,FALSE)</f>
        <v>Sun Bicycles Cruz 3 - Women's - 2017</v>
      </c>
      <c r="I3134">
        <f>VLOOKUP(C3134,[1]products!$A:$D,4,FALSE)</f>
        <v>2</v>
      </c>
      <c r="J3134" t="str">
        <f>VLOOKUP(I3134,[2]categories!$A$1:$B$8,2,FALSE)</f>
        <v>Comfort Bicycles</v>
      </c>
    </row>
    <row r="3135" customHeight="1" spans="1:10">
      <c r="A3135" s="1">
        <v>1086</v>
      </c>
      <c r="B3135" s="1">
        <v>2</v>
      </c>
      <c r="C3135" s="1">
        <v>67</v>
      </c>
      <c r="D3135" s="1">
        <v>1</v>
      </c>
      <c r="E3135" s="1">
        <v>250.99</v>
      </c>
      <c r="F3135" s="1">
        <v>0.1</v>
      </c>
      <c r="G3135">
        <f t="shared" si="48"/>
        <v>250.89</v>
      </c>
      <c r="H3135" t="str">
        <f>VLOOKUP(C3135,[1]products!$A:$B,2,FALSE)</f>
        <v>Sun Bicycles Revolutions 24 - Girl's - 2017</v>
      </c>
      <c r="I3135">
        <f>VLOOKUP(C3135,[1]products!$A:$D,4,FALSE)</f>
        <v>3</v>
      </c>
      <c r="J3135" t="str">
        <f>VLOOKUP(I3135,[2]categories!$A$1:$B$8,2,FALSE)</f>
        <v>Cruisers Bicycles</v>
      </c>
    </row>
    <row r="3136" customHeight="1" spans="1:10">
      <c r="A3136" s="1">
        <v>1086</v>
      </c>
      <c r="B3136" s="1">
        <v>3</v>
      </c>
      <c r="C3136" s="1">
        <v>81</v>
      </c>
      <c r="D3136" s="1">
        <v>2</v>
      </c>
      <c r="E3136" s="1">
        <v>1099.99</v>
      </c>
      <c r="F3136" s="1">
        <v>0.05</v>
      </c>
      <c r="G3136">
        <f t="shared" si="48"/>
        <v>2199.93</v>
      </c>
      <c r="H3136" t="str">
        <f>VLOOKUP(C3136,[1]products!$A:$B,2,FALSE)</f>
        <v>Electra Amsterdam Fashion 7i Ladies' - 2017</v>
      </c>
      <c r="I3136">
        <f>VLOOKUP(C3136,[1]products!$A:$D,4,FALSE)</f>
        <v>3</v>
      </c>
      <c r="J3136" t="str">
        <f>VLOOKUP(I3136,[2]categories!$A$1:$B$8,2,FALSE)</f>
        <v>Cruisers Bicycles</v>
      </c>
    </row>
    <row r="3137" customHeight="1" spans="1:10">
      <c r="A3137" s="1">
        <v>1086</v>
      </c>
      <c r="B3137" s="1">
        <v>4</v>
      </c>
      <c r="C3137" s="1">
        <v>10</v>
      </c>
      <c r="D3137" s="1">
        <v>2</v>
      </c>
      <c r="E3137" s="1">
        <v>1549</v>
      </c>
      <c r="F3137" s="1">
        <v>0.07</v>
      </c>
      <c r="G3137">
        <f t="shared" si="48"/>
        <v>3097.93</v>
      </c>
      <c r="H3137" t="str">
        <f>VLOOKUP(C3137,[1]products!$A:$B,2,FALSE)</f>
        <v>Surly Straggler - 2016</v>
      </c>
      <c r="I3137">
        <f>VLOOKUP(C3137,[1]products!$A:$D,4,FALSE)</f>
        <v>4</v>
      </c>
      <c r="J3137" t="str">
        <f>VLOOKUP(I3137,[2]categories!$A$1:$B$8,2,FALSE)</f>
        <v>Cyclocross Bicycles</v>
      </c>
    </row>
    <row r="3138" customHeight="1" spans="1:10">
      <c r="A3138" s="1">
        <v>1086</v>
      </c>
      <c r="B3138" s="1">
        <v>5</v>
      </c>
      <c r="C3138" s="1">
        <v>5</v>
      </c>
      <c r="D3138" s="1">
        <v>1</v>
      </c>
      <c r="E3138" s="1">
        <v>1320.99</v>
      </c>
      <c r="F3138" s="1">
        <v>0.2</v>
      </c>
      <c r="G3138">
        <f t="shared" si="48"/>
        <v>1320.79</v>
      </c>
      <c r="H3138" t="str">
        <f>VLOOKUP(C3138,[1]products!$A:$B,2,FALSE)</f>
        <v>Heller Shagamaw Frame - 2016</v>
      </c>
      <c r="I3138">
        <f>VLOOKUP(C3138,[1]products!$A:$D,4,FALSE)</f>
        <v>6</v>
      </c>
      <c r="J3138" t="str">
        <f>VLOOKUP(I3138,[2]categories!$A$1:$B$8,2,FALSE)</f>
        <v>Mountain Bikes</v>
      </c>
    </row>
    <row r="3139" customHeight="1" spans="1:10">
      <c r="A3139" s="1">
        <v>1087</v>
      </c>
      <c r="B3139" s="1">
        <v>1</v>
      </c>
      <c r="C3139" s="1">
        <v>15</v>
      </c>
      <c r="D3139" s="1">
        <v>1</v>
      </c>
      <c r="E3139" s="1">
        <v>529.99</v>
      </c>
      <c r="F3139" s="1">
        <v>0.07</v>
      </c>
      <c r="G3139">
        <f t="shared" ref="G3139:G3202" si="49">(E3139*D3139)-F3139</f>
        <v>529.92</v>
      </c>
      <c r="H3139" t="str">
        <f>VLOOKUP(C3139,[1]products!$A:$B,2,FALSE)</f>
        <v>Electra Moto 1 - 2016</v>
      </c>
      <c r="I3139">
        <f>VLOOKUP(C3139,[1]products!$A:$D,4,FALSE)</f>
        <v>3</v>
      </c>
      <c r="J3139" t="str">
        <f>VLOOKUP(I3139,[2]categories!$A$1:$B$8,2,FALSE)</f>
        <v>Cruisers Bicycles</v>
      </c>
    </row>
    <row r="3140" customHeight="1" spans="1:10">
      <c r="A3140" s="1">
        <v>1087</v>
      </c>
      <c r="B3140" s="1">
        <v>2</v>
      </c>
      <c r="C3140" s="1">
        <v>102</v>
      </c>
      <c r="D3140" s="1">
        <v>2</v>
      </c>
      <c r="E3140" s="1">
        <v>489.99</v>
      </c>
      <c r="F3140" s="1">
        <v>0.07</v>
      </c>
      <c r="G3140">
        <f t="shared" si="49"/>
        <v>979.91</v>
      </c>
      <c r="H3140" t="str">
        <f>VLOOKUP(C3140,[1]products!$A:$B,2,FALSE)</f>
        <v>Electra Townie Original 7D - 2017</v>
      </c>
      <c r="I3140">
        <f>VLOOKUP(C3140,[1]products!$A:$D,4,FALSE)</f>
        <v>2</v>
      </c>
      <c r="J3140" t="str">
        <f>VLOOKUP(I3140,[2]categories!$A$1:$B$8,2,FALSE)</f>
        <v>Comfort Bicycles</v>
      </c>
    </row>
    <row r="3141" customHeight="1" spans="1:10">
      <c r="A3141" s="1">
        <v>1087</v>
      </c>
      <c r="B3141" s="1">
        <v>3</v>
      </c>
      <c r="C3141" s="1">
        <v>59</v>
      </c>
      <c r="D3141" s="1">
        <v>2</v>
      </c>
      <c r="E3141" s="1">
        <v>2599.99</v>
      </c>
      <c r="F3141" s="1">
        <v>0.1</v>
      </c>
      <c r="G3141">
        <f t="shared" si="49"/>
        <v>5199.88</v>
      </c>
      <c r="H3141" t="str">
        <f>VLOOKUP(C3141,[1]products!$A:$B,2,FALSE)</f>
        <v>Trek Domane S 5 Disc - 2017</v>
      </c>
      <c r="I3141">
        <f>VLOOKUP(C3141,[1]products!$A:$D,4,FALSE)</f>
        <v>7</v>
      </c>
      <c r="J3141" t="str">
        <f>VLOOKUP(I3141,[2]categories!$A$1:$B$8,2,FALSE)</f>
        <v>Road Bikes</v>
      </c>
    </row>
    <row r="3142" customHeight="1" spans="1:10">
      <c r="A3142" s="1">
        <v>1087</v>
      </c>
      <c r="B3142" s="1">
        <v>4</v>
      </c>
      <c r="C3142" s="1">
        <v>13</v>
      </c>
      <c r="D3142" s="1">
        <v>2</v>
      </c>
      <c r="E3142" s="1">
        <v>269.99</v>
      </c>
      <c r="F3142" s="1">
        <v>0.07</v>
      </c>
      <c r="G3142">
        <f t="shared" si="49"/>
        <v>539.91</v>
      </c>
      <c r="H3142" t="str">
        <f>VLOOKUP(C3142,[1]products!$A:$B,2,FALSE)</f>
        <v>Electra Cruiser 1 (24-Inch) - 2016</v>
      </c>
      <c r="I3142">
        <f>VLOOKUP(C3142,[1]products!$A:$D,4,FALSE)</f>
        <v>3</v>
      </c>
      <c r="J3142" t="str">
        <f>VLOOKUP(I3142,[2]categories!$A$1:$B$8,2,FALSE)</f>
        <v>Cruisers Bicycles</v>
      </c>
    </row>
    <row r="3143" customHeight="1" spans="1:10">
      <c r="A3143" s="1">
        <v>1087</v>
      </c>
      <c r="B3143" s="1">
        <v>5</v>
      </c>
      <c r="C3143" s="1">
        <v>109</v>
      </c>
      <c r="D3143" s="1">
        <v>2</v>
      </c>
      <c r="E3143" s="1">
        <v>416.99</v>
      </c>
      <c r="F3143" s="1">
        <v>0.2</v>
      </c>
      <c r="G3143">
        <f t="shared" si="49"/>
        <v>833.78</v>
      </c>
      <c r="H3143" t="str">
        <f>VLOOKUP(C3143,[1]products!$A:$B,2,FALSE)</f>
        <v>Sun Bicycles Cruz 7 - Women's - 2017</v>
      </c>
      <c r="I3143">
        <f>VLOOKUP(C3143,[1]products!$A:$D,4,FALSE)</f>
        <v>2</v>
      </c>
      <c r="J3143" t="str">
        <f>VLOOKUP(I3143,[2]categories!$A$1:$B$8,2,FALSE)</f>
        <v>Comfort Bicycles</v>
      </c>
    </row>
    <row r="3144" customHeight="1" spans="1:10">
      <c r="A3144" s="1">
        <v>1088</v>
      </c>
      <c r="B3144" s="1">
        <v>1</v>
      </c>
      <c r="C3144" s="1">
        <v>64</v>
      </c>
      <c r="D3144" s="1">
        <v>1</v>
      </c>
      <c r="E3144" s="1">
        <v>489.99</v>
      </c>
      <c r="F3144" s="1">
        <v>0.1</v>
      </c>
      <c r="G3144">
        <f t="shared" si="49"/>
        <v>489.89</v>
      </c>
      <c r="H3144" t="str">
        <f>VLOOKUP(C3144,[1]products!$A:$B,2,FALSE)</f>
        <v>Electra Townie Original 7D - 2017</v>
      </c>
      <c r="I3144">
        <f>VLOOKUP(C3144,[1]products!$A:$D,4,FALSE)</f>
        <v>3</v>
      </c>
      <c r="J3144" t="str">
        <f>VLOOKUP(I3144,[2]categories!$A$1:$B$8,2,FALSE)</f>
        <v>Cruisers Bicycles</v>
      </c>
    </row>
    <row r="3145" customHeight="1" spans="1:10">
      <c r="A3145" s="1">
        <v>1088</v>
      </c>
      <c r="B3145" s="1">
        <v>2</v>
      </c>
      <c r="C3145" s="1">
        <v>30</v>
      </c>
      <c r="D3145" s="1">
        <v>1</v>
      </c>
      <c r="E3145" s="1">
        <v>999.99</v>
      </c>
      <c r="F3145" s="1">
        <v>0.1</v>
      </c>
      <c r="G3145">
        <f t="shared" si="49"/>
        <v>999.89</v>
      </c>
      <c r="H3145" t="str">
        <f>VLOOKUP(C3145,[1]products!$A:$B,2,FALSE)</f>
        <v>Surly Ice Cream Truck Frameset - 2017</v>
      </c>
      <c r="I3145">
        <f>VLOOKUP(C3145,[1]products!$A:$D,4,FALSE)</f>
        <v>6</v>
      </c>
      <c r="J3145" t="str">
        <f>VLOOKUP(I3145,[2]categories!$A$1:$B$8,2,FALSE)</f>
        <v>Mountain Bikes</v>
      </c>
    </row>
    <row r="3146" customHeight="1" spans="1:10">
      <c r="A3146" s="1">
        <v>1088</v>
      </c>
      <c r="B3146" s="1">
        <v>3</v>
      </c>
      <c r="C3146" s="1">
        <v>33</v>
      </c>
      <c r="D3146" s="1">
        <v>1</v>
      </c>
      <c r="E3146" s="1">
        <v>469.99</v>
      </c>
      <c r="F3146" s="1">
        <v>0.07</v>
      </c>
      <c r="G3146">
        <f t="shared" si="49"/>
        <v>469.92</v>
      </c>
      <c r="H3146" t="str">
        <f>VLOOKUP(C3146,[1]products!$A:$B,2,FALSE)</f>
        <v>Surly Wednesday Frameset - 2017</v>
      </c>
      <c r="I3146">
        <f>VLOOKUP(C3146,[1]products!$A:$D,4,FALSE)</f>
        <v>6</v>
      </c>
      <c r="J3146" t="str">
        <f>VLOOKUP(I3146,[2]categories!$A$1:$B$8,2,FALSE)</f>
        <v>Mountain Bikes</v>
      </c>
    </row>
    <row r="3147" customHeight="1" spans="1:10">
      <c r="A3147" s="1">
        <v>1088</v>
      </c>
      <c r="B3147" s="1">
        <v>4</v>
      </c>
      <c r="C3147" s="1">
        <v>36</v>
      </c>
      <c r="D3147" s="1">
        <v>2</v>
      </c>
      <c r="E3147" s="1">
        <v>832.99</v>
      </c>
      <c r="F3147" s="1">
        <v>0.2</v>
      </c>
      <c r="G3147">
        <f t="shared" si="49"/>
        <v>1665.78</v>
      </c>
      <c r="H3147" t="str">
        <f>VLOOKUP(C3147,[1]products!$A:$B,2,FALSE)</f>
        <v>Surly Troll Frameset - 2017</v>
      </c>
      <c r="I3147">
        <f>VLOOKUP(C3147,[1]products!$A:$D,4,FALSE)</f>
        <v>6</v>
      </c>
      <c r="J3147" t="str">
        <f>VLOOKUP(I3147,[2]categories!$A$1:$B$8,2,FALSE)</f>
        <v>Mountain Bikes</v>
      </c>
    </row>
    <row r="3148" customHeight="1" spans="1:10">
      <c r="A3148" s="1">
        <v>1089</v>
      </c>
      <c r="B3148" s="1">
        <v>1</v>
      </c>
      <c r="C3148" s="1">
        <v>70</v>
      </c>
      <c r="D3148" s="1">
        <v>2</v>
      </c>
      <c r="E3148" s="1">
        <v>659.99</v>
      </c>
      <c r="F3148" s="1">
        <v>0.07</v>
      </c>
      <c r="G3148">
        <f t="shared" si="49"/>
        <v>1319.91</v>
      </c>
      <c r="H3148" t="str">
        <f>VLOOKUP(C3148,[1]products!$A:$B,2,FALSE)</f>
        <v>Electra Amsterdam Original 3i - 2015/2017</v>
      </c>
      <c r="I3148">
        <f>VLOOKUP(C3148,[1]products!$A:$D,4,FALSE)</f>
        <v>3</v>
      </c>
      <c r="J3148" t="str">
        <f>VLOOKUP(I3148,[2]categories!$A$1:$B$8,2,FALSE)</f>
        <v>Cruisers Bicycles</v>
      </c>
    </row>
    <row r="3149" customHeight="1" spans="1:10">
      <c r="A3149" s="1">
        <v>1089</v>
      </c>
      <c r="B3149" s="1">
        <v>2</v>
      </c>
      <c r="C3149" s="1">
        <v>30</v>
      </c>
      <c r="D3149" s="1">
        <v>2</v>
      </c>
      <c r="E3149" s="1">
        <v>999.99</v>
      </c>
      <c r="F3149" s="1">
        <v>0.05</v>
      </c>
      <c r="G3149">
        <f t="shared" si="49"/>
        <v>1999.93</v>
      </c>
      <c r="H3149" t="str">
        <f>VLOOKUP(C3149,[1]products!$A:$B,2,FALSE)</f>
        <v>Surly Ice Cream Truck Frameset - 2017</v>
      </c>
      <c r="I3149">
        <f>VLOOKUP(C3149,[1]products!$A:$D,4,FALSE)</f>
        <v>6</v>
      </c>
      <c r="J3149" t="str">
        <f>VLOOKUP(I3149,[2]categories!$A$1:$B$8,2,FALSE)</f>
        <v>Mountain Bikes</v>
      </c>
    </row>
    <row r="3150" customHeight="1" spans="1:10">
      <c r="A3150" s="1">
        <v>1090</v>
      </c>
      <c r="B3150" s="1">
        <v>1</v>
      </c>
      <c r="C3150" s="1">
        <v>74</v>
      </c>
      <c r="D3150" s="1">
        <v>1</v>
      </c>
      <c r="E3150" s="1">
        <v>439.99</v>
      </c>
      <c r="F3150" s="1">
        <v>0.2</v>
      </c>
      <c r="G3150">
        <f t="shared" si="49"/>
        <v>439.79</v>
      </c>
      <c r="H3150" t="str">
        <f>VLOOKUP(C3150,[1]products!$A:$B,2,FALSE)</f>
        <v>Electra Cruiser Lux 1 - 2017</v>
      </c>
      <c r="I3150">
        <f>VLOOKUP(C3150,[1]products!$A:$D,4,FALSE)</f>
        <v>3</v>
      </c>
      <c r="J3150" t="str">
        <f>VLOOKUP(I3150,[2]categories!$A$1:$B$8,2,FALSE)</f>
        <v>Cruisers Bicycles</v>
      </c>
    </row>
    <row r="3151" customHeight="1" spans="1:10">
      <c r="A3151" s="1">
        <v>1091</v>
      </c>
      <c r="B3151" s="1">
        <v>1</v>
      </c>
      <c r="C3151" s="1">
        <v>97</v>
      </c>
      <c r="D3151" s="1">
        <v>1</v>
      </c>
      <c r="E3151" s="1">
        <v>349.99</v>
      </c>
      <c r="F3151" s="1">
        <v>0.05</v>
      </c>
      <c r="G3151">
        <f t="shared" si="49"/>
        <v>349.94</v>
      </c>
      <c r="H3151" t="str">
        <f>VLOOKUP(C3151,[1]products!$A:$B,2,FALSE)</f>
        <v>Electra Savannah 3i (20-inch) - Girl's - 2017</v>
      </c>
      <c r="I3151">
        <f>VLOOKUP(C3151,[1]products!$A:$D,4,FALSE)</f>
        <v>1</v>
      </c>
      <c r="J3151" t="str">
        <f>VLOOKUP(I3151,[2]categories!$A$1:$B$8,2,FALSE)</f>
        <v>Children Bicycles</v>
      </c>
    </row>
    <row r="3152" customHeight="1" spans="1:10">
      <c r="A3152" s="1">
        <v>1091</v>
      </c>
      <c r="B3152" s="1">
        <v>2</v>
      </c>
      <c r="C3152" s="1">
        <v>56</v>
      </c>
      <c r="D3152" s="1">
        <v>1</v>
      </c>
      <c r="E3152" s="1">
        <v>5499.99</v>
      </c>
      <c r="F3152" s="1">
        <v>0.1</v>
      </c>
      <c r="G3152">
        <f t="shared" si="49"/>
        <v>5499.89</v>
      </c>
      <c r="H3152" t="str">
        <f>VLOOKUP(C3152,[1]products!$A:$B,2,FALSE)</f>
        <v>Trek Domane SLR 6 Disc - 2017</v>
      </c>
      <c r="I3152">
        <f>VLOOKUP(C3152,[1]products!$A:$D,4,FALSE)</f>
        <v>7</v>
      </c>
      <c r="J3152" t="str">
        <f>VLOOKUP(I3152,[2]categories!$A$1:$B$8,2,FALSE)</f>
        <v>Road Bikes</v>
      </c>
    </row>
    <row r="3153" customHeight="1" spans="1:10">
      <c r="A3153" s="1">
        <v>1091</v>
      </c>
      <c r="B3153" s="1">
        <v>3</v>
      </c>
      <c r="C3153" s="1">
        <v>19</v>
      </c>
      <c r="D3153" s="1">
        <v>1</v>
      </c>
      <c r="E3153" s="1">
        <v>449</v>
      </c>
      <c r="F3153" s="1">
        <v>0.1</v>
      </c>
      <c r="G3153">
        <f t="shared" si="49"/>
        <v>448.9</v>
      </c>
      <c r="H3153" t="str">
        <f>VLOOKUP(C3153,[1]products!$A:$B,2,FALSE)</f>
        <v>Pure Cycles William 3-Speed - 2016</v>
      </c>
      <c r="I3153">
        <f>VLOOKUP(C3153,[1]products!$A:$D,4,FALSE)</f>
        <v>3</v>
      </c>
      <c r="J3153" t="str">
        <f>VLOOKUP(I3153,[2]categories!$A$1:$B$8,2,FALSE)</f>
        <v>Cruisers Bicycles</v>
      </c>
    </row>
    <row r="3154" customHeight="1" spans="1:10">
      <c r="A3154" s="1">
        <v>1092</v>
      </c>
      <c r="B3154" s="1">
        <v>1</v>
      </c>
      <c r="C3154" s="1">
        <v>34</v>
      </c>
      <c r="D3154" s="1">
        <v>1</v>
      </c>
      <c r="E3154" s="1">
        <v>469.99</v>
      </c>
      <c r="F3154" s="1">
        <v>0.05</v>
      </c>
      <c r="G3154">
        <f t="shared" si="49"/>
        <v>469.94</v>
      </c>
      <c r="H3154" t="str">
        <f>VLOOKUP(C3154,[1]products!$A:$B,2,FALSE)</f>
        <v>Trek Session DH 27.5 Carbon Frameset - 2017</v>
      </c>
      <c r="I3154">
        <f>VLOOKUP(C3154,[1]products!$A:$D,4,FALSE)</f>
        <v>6</v>
      </c>
      <c r="J3154" t="str">
        <f>VLOOKUP(I3154,[2]categories!$A$1:$B$8,2,FALSE)</f>
        <v>Mountain Bikes</v>
      </c>
    </row>
    <row r="3155" customHeight="1" spans="1:10">
      <c r="A3155" s="1">
        <v>1092</v>
      </c>
      <c r="B3155" s="1">
        <v>2</v>
      </c>
      <c r="C3155" s="1">
        <v>30</v>
      </c>
      <c r="D3155" s="1">
        <v>2</v>
      </c>
      <c r="E3155" s="1">
        <v>999.99</v>
      </c>
      <c r="F3155" s="1">
        <v>0.07</v>
      </c>
      <c r="G3155">
        <f t="shared" si="49"/>
        <v>1999.91</v>
      </c>
      <c r="H3155" t="str">
        <f>VLOOKUP(C3155,[1]products!$A:$B,2,FALSE)</f>
        <v>Surly Ice Cream Truck Frameset - 2017</v>
      </c>
      <c r="I3155">
        <f>VLOOKUP(C3155,[1]products!$A:$D,4,FALSE)</f>
        <v>6</v>
      </c>
      <c r="J3155" t="str">
        <f>VLOOKUP(I3155,[2]categories!$A$1:$B$8,2,FALSE)</f>
        <v>Mountain Bikes</v>
      </c>
    </row>
    <row r="3156" customHeight="1" spans="1:10">
      <c r="A3156" s="1">
        <v>1092</v>
      </c>
      <c r="B3156" s="1">
        <v>3</v>
      </c>
      <c r="C3156" s="1">
        <v>2</v>
      </c>
      <c r="D3156" s="1">
        <v>2</v>
      </c>
      <c r="E3156" s="1">
        <v>749.99</v>
      </c>
      <c r="F3156" s="1">
        <v>0.1</v>
      </c>
      <c r="G3156">
        <f t="shared" si="49"/>
        <v>1499.88</v>
      </c>
      <c r="H3156" t="str">
        <f>VLOOKUP(C3156,[1]products!$A:$B,2,FALSE)</f>
        <v>Ritchey Timberwolf Frameset - 2016</v>
      </c>
      <c r="I3156">
        <f>VLOOKUP(C3156,[1]products!$A:$D,4,FALSE)</f>
        <v>6</v>
      </c>
      <c r="J3156" t="str">
        <f>VLOOKUP(I3156,[2]categories!$A$1:$B$8,2,FALSE)</f>
        <v>Mountain Bikes</v>
      </c>
    </row>
    <row r="3157" customHeight="1" spans="1:10">
      <c r="A3157" s="1">
        <v>1092</v>
      </c>
      <c r="B3157" s="1">
        <v>4</v>
      </c>
      <c r="C3157" s="1">
        <v>18</v>
      </c>
      <c r="D3157" s="1">
        <v>1</v>
      </c>
      <c r="E3157" s="1">
        <v>449</v>
      </c>
      <c r="F3157" s="1">
        <v>0.2</v>
      </c>
      <c r="G3157">
        <f t="shared" si="49"/>
        <v>448.8</v>
      </c>
      <c r="H3157" t="str">
        <f>VLOOKUP(C3157,[1]products!$A:$B,2,FALSE)</f>
        <v>Pure Cycles Western 3-Speed - Women's - 2015/2016</v>
      </c>
      <c r="I3157">
        <f>VLOOKUP(C3157,[1]products!$A:$D,4,FALSE)</f>
        <v>3</v>
      </c>
      <c r="J3157" t="str">
        <f>VLOOKUP(I3157,[2]categories!$A$1:$B$8,2,FALSE)</f>
        <v>Cruisers Bicycles</v>
      </c>
    </row>
    <row r="3158" customHeight="1" spans="1:10">
      <c r="A3158" s="1">
        <v>1093</v>
      </c>
      <c r="B3158" s="1">
        <v>1</v>
      </c>
      <c r="C3158" s="1">
        <v>45</v>
      </c>
      <c r="D3158" s="1">
        <v>2</v>
      </c>
      <c r="E3158" s="1">
        <v>869.99</v>
      </c>
      <c r="F3158" s="1">
        <v>0.07</v>
      </c>
      <c r="G3158">
        <f t="shared" si="49"/>
        <v>1739.91</v>
      </c>
      <c r="H3158" t="str">
        <f>VLOOKUP(C3158,[1]products!$A:$B,2,FALSE)</f>
        <v>Haro SR 1.2 - 2017</v>
      </c>
      <c r="I3158">
        <f>VLOOKUP(C3158,[1]products!$A:$D,4,FALSE)</f>
        <v>6</v>
      </c>
      <c r="J3158" t="str">
        <f>VLOOKUP(I3158,[2]categories!$A$1:$B$8,2,FALSE)</f>
        <v>Mountain Bikes</v>
      </c>
    </row>
    <row r="3159" customHeight="1" spans="1:10">
      <c r="A3159" s="1">
        <v>1093</v>
      </c>
      <c r="B3159" s="1">
        <v>2</v>
      </c>
      <c r="C3159" s="1">
        <v>17</v>
      </c>
      <c r="D3159" s="1">
        <v>2</v>
      </c>
      <c r="E3159" s="1">
        <v>429</v>
      </c>
      <c r="F3159" s="1">
        <v>0.1</v>
      </c>
      <c r="G3159">
        <f t="shared" si="49"/>
        <v>857.9</v>
      </c>
      <c r="H3159" t="str">
        <f>VLOOKUP(C3159,[1]products!$A:$B,2,FALSE)</f>
        <v>Pure Cycles Vine 8-Speed - 2016</v>
      </c>
      <c r="I3159">
        <f>VLOOKUP(C3159,[1]products!$A:$D,4,FALSE)</f>
        <v>3</v>
      </c>
      <c r="J3159" t="str">
        <f>VLOOKUP(I3159,[2]categories!$A$1:$B$8,2,FALSE)</f>
        <v>Cruisers Bicycles</v>
      </c>
    </row>
    <row r="3160" customHeight="1" spans="1:10">
      <c r="A3160" s="1">
        <v>1093</v>
      </c>
      <c r="B3160" s="1">
        <v>3</v>
      </c>
      <c r="C3160" s="1">
        <v>90</v>
      </c>
      <c r="D3160" s="1">
        <v>2</v>
      </c>
      <c r="E3160" s="1">
        <v>209.99</v>
      </c>
      <c r="F3160" s="1">
        <v>0.1</v>
      </c>
      <c r="G3160">
        <f t="shared" si="49"/>
        <v>419.88</v>
      </c>
      <c r="H3160" t="str">
        <f>VLOOKUP(C3160,[1]products!$A:$B,2,FALSE)</f>
        <v>Trek Precaliber 16 Girls - 2017</v>
      </c>
      <c r="I3160">
        <f>VLOOKUP(C3160,[1]products!$A:$D,4,FALSE)</f>
        <v>1</v>
      </c>
      <c r="J3160" t="str">
        <f>VLOOKUP(I3160,[2]categories!$A$1:$B$8,2,FALSE)</f>
        <v>Children Bicycles</v>
      </c>
    </row>
    <row r="3161" customHeight="1" spans="1:10">
      <c r="A3161" s="1">
        <v>1094</v>
      </c>
      <c r="B3161" s="1">
        <v>1</v>
      </c>
      <c r="C3161" s="1">
        <v>71</v>
      </c>
      <c r="D3161" s="1">
        <v>1</v>
      </c>
      <c r="E3161" s="1">
        <v>416.99</v>
      </c>
      <c r="F3161" s="1">
        <v>0.1</v>
      </c>
      <c r="G3161">
        <f t="shared" si="49"/>
        <v>416.89</v>
      </c>
      <c r="H3161" t="str">
        <f>VLOOKUP(C3161,[1]products!$A:$B,2,FALSE)</f>
        <v>Sun Bicycles Atlas X-Type - 2017</v>
      </c>
      <c r="I3161">
        <f>VLOOKUP(C3161,[1]products!$A:$D,4,FALSE)</f>
        <v>3</v>
      </c>
      <c r="J3161" t="str">
        <f>VLOOKUP(I3161,[2]categories!$A$1:$B$8,2,FALSE)</f>
        <v>Cruisers Bicycles</v>
      </c>
    </row>
    <row r="3162" customHeight="1" spans="1:10">
      <c r="A3162" s="1">
        <v>1094</v>
      </c>
      <c r="B3162" s="1">
        <v>2</v>
      </c>
      <c r="C3162" s="1">
        <v>11</v>
      </c>
      <c r="D3162" s="1">
        <v>1</v>
      </c>
      <c r="E3162" s="1">
        <v>1680.99</v>
      </c>
      <c r="F3162" s="1">
        <v>0.1</v>
      </c>
      <c r="G3162">
        <f t="shared" si="49"/>
        <v>1680.89</v>
      </c>
      <c r="H3162" t="str">
        <f>VLOOKUP(C3162,[1]products!$A:$B,2,FALSE)</f>
        <v>Surly Straggler 650b - 2016</v>
      </c>
      <c r="I3162">
        <f>VLOOKUP(C3162,[1]products!$A:$D,4,FALSE)</f>
        <v>4</v>
      </c>
      <c r="J3162" t="str">
        <f>VLOOKUP(I3162,[2]categories!$A$1:$B$8,2,FALSE)</f>
        <v>Cyclocross Bicycles</v>
      </c>
    </row>
    <row r="3163" customHeight="1" spans="1:10">
      <c r="A3163" s="1">
        <v>1094</v>
      </c>
      <c r="B3163" s="1">
        <v>3</v>
      </c>
      <c r="C3163" s="1">
        <v>24</v>
      </c>
      <c r="D3163" s="1">
        <v>1</v>
      </c>
      <c r="E3163" s="1">
        <v>549.99</v>
      </c>
      <c r="F3163" s="1">
        <v>0.1</v>
      </c>
      <c r="G3163">
        <f t="shared" si="49"/>
        <v>549.89</v>
      </c>
      <c r="H3163" t="str">
        <f>VLOOKUP(C3163,[1]products!$A:$B,2,FALSE)</f>
        <v>Electra Townie Original 21D - 2016</v>
      </c>
      <c r="I3163">
        <f>VLOOKUP(C3163,[1]products!$A:$D,4,FALSE)</f>
        <v>2</v>
      </c>
      <c r="J3163" t="str">
        <f>VLOOKUP(I3163,[2]categories!$A$1:$B$8,2,FALSE)</f>
        <v>Comfort Bicycles</v>
      </c>
    </row>
    <row r="3164" customHeight="1" spans="1:10">
      <c r="A3164" s="1">
        <v>1094</v>
      </c>
      <c r="B3164" s="1">
        <v>4</v>
      </c>
      <c r="C3164" s="1">
        <v>107</v>
      </c>
      <c r="D3164" s="1">
        <v>1</v>
      </c>
      <c r="E3164" s="1">
        <v>416.99</v>
      </c>
      <c r="F3164" s="1">
        <v>0.2</v>
      </c>
      <c r="G3164">
        <f t="shared" si="49"/>
        <v>416.79</v>
      </c>
      <c r="H3164" t="str">
        <f>VLOOKUP(C3164,[1]products!$A:$B,2,FALSE)</f>
        <v>Sun Bicycles Cruz 7 - 2017</v>
      </c>
      <c r="I3164">
        <f>VLOOKUP(C3164,[1]products!$A:$D,4,FALSE)</f>
        <v>2</v>
      </c>
      <c r="J3164" t="str">
        <f>VLOOKUP(I3164,[2]categories!$A$1:$B$8,2,FALSE)</f>
        <v>Comfort Bicycles</v>
      </c>
    </row>
    <row r="3165" customHeight="1" spans="1:10">
      <c r="A3165" s="1">
        <v>1095</v>
      </c>
      <c r="B3165" s="1">
        <v>1</v>
      </c>
      <c r="C3165" s="1">
        <v>78</v>
      </c>
      <c r="D3165" s="1">
        <v>2</v>
      </c>
      <c r="E3165" s="1">
        <v>647.99</v>
      </c>
      <c r="F3165" s="1">
        <v>0.05</v>
      </c>
      <c r="G3165">
        <f t="shared" si="49"/>
        <v>1295.93</v>
      </c>
      <c r="H3165" t="str">
        <f>VLOOKUP(C3165,[1]products!$A:$B,2,FALSE)</f>
        <v>Sun Bicycles Biscayne Tandem CB - 2017</v>
      </c>
      <c r="I3165">
        <f>VLOOKUP(C3165,[1]products!$A:$D,4,FALSE)</f>
        <v>3</v>
      </c>
      <c r="J3165" t="str">
        <f>VLOOKUP(I3165,[2]categories!$A$1:$B$8,2,FALSE)</f>
        <v>Cruisers Bicycles</v>
      </c>
    </row>
    <row r="3166" customHeight="1" spans="1:10">
      <c r="A3166" s="1">
        <v>1095</v>
      </c>
      <c r="B3166" s="1">
        <v>2</v>
      </c>
      <c r="C3166" s="1">
        <v>3</v>
      </c>
      <c r="D3166" s="1">
        <v>2</v>
      </c>
      <c r="E3166" s="1">
        <v>999.99</v>
      </c>
      <c r="F3166" s="1">
        <v>0.2</v>
      </c>
      <c r="G3166">
        <f t="shared" si="49"/>
        <v>1999.78</v>
      </c>
      <c r="H3166" t="str">
        <f>VLOOKUP(C3166,[1]products!$A:$B,2,FALSE)</f>
        <v>Surly Wednesday Frameset - 2016</v>
      </c>
      <c r="I3166">
        <f>VLOOKUP(C3166,[1]products!$A:$D,4,FALSE)</f>
        <v>6</v>
      </c>
      <c r="J3166" t="str">
        <f>VLOOKUP(I3166,[2]categories!$A$1:$B$8,2,FALSE)</f>
        <v>Mountain Bikes</v>
      </c>
    </row>
    <row r="3167" customHeight="1" spans="1:10">
      <c r="A3167" s="1">
        <v>1095</v>
      </c>
      <c r="B3167" s="1">
        <v>3</v>
      </c>
      <c r="C3167" s="1">
        <v>15</v>
      </c>
      <c r="D3167" s="1">
        <v>2</v>
      </c>
      <c r="E3167" s="1">
        <v>529.99</v>
      </c>
      <c r="F3167" s="1">
        <v>0.1</v>
      </c>
      <c r="G3167">
        <f t="shared" si="49"/>
        <v>1059.88</v>
      </c>
      <c r="H3167" t="str">
        <f>VLOOKUP(C3167,[1]products!$A:$B,2,FALSE)</f>
        <v>Electra Moto 1 - 2016</v>
      </c>
      <c r="I3167">
        <f>VLOOKUP(C3167,[1]products!$A:$D,4,FALSE)</f>
        <v>3</v>
      </c>
      <c r="J3167" t="str">
        <f>VLOOKUP(I3167,[2]categories!$A$1:$B$8,2,FALSE)</f>
        <v>Cruisers Bicycles</v>
      </c>
    </row>
    <row r="3168" customHeight="1" spans="1:10">
      <c r="A3168" s="1">
        <v>1095</v>
      </c>
      <c r="B3168" s="1">
        <v>4</v>
      </c>
      <c r="C3168" s="1">
        <v>31</v>
      </c>
      <c r="D3168" s="1">
        <v>1</v>
      </c>
      <c r="E3168" s="1">
        <v>1632.99</v>
      </c>
      <c r="F3168" s="1">
        <v>0.2</v>
      </c>
      <c r="G3168">
        <f t="shared" si="49"/>
        <v>1632.79</v>
      </c>
      <c r="H3168" t="str">
        <f>VLOOKUP(C3168,[1]products!$A:$B,2,FALSE)</f>
        <v>Surly Wednesday - 2017</v>
      </c>
      <c r="I3168">
        <f>VLOOKUP(C3168,[1]products!$A:$D,4,FALSE)</f>
        <v>6</v>
      </c>
      <c r="J3168" t="str">
        <f>VLOOKUP(I3168,[2]categories!$A$1:$B$8,2,FALSE)</f>
        <v>Mountain Bikes</v>
      </c>
    </row>
    <row r="3169" customHeight="1" spans="1:10">
      <c r="A3169" s="1">
        <v>1095</v>
      </c>
      <c r="B3169" s="1">
        <v>5</v>
      </c>
      <c r="C3169" s="1">
        <v>50</v>
      </c>
      <c r="D3169" s="1">
        <v>2</v>
      </c>
      <c r="E3169" s="1">
        <v>5999.99</v>
      </c>
      <c r="F3169" s="1">
        <v>0.05</v>
      </c>
      <c r="G3169">
        <f t="shared" si="49"/>
        <v>11999.93</v>
      </c>
      <c r="H3169" t="str">
        <f>VLOOKUP(C3169,[1]products!$A:$B,2,FALSE)</f>
        <v>Trek Silque SLR 7 Women's - 2017</v>
      </c>
      <c r="I3169">
        <f>VLOOKUP(C3169,[1]products!$A:$D,4,FALSE)</f>
        <v>7</v>
      </c>
      <c r="J3169" t="str">
        <f>VLOOKUP(I3169,[2]categories!$A$1:$B$8,2,FALSE)</f>
        <v>Road Bikes</v>
      </c>
    </row>
    <row r="3170" customHeight="1" spans="1:10">
      <c r="A3170" s="1">
        <v>1096</v>
      </c>
      <c r="B3170" s="1">
        <v>1</v>
      </c>
      <c r="C3170" s="1">
        <v>11</v>
      </c>
      <c r="D3170" s="1">
        <v>1</v>
      </c>
      <c r="E3170" s="1">
        <v>1680.99</v>
      </c>
      <c r="F3170" s="1">
        <v>0.1</v>
      </c>
      <c r="G3170">
        <f t="shared" si="49"/>
        <v>1680.89</v>
      </c>
      <c r="H3170" t="str">
        <f>VLOOKUP(C3170,[1]products!$A:$B,2,FALSE)</f>
        <v>Surly Straggler 650b - 2016</v>
      </c>
      <c r="I3170">
        <f>VLOOKUP(C3170,[1]products!$A:$D,4,FALSE)</f>
        <v>4</v>
      </c>
      <c r="J3170" t="str">
        <f>VLOOKUP(I3170,[2]categories!$A$1:$B$8,2,FALSE)</f>
        <v>Cyclocross Bicycles</v>
      </c>
    </row>
    <row r="3171" customHeight="1" spans="1:10">
      <c r="A3171" s="1">
        <v>1097</v>
      </c>
      <c r="B3171" s="1">
        <v>1</v>
      </c>
      <c r="C3171" s="1">
        <v>99</v>
      </c>
      <c r="D3171" s="1">
        <v>1</v>
      </c>
      <c r="E3171" s="1">
        <v>299.99</v>
      </c>
      <c r="F3171" s="1">
        <v>0.05</v>
      </c>
      <c r="G3171">
        <f t="shared" si="49"/>
        <v>299.94</v>
      </c>
      <c r="H3171" t="str">
        <f>VLOOKUP(C3171,[1]products!$A:$B,2,FALSE)</f>
        <v>Electra Sugar Skulls 1 (20-inch) - Girl's - 2017</v>
      </c>
      <c r="I3171">
        <f>VLOOKUP(C3171,[1]products!$A:$D,4,FALSE)</f>
        <v>1</v>
      </c>
      <c r="J3171" t="str">
        <f>VLOOKUP(I3171,[2]categories!$A$1:$B$8,2,FALSE)</f>
        <v>Children Bicycles</v>
      </c>
    </row>
    <row r="3172" customHeight="1" spans="1:10">
      <c r="A3172" s="1">
        <v>1097</v>
      </c>
      <c r="B3172" s="1">
        <v>2</v>
      </c>
      <c r="C3172" s="1">
        <v>106</v>
      </c>
      <c r="D3172" s="1">
        <v>2</v>
      </c>
      <c r="E3172" s="1">
        <v>449.99</v>
      </c>
      <c r="F3172" s="1">
        <v>0.07</v>
      </c>
      <c r="G3172">
        <f t="shared" si="49"/>
        <v>899.91</v>
      </c>
      <c r="H3172" t="str">
        <f>VLOOKUP(C3172,[1]products!$A:$B,2,FALSE)</f>
        <v>Sun Bicycles Cruz 3 - 2017</v>
      </c>
      <c r="I3172">
        <f>VLOOKUP(C3172,[1]products!$A:$D,4,FALSE)</f>
        <v>2</v>
      </c>
      <c r="J3172" t="str">
        <f>VLOOKUP(I3172,[2]categories!$A$1:$B$8,2,FALSE)</f>
        <v>Comfort Bicycles</v>
      </c>
    </row>
    <row r="3173" customHeight="1" spans="1:10">
      <c r="A3173" s="1">
        <v>1097</v>
      </c>
      <c r="B3173" s="1">
        <v>3</v>
      </c>
      <c r="C3173" s="1">
        <v>98</v>
      </c>
      <c r="D3173" s="1">
        <v>2</v>
      </c>
      <c r="E3173" s="1">
        <v>489.99</v>
      </c>
      <c r="F3173" s="1">
        <v>0.07</v>
      </c>
      <c r="G3173">
        <f t="shared" si="49"/>
        <v>979.91</v>
      </c>
      <c r="H3173" t="str">
        <f>VLOOKUP(C3173,[1]products!$A:$B,2,FALSE)</f>
        <v>Electra Straight 8 3i (20-inch) - Boy's - 2017</v>
      </c>
      <c r="I3173">
        <f>VLOOKUP(C3173,[1]products!$A:$D,4,FALSE)</f>
        <v>1</v>
      </c>
      <c r="J3173" t="str">
        <f>VLOOKUP(I3173,[2]categories!$A$1:$B$8,2,FALSE)</f>
        <v>Children Bicycles</v>
      </c>
    </row>
    <row r="3174" customHeight="1" spans="1:10">
      <c r="A3174" s="1">
        <v>1097</v>
      </c>
      <c r="B3174" s="1">
        <v>4</v>
      </c>
      <c r="C3174" s="1">
        <v>19</v>
      </c>
      <c r="D3174" s="1">
        <v>1</v>
      </c>
      <c r="E3174" s="1">
        <v>449</v>
      </c>
      <c r="F3174" s="1">
        <v>0.2</v>
      </c>
      <c r="G3174">
        <f t="shared" si="49"/>
        <v>448.8</v>
      </c>
      <c r="H3174" t="str">
        <f>VLOOKUP(C3174,[1]products!$A:$B,2,FALSE)</f>
        <v>Pure Cycles William 3-Speed - 2016</v>
      </c>
      <c r="I3174">
        <f>VLOOKUP(C3174,[1]products!$A:$D,4,FALSE)</f>
        <v>3</v>
      </c>
      <c r="J3174" t="str">
        <f>VLOOKUP(I3174,[2]categories!$A$1:$B$8,2,FALSE)</f>
        <v>Cruisers Bicycles</v>
      </c>
    </row>
    <row r="3175" customHeight="1" spans="1:10">
      <c r="A3175" s="1">
        <v>1097</v>
      </c>
      <c r="B3175" s="1">
        <v>5</v>
      </c>
      <c r="C3175" s="1">
        <v>35</v>
      </c>
      <c r="D3175" s="1">
        <v>2</v>
      </c>
      <c r="E3175" s="1">
        <v>832.99</v>
      </c>
      <c r="F3175" s="1">
        <v>0.05</v>
      </c>
      <c r="G3175">
        <f t="shared" si="49"/>
        <v>1665.93</v>
      </c>
      <c r="H3175" t="str">
        <f>VLOOKUP(C3175,[1]products!$A:$B,2,FALSE)</f>
        <v>Sun Bicycles Spider 3i - 2017</v>
      </c>
      <c r="I3175">
        <f>VLOOKUP(C3175,[1]products!$A:$D,4,FALSE)</f>
        <v>6</v>
      </c>
      <c r="J3175" t="str">
        <f>VLOOKUP(I3175,[2]categories!$A$1:$B$8,2,FALSE)</f>
        <v>Mountain Bikes</v>
      </c>
    </row>
    <row r="3176" customHeight="1" spans="1:10">
      <c r="A3176" s="1">
        <v>1098</v>
      </c>
      <c r="B3176" s="1">
        <v>1</v>
      </c>
      <c r="C3176" s="1">
        <v>88</v>
      </c>
      <c r="D3176" s="1">
        <v>1</v>
      </c>
      <c r="E3176" s="1">
        <v>189.99</v>
      </c>
      <c r="F3176" s="1">
        <v>0.1</v>
      </c>
      <c r="G3176">
        <f t="shared" si="49"/>
        <v>189.89</v>
      </c>
      <c r="H3176" t="str">
        <f>VLOOKUP(C3176,[1]products!$A:$B,2,FALSE)</f>
        <v>Trek Precaliber 12 Girls - 2017</v>
      </c>
      <c r="I3176">
        <f>VLOOKUP(C3176,[1]products!$A:$D,4,FALSE)</f>
        <v>1</v>
      </c>
      <c r="J3176" t="str">
        <f>VLOOKUP(I3176,[2]categories!$A$1:$B$8,2,FALSE)</f>
        <v>Children Bicycles</v>
      </c>
    </row>
    <row r="3177" customHeight="1" spans="1:10">
      <c r="A3177" s="1">
        <v>1099</v>
      </c>
      <c r="B3177" s="1">
        <v>1</v>
      </c>
      <c r="C3177" s="1">
        <v>64</v>
      </c>
      <c r="D3177" s="1">
        <v>1</v>
      </c>
      <c r="E3177" s="1">
        <v>489.99</v>
      </c>
      <c r="F3177" s="1">
        <v>0.1</v>
      </c>
      <c r="G3177">
        <f t="shared" si="49"/>
        <v>489.89</v>
      </c>
      <c r="H3177" t="str">
        <f>VLOOKUP(C3177,[1]products!$A:$B,2,FALSE)</f>
        <v>Electra Townie Original 7D - 2017</v>
      </c>
      <c r="I3177">
        <f>VLOOKUP(C3177,[1]products!$A:$D,4,FALSE)</f>
        <v>3</v>
      </c>
      <c r="J3177" t="str">
        <f>VLOOKUP(I3177,[2]categories!$A$1:$B$8,2,FALSE)</f>
        <v>Cruisers Bicycles</v>
      </c>
    </row>
    <row r="3178" customHeight="1" spans="1:10">
      <c r="A3178" s="1">
        <v>1099</v>
      </c>
      <c r="B3178" s="1">
        <v>2</v>
      </c>
      <c r="C3178" s="1">
        <v>13</v>
      </c>
      <c r="D3178" s="1">
        <v>2</v>
      </c>
      <c r="E3178" s="1">
        <v>269.99</v>
      </c>
      <c r="F3178" s="1">
        <v>0.05</v>
      </c>
      <c r="G3178">
        <f t="shared" si="49"/>
        <v>539.93</v>
      </c>
      <c r="H3178" t="str">
        <f>VLOOKUP(C3178,[1]products!$A:$B,2,FALSE)</f>
        <v>Electra Cruiser 1 (24-Inch) - 2016</v>
      </c>
      <c r="I3178">
        <f>VLOOKUP(C3178,[1]products!$A:$D,4,FALSE)</f>
        <v>3</v>
      </c>
      <c r="J3178" t="str">
        <f>VLOOKUP(I3178,[2]categories!$A$1:$B$8,2,FALSE)</f>
        <v>Cruisers Bicycles</v>
      </c>
    </row>
    <row r="3179" customHeight="1" spans="1:10">
      <c r="A3179" s="1">
        <v>1099</v>
      </c>
      <c r="B3179" s="1">
        <v>3</v>
      </c>
      <c r="C3179" s="1">
        <v>46</v>
      </c>
      <c r="D3179" s="1">
        <v>1</v>
      </c>
      <c r="E3179" s="1">
        <v>1409.99</v>
      </c>
      <c r="F3179" s="1">
        <v>0.07</v>
      </c>
      <c r="G3179">
        <f t="shared" si="49"/>
        <v>1409.92</v>
      </c>
      <c r="H3179" t="str">
        <f>VLOOKUP(C3179,[1]products!$A:$B,2,FALSE)</f>
        <v>Haro SR 1.3 - 2017</v>
      </c>
      <c r="I3179">
        <f>VLOOKUP(C3179,[1]products!$A:$D,4,FALSE)</f>
        <v>6</v>
      </c>
      <c r="J3179" t="str">
        <f>VLOOKUP(I3179,[2]categories!$A$1:$B$8,2,FALSE)</f>
        <v>Mountain Bikes</v>
      </c>
    </row>
    <row r="3180" customHeight="1" spans="1:10">
      <c r="A3180" s="1">
        <v>1099</v>
      </c>
      <c r="B3180" s="1">
        <v>4</v>
      </c>
      <c r="C3180" s="1">
        <v>89</v>
      </c>
      <c r="D3180" s="1">
        <v>2</v>
      </c>
      <c r="E3180" s="1">
        <v>209.99</v>
      </c>
      <c r="F3180" s="1">
        <v>0.1</v>
      </c>
      <c r="G3180">
        <f t="shared" si="49"/>
        <v>419.88</v>
      </c>
      <c r="H3180" t="str">
        <f>VLOOKUP(C3180,[1]products!$A:$B,2,FALSE)</f>
        <v>Trek Precaliber 16 Boys - 2017</v>
      </c>
      <c r="I3180">
        <f>VLOOKUP(C3180,[1]products!$A:$D,4,FALSE)</f>
        <v>1</v>
      </c>
      <c r="J3180" t="str">
        <f>VLOOKUP(I3180,[2]categories!$A$1:$B$8,2,FALSE)</f>
        <v>Children Bicycles</v>
      </c>
    </row>
    <row r="3181" customHeight="1" spans="1:10">
      <c r="A3181" s="1">
        <v>1100</v>
      </c>
      <c r="B3181" s="1">
        <v>1</v>
      </c>
      <c r="C3181" s="1">
        <v>12</v>
      </c>
      <c r="D3181" s="1">
        <v>1</v>
      </c>
      <c r="E3181" s="1">
        <v>549.99</v>
      </c>
      <c r="F3181" s="1">
        <v>0.05</v>
      </c>
      <c r="G3181">
        <f t="shared" si="49"/>
        <v>549.94</v>
      </c>
      <c r="H3181" t="str">
        <f>VLOOKUP(C3181,[1]products!$A:$B,2,FALSE)</f>
        <v>Electra Townie Original 21D - 2016</v>
      </c>
      <c r="I3181">
        <f>VLOOKUP(C3181,[1]products!$A:$D,4,FALSE)</f>
        <v>3</v>
      </c>
      <c r="J3181" t="str">
        <f>VLOOKUP(I3181,[2]categories!$A$1:$B$8,2,FALSE)</f>
        <v>Cruisers Bicycles</v>
      </c>
    </row>
    <row r="3182" customHeight="1" spans="1:10">
      <c r="A3182" s="1">
        <v>1100</v>
      </c>
      <c r="B3182" s="1">
        <v>2</v>
      </c>
      <c r="C3182" s="1">
        <v>9</v>
      </c>
      <c r="D3182" s="1">
        <v>2</v>
      </c>
      <c r="E3182" s="1">
        <v>2999.99</v>
      </c>
      <c r="F3182" s="1">
        <v>0.1</v>
      </c>
      <c r="G3182">
        <f t="shared" si="49"/>
        <v>5999.88</v>
      </c>
      <c r="H3182" t="str">
        <f>VLOOKUP(C3182,[1]products!$A:$B,2,FALSE)</f>
        <v>Trek Conduit+ - 2016</v>
      </c>
      <c r="I3182">
        <f>VLOOKUP(C3182,[1]products!$A:$D,4,FALSE)</f>
        <v>5</v>
      </c>
      <c r="J3182" t="str">
        <f>VLOOKUP(I3182,[2]categories!$A$1:$B$8,2,FALSE)</f>
        <v>Electric Bikes</v>
      </c>
    </row>
    <row r="3183" customHeight="1" spans="1:10">
      <c r="A3183" s="1">
        <v>1101</v>
      </c>
      <c r="B3183" s="1">
        <v>1</v>
      </c>
      <c r="C3183" s="1">
        <v>105</v>
      </c>
      <c r="D3183" s="1">
        <v>1</v>
      </c>
      <c r="E3183" s="1">
        <v>533.99</v>
      </c>
      <c r="F3183" s="1">
        <v>0.07</v>
      </c>
      <c r="G3183">
        <f t="shared" si="49"/>
        <v>533.92</v>
      </c>
      <c r="H3183" t="str">
        <f>VLOOKUP(C3183,[1]products!$A:$B,2,FALSE)</f>
        <v>Sun Bicycles Streamway 7 - 2017</v>
      </c>
      <c r="I3183">
        <f>VLOOKUP(C3183,[1]products!$A:$D,4,FALSE)</f>
        <v>2</v>
      </c>
      <c r="J3183" t="str">
        <f>VLOOKUP(I3183,[2]categories!$A$1:$B$8,2,FALSE)</f>
        <v>Comfort Bicycles</v>
      </c>
    </row>
    <row r="3184" customHeight="1" spans="1:10">
      <c r="A3184" s="1">
        <v>1101</v>
      </c>
      <c r="B3184" s="1">
        <v>2</v>
      </c>
      <c r="C3184" s="1">
        <v>51</v>
      </c>
      <c r="D3184" s="1">
        <v>1</v>
      </c>
      <c r="E3184" s="1">
        <v>6499.99</v>
      </c>
      <c r="F3184" s="1">
        <v>0.05</v>
      </c>
      <c r="G3184">
        <f t="shared" si="49"/>
        <v>6499.94</v>
      </c>
      <c r="H3184" t="str">
        <f>VLOOKUP(C3184,[1]products!$A:$B,2,FALSE)</f>
        <v>Trek Silque SLR 8 Women's - 2017</v>
      </c>
      <c r="I3184">
        <f>VLOOKUP(C3184,[1]products!$A:$D,4,FALSE)</f>
        <v>7</v>
      </c>
      <c r="J3184" t="str">
        <f>VLOOKUP(I3184,[2]categories!$A$1:$B$8,2,FALSE)</f>
        <v>Road Bikes</v>
      </c>
    </row>
    <row r="3185" customHeight="1" spans="1:10">
      <c r="A3185" s="1">
        <v>1102</v>
      </c>
      <c r="B3185" s="1">
        <v>1</v>
      </c>
      <c r="C3185" s="1">
        <v>91</v>
      </c>
      <c r="D3185" s="1">
        <v>1</v>
      </c>
      <c r="E3185" s="1">
        <v>349.99</v>
      </c>
      <c r="F3185" s="1">
        <v>0.07</v>
      </c>
      <c r="G3185">
        <f t="shared" si="49"/>
        <v>349.92</v>
      </c>
      <c r="H3185" t="str">
        <f>VLOOKUP(C3185,[1]products!$A:$B,2,FALSE)</f>
        <v>Trek Precaliber 24 (21-Speed) - Girls - 2017</v>
      </c>
      <c r="I3185">
        <f>VLOOKUP(C3185,[1]products!$A:$D,4,FALSE)</f>
        <v>1</v>
      </c>
      <c r="J3185" t="str">
        <f>VLOOKUP(I3185,[2]categories!$A$1:$B$8,2,FALSE)</f>
        <v>Children Bicycles</v>
      </c>
    </row>
    <row r="3186" customHeight="1" spans="1:10">
      <c r="A3186" s="1">
        <v>1103</v>
      </c>
      <c r="B3186" s="1">
        <v>1</v>
      </c>
      <c r="C3186" s="1">
        <v>106</v>
      </c>
      <c r="D3186" s="1">
        <v>1</v>
      </c>
      <c r="E3186" s="1">
        <v>449.99</v>
      </c>
      <c r="F3186" s="1">
        <v>0.2</v>
      </c>
      <c r="G3186">
        <f t="shared" si="49"/>
        <v>449.79</v>
      </c>
      <c r="H3186" t="str">
        <f>VLOOKUP(C3186,[1]products!$A:$B,2,FALSE)</f>
        <v>Sun Bicycles Cruz 3 - 2017</v>
      </c>
      <c r="I3186">
        <f>VLOOKUP(C3186,[1]products!$A:$D,4,FALSE)</f>
        <v>2</v>
      </c>
      <c r="J3186" t="str">
        <f>VLOOKUP(I3186,[2]categories!$A$1:$B$8,2,FALSE)</f>
        <v>Comfort Bicycles</v>
      </c>
    </row>
    <row r="3187" customHeight="1" spans="1:10">
      <c r="A3187" s="1">
        <v>1103</v>
      </c>
      <c r="B3187" s="1">
        <v>2</v>
      </c>
      <c r="C3187" s="1">
        <v>46</v>
      </c>
      <c r="D3187" s="1">
        <v>2</v>
      </c>
      <c r="E3187" s="1">
        <v>1409.99</v>
      </c>
      <c r="F3187" s="1">
        <v>0.2</v>
      </c>
      <c r="G3187">
        <f t="shared" si="49"/>
        <v>2819.78</v>
      </c>
      <c r="H3187" t="str">
        <f>VLOOKUP(C3187,[1]products!$A:$B,2,FALSE)</f>
        <v>Haro SR 1.3 - 2017</v>
      </c>
      <c r="I3187">
        <f>VLOOKUP(C3187,[1]products!$A:$D,4,FALSE)</f>
        <v>6</v>
      </c>
      <c r="J3187" t="str">
        <f>VLOOKUP(I3187,[2]categories!$A$1:$B$8,2,FALSE)</f>
        <v>Mountain Bikes</v>
      </c>
    </row>
    <row r="3188" customHeight="1" spans="1:10">
      <c r="A3188" s="1">
        <v>1104</v>
      </c>
      <c r="B3188" s="1">
        <v>1</v>
      </c>
      <c r="C3188" s="1">
        <v>17</v>
      </c>
      <c r="D3188" s="1">
        <v>1</v>
      </c>
      <c r="E3188" s="1">
        <v>429</v>
      </c>
      <c r="F3188" s="1">
        <v>0.1</v>
      </c>
      <c r="G3188">
        <f t="shared" si="49"/>
        <v>428.9</v>
      </c>
      <c r="H3188" t="str">
        <f>VLOOKUP(C3188,[1]products!$A:$B,2,FALSE)</f>
        <v>Pure Cycles Vine 8-Speed - 2016</v>
      </c>
      <c r="I3188">
        <f>VLOOKUP(C3188,[1]products!$A:$D,4,FALSE)</f>
        <v>3</v>
      </c>
      <c r="J3188" t="str">
        <f>VLOOKUP(I3188,[2]categories!$A$1:$B$8,2,FALSE)</f>
        <v>Cruisers Bicycles</v>
      </c>
    </row>
    <row r="3189" customHeight="1" spans="1:10">
      <c r="A3189" s="1">
        <v>1104</v>
      </c>
      <c r="B3189" s="1">
        <v>2</v>
      </c>
      <c r="C3189" s="1">
        <v>70</v>
      </c>
      <c r="D3189" s="1">
        <v>2</v>
      </c>
      <c r="E3189" s="1">
        <v>659.99</v>
      </c>
      <c r="F3189" s="1">
        <v>0.1</v>
      </c>
      <c r="G3189">
        <f t="shared" si="49"/>
        <v>1319.88</v>
      </c>
      <c r="H3189" t="str">
        <f>VLOOKUP(C3189,[1]products!$A:$B,2,FALSE)</f>
        <v>Electra Amsterdam Original 3i - 2015/2017</v>
      </c>
      <c r="I3189">
        <f>VLOOKUP(C3189,[1]products!$A:$D,4,FALSE)</f>
        <v>3</v>
      </c>
      <c r="J3189" t="str">
        <f>VLOOKUP(I3189,[2]categories!$A$1:$B$8,2,FALSE)</f>
        <v>Cruisers Bicycles</v>
      </c>
    </row>
    <row r="3190" customHeight="1" spans="1:10">
      <c r="A3190" s="1">
        <v>1104</v>
      </c>
      <c r="B3190" s="1">
        <v>3</v>
      </c>
      <c r="C3190" s="1">
        <v>43</v>
      </c>
      <c r="D3190" s="1">
        <v>1</v>
      </c>
      <c r="E3190" s="1">
        <v>5299.99</v>
      </c>
      <c r="F3190" s="1">
        <v>0.07</v>
      </c>
      <c r="G3190">
        <f t="shared" si="49"/>
        <v>5299.92</v>
      </c>
      <c r="H3190" t="str">
        <f>VLOOKUP(C3190,[1]products!$A:$B,2,FALSE)</f>
        <v>Trek Fuel EX 9.8 27.5 Plus - 2017</v>
      </c>
      <c r="I3190">
        <f>VLOOKUP(C3190,[1]products!$A:$D,4,FALSE)</f>
        <v>6</v>
      </c>
      <c r="J3190" t="str">
        <f>VLOOKUP(I3190,[2]categories!$A$1:$B$8,2,FALSE)</f>
        <v>Mountain Bikes</v>
      </c>
    </row>
    <row r="3191" customHeight="1" spans="1:10">
      <c r="A3191" s="1">
        <v>1104</v>
      </c>
      <c r="B3191" s="1">
        <v>4</v>
      </c>
      <c r="C3191" s="1">
        <v>80</v>
      </c>
      <c r="D3191" s="1">
        <v>1</v>
      </c>
      <c r="E3191" s="1">
        <v>761.99</v>
      </c>
      <c r="F3191" s="1">
        <v>0.07</v>
      </c>
      <c r="G3191">
        <f t="shared" si="49"/>
        <v>761.92</v>
      </c>
      <c r="H3191" t="str">
        <f>VLOOKUP(C3191,[1]products!$A:$B,2,FALSE)</f>
        <v>Sun Bicycles Brickell Tandem CB - 2017</v>
      </c>
      <c r="I3191">
        <f>VLOOKUP(C3191,[1]products!$A:$D,4,FALSE)</f>
        <v>3</v>
      </c>
      <c r="J3191" t="str">
        <f>VLOOKUP(I3191,[2]categories!$A$1:$B$8,2,FALSE)</f>
        <v>Cruisers Bicycles</v>
      </c>
    </row>
    <row r="3192" customHeight="1" spans="1:10">
      <c r="A3192" s="1">
        <v>1105</v>
      </c>
      <c r="B3192" s="1">
        <v>1</v>
      </c>
      <c r="C3192" s="1">
        <v>60</v>
      </c>
      <c r="D3192" s="1">
        <v>1</v>
      </c>
      <c r="E3192" s="1">
        <v>1559.99</v>
      </c>
      <c r="F3192" s="1">
        <v>0.05</v>
      </c>
      <c r="G3192">
        <f t="shared" si="49"/>
        <v>1559.94</v>
      </c>
      <c r="H3192" t="str">
        <f>VLOOKUP(C3192,[1]products!$A:$B,2,FALSE)</f>
        <v>Sun Bicycles ElectroLite - 2017</v>
      </c>
      <c r="I3192">
        <f>VLOOKUP(C3192,[1]products!$A:$D,4,FALSE)</f>
        <v>5</v>
      </c>
      <c r="J3192" t="str">
        <f>VLOOKUP(I3192,[2]categories!$A$1:$B$8,2,FALSE)</f>
        <v>Electric Bikes</v>
      </c>
    </row>
    <row r="3193" customHeight="1" spans="1:10">
      <c r="A3193" s="1">
        <v>1105</v>
      </c>
      <c r="B3193" s="1">
        <v>2</v>
      </c>
      <c r="C3193" s="1">
        <v>56</v>
      </c>
      <c r="D3193" s="1">
        <v>2</v>
      </c>
      <c r="E3193" s="1">
        <v>5499.99</v>
      </c>
      <c r="F3193" s="1">
        <v>0.2</v>
      </c>
      <c r="G3193">
        <f t="shared" si="49"/>
        <v>10999.78</v>
      </c>
      <c r="H3193" t="str">
        <f>VLOOKUP(C3193,[1]products!$A:$B,2,FALSE)</f>
        <v>Trek Domane SLR 6 Disc - 2017</v>
      </c>
      <c r="I3193">
        <f>VLOOKUP(C3193,[1]products!$A:$D,4,FALSE)</f>
        <v>7</v>
      </c>
      <c r="J3193" t="str">
        <f>VLOOKUP(I3193,[2]categories!$A$1:$B$8,2,FALSE)</f>
        <v>Road Bikes</v>
      </c>
    </row>
    <row r="3194" customHeight="1" spans="1:10">
      <c r="A3194" s="1">
        <v>1105</v>
      </c>
      <c r="B3194" s="1">
        <v>3</v>
      </c>
      <c r="C3194" s="1">
        <v>35</v>
      </c>
      <c r="D3194" s="1">
        <v>2</v>
      </c>
      <c r="E3194" s="1">
        <v>832.99</v>
      </c>
      <c r="F3194" s="1">
        <v>0.07</v>
      </c>
      <c r="G3194">
        <f t="shared" si="49"/>
        <v>1665.91</v>
      </c>
      <c r="H3194" t="str">
        <f>VLOOKUP(C3194,[1]products!$A:$B,2,FALSE)</f>
        <v>Sun Bicycles Spider 3i - 2017</v>
      </c>
      <c r="I3194">
        <f>VLOOKUP(C3194,[1]products!$A:$D,4,FALSE)</f>
        <v>6</v>
      </c>
      <c r="J3194" t="str">
        <f>VLOOKUP(I3194,[2]categories!$A$1:$B$8,2,FALSE)</f>
        <v>Mountain Bikes</v>
      </c>
    </row>
    <row r="3195" customHeight="1" spans="1:10">
      <c r="A3195" s="1">
        <v>1106</v>
      </c>
      <c r="B3195" s="1">
        <v>1</v>
      </c>
      <c r="C3195" s="1">
        <v>96</v>
      </c>
      <c r="D3195" s="1">
        <v>1</v>
      </c>
      <c r="E3195" s="1">
        <v>349.99</v>
      </c>
      <c r="F3195" s="1">
        <v>0.1</v>
      </c>
      <c r="G3195">
        <f t="shared" si="49"/>
        <v>349.89</v>
      </c>
      <c r="H3195" t="str">
        <f>VLOOKUP(C3195,[1]products!$A:$B,2,FALSE)</f>
        <v>Electra Moto 3i (20-inch) - Boy's - 2017</v>
      </c>
      <c r="I3195">
        <f>VLOOKUP(C3195,[1]products!$A:$D,4,FALSE)</f>
        <v>1</v>
      </c>
      <c r="J3195" t="str">
        <f>VLOOKUP(I3195,[2]categories!$A$1:$B$8,2,FALSE)</f>
        <v>Children Bicycles</v>
      </c>
    </row>
    <row r="3196" customHeight="1" spans="1:10">
      <c r="A3196" s="1">
        <v>1107</v>
      </c>
      <c r="B3196" s="1">
        <v>1</v>
      </c>
      <c r="C3196" s="1">
        <v>43</v>
      </c>
      <c r="D3196" s="1">
        <v>1</v>
      </c>
      <c r="E3196" s="1">
        <v>5299.99</v>
      </c>
      <c r="F3196" s="1">
        <v>0.2</v>
      </c>
      <c r="G3196">
        <f t="shared" si="49"/>
        <v>5299.79</v>
      </c>
      <c r="H3196" t="str">
        <f>VLOOKUP(C3196,[1]products!$A:$B,2,FALSE)</f>
        <v>Trek Fuel EX 9.8 27.5 Plus - 2017</v>
      </c>
      <c r="I3196">
        <f>VLOOKUP(C3196,[1]products!$A:$D,4,FALSE)</f>
        <v>6</v>
      </c>
      <c r="J3196" t="str">
        <f>VLOOKUP(I3196,[2]categories!$A$1:$B$8,2,FALSE)</f>
        <v>Mountain Bikes</v>
      </c>
    </row>
    <row r="3197" customHeight="1" spans="1:10">
      <c r="A3197" s="1">
        <v>1107</v>
      </c>
      <c r="B3197" s="1">
        <v>2</v>
      </c>
      <c r="C3197" s="1">
        <v>41</v>
      </c>
      <c r="D3197" s="1">
        <v>2</v>
      </c>
      <c r="E3197" s="1">
        <v>1469.99</v>
      </c>
      <c r="F3197" s="1">
        <v>0.2</v>
      </c>
      <c r="G3197">
        <f t="shared" si="49"/>
        <v>2939.78</v>
      </c>
      <c r="H3197" t="str">
        <f>VLOOKUP(C3197,[1]products!$A:$B,2,FALSE)</f>
        <v>Haro Shift R3 - 2017</v>
      </c>
      <c r="I3197">
        <f>VLOOKUP(C3197,[1]products!$A:$D,4,FALSE)</f>
        <v>6</v>
      </c>
      <c r="J3197" t="str">
        <f>VLOOKUP(I3197,[2]categories!$A$1:$B$8,2,FALSE)</f>
        <v>Mountain Bikes</v>
      </c>
    </row>
    <row r="3198" customHeight="1" spans="1:10">
      <c r="A3198" s="1">
        <v>1108</v>
      </c>
      <c r="B3198" s="1">
        <v>1</v>
      </c>
      <c r="C3198" s="1">
        <v>45</v>
      </c>
      <c r="D3198" s="1">
        <v>2</v>
      </c>
      <c r="E3198" s="1">
        <v>869.99</v>
      </c>
      <c r="F3198" s="1">
        <v>0.05</v>
      </c>
      <c r="G3198">
        <f t="shared" si="49"/>
        <v>1739.93</v>
      </c>
      <c r="H3198" t="str">
        <f>VLOOKUP(C3198,[1]products!$A:$B,2,FALSE)</f>
        <v>Haro SR 1.2 - 2017</v>
      </c>
      <c r="I3198">
        <f>VLOOKUP(C3198,[1]products!$A:$D,4,FALSE)</f>
        <v>6</v>
      </c>
      <c r="J3198" t="str">
        <f>VLOOKUP(I3198,[2]categories!$A$1:$B$8,2,FALSE)</f>
        <v>Mountain Bikes</v>
      </c>
    </row>
    <row r="3199" customHeight="1" spans="1:10">
      <c r="A3199" s="1">
        <v>1108</v>
      </c>
      <c r="B3199" s="1">
        <v>2</v>
      </c>
      <c r="C3199" s="1">
        <v>100</v>
      </c>
      <c r="D3199" s="1">
        <v>1</v>
      </c>
      <c r="E3199" s="1">
        <v>489.99</v>
      </c>
      <c r="F3199" s="1">
        <v>0.07</v>
      </c>
      <c r="G3199">
        <f t="shared" si="49"/>
        <v>489.92</v>
      </c>
      <c r="H3199" t="str">
        <f>VLOOKUP(C3199,[1]products!$A:$B,2,FALSE)</f>
        <v>Electra Townie 3i EQ (20-inch) - Boys' - 2017</v>
      </c>
      <c r="I3199">
        <f>VLOOKUP(C3199,[1]products!$A:$D,4,FALSE)</f>
        <v>1</v>
      </c>
      <c r="J3199" t="str">
        <f>VLOOKUP(I3199,[2]categories!$A$1:$B$8,2,FALSE)</f>
        <v>Children Bicycles</v>
      </c>
    </row>
    <row r="3200" customHeight="1" spans="1:10">
      <c r="A3200" s="1">
        <v>1108</v>
      </c>
      <c r="B3200" s="1">
        <v>3</v>
      </c>
      <c r="C3200" s="1">
        <v>105</v>
      </c>
      <c r="D3200" s="1">
        <v>1</v>
      </c>
      <c r="E3200" s="1">
        <v>533.99</v>
      </c>
      <c r="F3200" s="1">
        <v>0.07</v>
      </c>
      <c r="G3200">
        <f t="shared" si="49"/>
        <v>533.92</v>
      </c>
      <c r="H3200" t="str">
        <f>VLOOKUP(C3200,[1]products!$A:$B,2,FALSE)</f>
        <v>Sun Bicycles Streamway 7 - 2017</v>
      </c>
      <c r="I3200">
        <f>VLOOKUP(C3200,[1]products!$A:$D,4,FALSE)</f>
        <v>2</v>
      </c>
      <c r="J3200" t="str">
        <f>VLOOKUP(I3200,[2]categories!$A$1:$B$8,2,FALSE)</f>
        <v>Comfort Bicycles</v>
      </c>
    </row>
    <row r="3201" customHeight="1" spans="1:10">
      <c r="A3201" s="1">
        <v>1109</v>
      </c>
      <c r="B3201" s="1">
        <v>1</v>
      </c>
      <c r="C3201" s="1">
        <v>72</v>
      </c>
      <c r="D3201" s="1">
        <v>2</v>
      </c>
      <c r="E3201" s="1">
        <v>619.99</v>
      </c>
      <c r="F3201" s="1">
        <v>0.1</v>
      </c>
      <c r="G3201">
        <f t="shared" si="49"/>
        <v>1239.88</v>
      </c>
      <c r="H3201" t="str">
        <f>VLOOKUP(C3201,[1]products!$A:$B,2,FALSE)</f>
        <v>Sun Bicycles Biscayne Tandem 7 - 2017</v>
      </c>
      <c r="I3201">
        <f>VLOOKUP(C3201,[1]products!$A:$D,4,FALSE)</f>
        <v>3</v>
      </c>
      <c r="J3201" t="str">
        <f>VLOOKUP(I3201,[2]categories!$A$1:$B$8,2,FALSE)</f>
        <v>Cruisers Bicycles</v>
      </c>
    </row>
    <row r="3202" customHeight="1" spans="1:10">
      <c r="A3202" s="1">
        <v>1110</v>
      </c>
      <c r="B3202" s="1">
        <v>1</v>
      </c>
      <c r="C3202" s="1">
        <v>56</v>
      </c>
      <c r="D3202" s="1">
        <v>1</v>
      </c>
      <c r="E3202" s="1">
        <v>5499.99</v>
      </c>
      <c r="F3202" s="1">
        <v>0.1</v>
      </c>
      <c r="G3202">
        <f t="shared" si="49"/>
        <v>5499.89</v>
      </c>
      <c r="H3202" t="str">
        <f>VLOOKUP(C3202,[1]products!$A:$B,2,FALSE)</f>
        <v>Trek Domane SLR 6 Disc - 2017</v>
      </c>
      <c r="I3202">
        <f>VLOOKUP(C3202,[1]products!$A:$D,4,FALSE)</f>
        <v>7</v>
      </c>
      <c r="J3202" t="str">
        <f>VLOOKUP(I3202,[2]categories!$A$1:$B$8,2,FALSE)</f>
        <v>Road Bikes</v>
      </c>
    </row>
    <row r="3203" customHeight="1" spans="1:10">
      <c r="A3203" s="1">
        <v>1111</v>
      </c>
      <c r="B3203" s="1">
        <v>1</v>
      </c>
      <c r="C3203" s="1">
        <v>95</v>
      </c>
      <c r="D3203" s="1">
        <v>1</v>
      </c>
      <c r="E3203" s="1">
        <v>299.99</v>
      </c>
      <c r="F3203" s="1">
        <v>0.05</v>
      </c>
      <c r="G3203">
        <f t="shared" ref="G3203:G3266" si="50">(E3203*D3203)-F3203</f>
        <v>299.94</v>
      </c>
      <c r="H3203" t="str">
        <f>VLOOKUP(C3203,[1]products!$A:$B,2,FALSE)</f>
        <v>Electra Girl's Hawaii 1 16" - 2017</v>
      </c>
      <c r="I3203">
        <f>VLOOKUP(C3203,[1]products!$A:$D,4,FALSE)</f>
        <v>1</v>
      </c>
      <c r="J3203" t="str">
        <f>VLOOKUP(I3203,[2]categories!$A$1:$B$8,2,FALSE)</f>
        <v>Children Bicycles</v>
      </c>
    </row>
    <row r="3204" customHeight="1" spans="1:10">
      <c r="A3204" s="1">
        <v>1111</v>
      </c>
      <c r="B3204" s="1">
        <v>2</v>
      </c>
      <c r="C3204" s="1">
        <v>66</v>
      </c>
      <c r="D3204" s="1">
        <v>2</v>
      </c>
      <c r="E3204" s="1">
        <v>250.99</v>
      </c>
      <c r="F3204" s="1">
        <v>0.1</v>
      </c>
      <c r="G3204">
        <f t="shared" si="50"/>
        <v>501.88</v>
      </c>
      <c r="H3204" t="str">
        <f>VLOOKUP(C3204,[1]products!$A:$B,2,FALSE)</f>
        <v>Sun Bicycles Revolutions 24 - 2017</v>
      </c>
      <c r="I3204">
        <f>VLOOKUP(C3204,[1]products!$A:$D,4,FALSE)</f>
        <v>3</v>
      </c>
      <c r="J3204" t="str">
        <f>VLOOKUP(I3204,[2]categories!$A$1:$B$8,2,FALSE)</f>
        <v>Cruisers Bicycles</v>
      </c>
    </row>
    <row r="3205" customHeight="1" spans="1:10">
      <c r="A3205" s="1">
        <v>1111</v>
      </c>
      <c r="B3205" s="1">
        <v>3</v>
      </c>
      <c r="C3205" s="1">
        <v>14</v>
      </c>
      <c r="D3205" s="1">
        <v>1</v>
      </c>
      <c r="E3205" s="1">
        <v>269.99</v>
      </c>
      <c r="F3205" s="1">
        <v>0.2</v>
      </c>
      <c r="G3205">
        <f t="shared" si="50"/>
        <v>269.79</v>
      </c>
      <c r="H3205" t="str">
        <f>VLOOKUP(C3205,[1]products!$A:$B,2,FALSE)</f>
        <v>Electra Girl's Hawaii 1 (16-inch) - 2015/2016</v>
      </c>
      <c r="I3205">
        <f>VLOOKUP(C3205,[1]products!$A:$D,4,FALSE)</f>
        <v>3</v>
      </c>
      <c r="J3205" t="str">
        <f>VLOOKUP(I3205,[2]categories!$A$1:$B$8,2,FALSE)</f>
        <v>Cruisers Bicycles</v>
      </c>
    </row>
    <row r="3206" customHeight="1" spans="1:10">
      <c r="A3206" s="1">
        <v>1111</v>
      </c>
      <c r="B3206" s="1">
        <v>4</v>
      </c>
      <c r="C3206" s="1">
        <v>24</v>
      </c>
      <c r="D3206" s="1">
        <v>1</v>
      </c>
      <c r="E3206" s="1">
        <v>549.99</v>
      </c>
      <c r="F3206" s="1">
        <v>0.07</v>
      </c>
      <c r="G3206">
        <f t="shared" si="50"/>
        <v>549.92</v>
      </c>
      <c r="H3206" t="str">
        <f>VLOOKUP(C3206,[1]products!$A:$B,2,FALSE)</f>
        <v>Electra Townie Original 21D - 2016</v>
      </c>
      <c r="I3206">
        <f>VLOOKUP(C3206,[1]products!$A:$D,4,FALSE)</f>
        <v>2</v>
      </c>
      <c r="J3206" t="str">
        <f>VLOOKUP(I3206,[2]categories!$A$1:$B$8,2,FALSE)</f>
        <v>Comfort Bicycles</v>
      </c>
    </row>
    <row r="3207" customHeight="1" spans="1:10">
      <c r="A3207" s="1">
        <v>1112</v>
      </c>
      <c r="B3207" s="1">
        <v>1</v>
      </c>
      <c r="C3207" s="1">
        <v>71</v>
      </c>
      <c r="D3207" s="1">
        <v>2</v>
      </c>
      <c r="E3207" s="1">
        <v>416.99</v>
      </c>
      <c r="F3207" s="1">
        <v>0.05</v>
      </c>
      <c r="G3207">
        <f t="shared" si="50"/>
        <v>833.93</v>
      </c>
      <c r="H3207" t="str">
        <f>VLOOKUP(C3207,[1]products!$A:$B,2,FALSE)</f>
        <v>Sun Bicycles Atlas X-Type - 2017</v>
      </c>
      <c r="I3207">
        <f>VLOOKUP(C3207,[1]products!$A:$D,4,FALSE)</f>
        <v>3</v>
      </c>
      <c r="J3207" t="str">
        <f>VLOOKUP(I3207,[2]categories!$A$1:$B$8,2,FALSE)</f>
        <v>Cruisers Bicycles</v>
      </c>
    </row>
    <row r="3208" customHeight="1" spans="1:10">
      <c r="A3208" s="1">
        <v>1112</v>
      </c>
      <c r="B3208" s="1">
        <v>2</v>
      </c>
      <c r="C3208" s="1">
        <v>42</v>
      </c>
      <c r="D3208" s="1">
        <v>1</v>
      </c>
      <c r="E3208" s="1">
        <v>2299.99</v>
      </c>
      <c r="F3208" s="1">
        <v>0.07</v>
      </c>
      <c r="G3208">
        <f t="shared" si="50"/>
        <v>2299.92</v>
      </c>
      <c r="H3208" t="str">
        <f>VLOOKUP(C3208,[1]products!$A:$B,2,FALSE)</f>
        <v>Trek Fuel EX 5 27.5 Plus - 2017</v>
      </c>
      <c r="I3208">
        <f>VLOOKUP(C3208,[1]products!$A:$D,4,FALSE)</f>
        <v>6</v>
      </c>
      <c r="J3208" t="str">
        <f>VLOOKUP(I3208,[2]categories!$A$1:$B$8,2,FALSE)</f>
        <v>Mountain Bikes</v>
      </c>
    </row>
    <row r="3209" customHeight="1" spans="1:10">
      <c r="A3209" s="1">
        <v>1112</v>
      </c>
      <c r="B3209" s="1">
        <v>3</v>
      </c>
      <c r="C3209" s="1">
        <v>5</v>
      </c>
      <c r="D3209" s="1">
        <v>2</v>
      </c>
      <c r="E3209" s="1">
        <v>1320.99</v>
      </c>
      <c r="F3209" s="1">
        <v>0.1</v>
      </c>
      <c r="G3209">
        <f t="shared" si="50"/>
        <v>2641.88</v>
      </c>
      <c r="H3209" t="str">
        <f>VLOOKUP(C3209,[1]products!$A:$B,2,FALSE)</f>
        <v>Heller Shagamaw Frame - 2016</v>
      </c>
      <c r="I3209">
        <f>VLOOKUP(C3209,[1]products!$A:$D,4,FALSE)</f>
        <v>6</v>
      </c>
      <c r="J3209" t="str">
        <f>VLOOKUP(I3209,[2]categories!$A$1:$B$8,2,FALSE)</f>
        <v>Mountain Bikes</v>
      </c>
    </row>
    <row r="3210" customHeight="1" spans="1:10">
      <c r="A3210" s="1">
        <v>1112</v>
      </c>
      <c r="B3210" s="1">
        <v>4</v>
      </c>
      <c r="C3210" s="1">
        <v>87</v>
      </c>
      <c r="D3210" s="1">
        <v>2</v>
      </c>
      <c r="E3210" s="1">
        <v>189.99</v>
      </c>
      <c r="F3210" s="1">
        <v>0.07</v>
      </c>
      <c r="G3210">
        <f t="shared" si="50"/>
        <v>379.91</v>
      </c>
      <c r="H3210" t="str">
        <f>VLOOKUP(C3210,[1]products!$A:$B,2,FALSE)</f>
        <v>Trek Precaliber 12 Boys - 2017</v>
      </c>
      <c r="I3210">
        <f>VLOOKUP(C3210,[1]products!$A:$D,4,FALSE)</f>
        <v>1</v>
      </c>
      <c r="J3210" t="str">
        <f>VLOOKUP(I3210,[2]categories!$A$1:$B$8,2,FALSE)</f>
        <v>Children Bicycles</v>
      </c>
    </row>
    <row r="3211" customHeight="1" spans="1:10">
      <c r="A3211" s="1">
        <v>1112</v>
      </c>
      <c r="B3211" s="1">
        <v>5</v>
      </c>
      <c r="C3211" s="1">
        <v>9</v>
      </c>
      <c r="D3211" s="1">
        <v>2</v>
      </c>
      <c r="E3211" s="1">
        <v>2999.99</v>
      </c>
      <c r="F3211" s="1">
        <v>0.1</v>
      </c>
      <c r="G3211">
        <f t="shared" si="50"/>
        <v>5999.88</v>
      </c>
      <c r="H3211" t="str">
        <f>VLOOKUP(C3211,[1]products!$A:$B,2,FALSE)</f>
        <v>Trek Conduit+ - 2016</v>
      </c>
      <c r="I3211">
        <f>VLOOKUP(C3211,[1]products!$A:$D,4,FALSE)</f>
        <v>5</v>
      </c>
      <c r="J3211" t="str">
        <f>VLOOKUP(I3211,[2]categories!$A$1:$B$8,2,FALSE)</f>
        <v>Electric Bikes</v>
      </c>
    </row>
    <row r="3212" customHeight="1" spans="1:10">
      <c r="A3212" s="1">
        <v>1113</v>
      </c>
      <c r="B3212" s="1">
        <v>1</v>
      </c>
      <c r="C3212" s="1">
        <v>106</v>
      </c>
      <c r="D3212" s="1">
        <v>1</v>
      </c>
      <c r="E3212" s="1">
        <v>449.99</v>
      </c>
      <c r="F3212" s="1">
        <v>0.07</v>
      </c>
      <c r="G3212">
        <f t="shared" si="50"/>
        <v>449.92</v>
      </c>
      <c r="H3212" t="str">
        <f>VLOOKUP(C3212,[1]products!$A:$B,2,FALSE)</f>
        <v>Sun Bicycles Cruz 3 - 2017</v>
      </c>
      <c r="I3212">
        <f>VLOOKUP(C3212,[1]products!$A:$D,4,FALSE)</f>
        <v>2</v>
      </c>
      <c r="J3212" t="str">
        <f>VLOOKUP(I3212,[2]categories!$A$1:$B$8,2,FALSE)</f>
        <v>Comfort Bicycles</v>
      </c>
    </row>
    <row r="3213" customHeight="1" spans="1:10">
      <c r="A3213" s="1">
        <v>1114</v>
      </c>
      <c r="B3213" s="1">
        <v>1</v>
      </c>
      <c r="C3213" s="1">
        <v>52</v>
      </c>
      <c r="D3213" s="1">
        <v>1</v>
      </c>
      <c r="E3213" s="1">
        <v>875.99</v>
      </c>
      <c r="F3213" s="1">
        <v>0.2</v>
      </c>
      <c r="G3213">
        <f t="shared" si="50"/>
        <v>875.79</v>
      </c>
      <c r="H3213" t="str">
        <f>VLOOKUP(C3213,[1]products!$A:$B,2,FALSE)</f>
        <v>Surly Steamroller - 2017</v>
      </c>
      <c r="I3213">
        <f>VLOOKUP(C3213,[1]products!$A:$D,4,FALSE)</f>
        <v>7</v>
      </c>
      <c r="J3213" t="str">
        <f>VLOOKUP(I3213,[2]categories!$A$1:$B$8,2,FALSE)</f>
        <v>Road Bikes</v>
      </c>
    </row>
    <row r="3214" customHeight="1" spans="1:10">
      <c r="A3214" s="1">
        <v>1115</v>
      </c>
      <c r="B3214" s="1">
        <v>1</v>
      </c>
      <c r="C3214" s="1">
        <v>97</v>
      </c>
      <c r="D3214" s="1">
        <v>2</v>
      </c>
      <c r="E3214" s="1">
        <v>349.99</v>
      </c>
      <c r="F3214" s="1">
        <v>0.2</v>
      </c>
      <c r="G3214">
        <f t="shared" si="50"/>
        <v>699.78</v>
      </c>
      <c r="H3214" t="str">
        <f>VLOOKUP(C3214,[1]products!$A:$B,2,FALSE)</f>
        <v>Electra Savannah 3i (20-inch) - Girl's - 2017</v>
      </c>
      <c r="I3214">
        <f>VLOOKUP(C3214,[1]products!$A:$D,4,FALSE)</f>
        <v>1</v>
      </c>
      <c r="J3214" t="str">
        <f>VLOOKUP(I3214,[2]categories!$A$1:$B$8,2,FALSE)</f>
        <v>Children Bicycles</v>
      </c>
    </row>
    <row r="3215" customHeight="1" spans="1:10">
      <c r="A3215" s="1">
        <v>1115</v>
      </c>
      <c r="B3215" s="1">
        <v>2</v>
      </c>
      <c r="C3215" s="1">
        <v>50</v>
      </c>
      <c r="D3215" s="1">
        <v>2</v>
      </c>
      <c r="E3215" s="1">
        <v>5999.99</v>
      </c>
      <c r="F3215" s="1">
        <v>0.07</v>
      </c>
      <c r="G3215">
        <f t="shared" si="50"/>
        <v>11999.91</v>
      </c>
      <c r="H3215" t="str">
        <f>VLOOKUP(C3215,[1]products!$A:$B,2,FALSE)</f>
        <v>Trek Silque SLR 7 Women's - 2017</v>
      </c>
      <c r="I3215">
        <f>VLOOKUP(C3215,[1]products!$A:$D,4,FALSE)</f>
        <v>7</v>
      </c>
      <c r="J3215" t="str">
        <f>VLOOKUP(I3215,[2]categories!$A$1:$B$8,2,FALSE)</f>
        <v>Road Bikes</v>
      </c>
    </row>
    <row r="3216" customHeight="1" spans="1:10">
      <c r="A3216" s="1">
        <v>1115</v>
      </c>
      <c r="B3216" s="1">
        <v>3</v>
      </c>
      <c r="C3216" s="1">
        <v>91</v>
      </c>
      <c r="D3216" s="1">
        <v>2</v>
      </c>
      <c r="E3216" s="1">
        <v>349.99</v>
      </c>
      <c r="F3216" s="1">
        <v>0.07</v>
      </c>
      <c r="G3216">
        <f t="shared" si="50"/>
        <v>699.91</v>
      </c>
      <c r="H3216" t="str">
        <f>VLOOKUP(C3216,[1]products!$A:$B,2,FALSE)</f>
        <v>Trek Precaliber 24 (21-Speed) - Girls - 2017</v>
      </c>
      <c r="I3216">
        <f>VLOOKUP(C3216,[1]products!$A:$D,4,FALSE)</f>
        <v>1</v>
      </c>
      <c r="J3216" t="str">
        <f>VLOOKUP(I3216,[2]categories!$A$1:$B$8,2,FALSE)</f>
        <v>Children Bicycles</v>
      </c>
    </row>
    <row r="3217" customHeight="1" spans="1:10">
      <c r="A3217" s="1">
        <v>1115</v>
      </c>
      <c r="B3217" s="1">
        <v>4</v>
      </c>
      <c r="C3217" s="1">
        <v>49</v>
      </c>
      <c r="D3217" s="1">
        <v>2</v>
      </c>
      <c r="E3217" s="1">
        <v>3499.99</v>
      </c>
      <c r="F3217" s="1">
        <v>0.1</v>
      </c>
      <c r="G3217">
        <f t="shared" si="50"/>
        <v>6999.88</v>
      </c>
      <c r="H3217" t="str">
        <f>VLOOKUP(C3217,[1]products!$A:$B,2,FALSE)</f>
        <v>Trek Domane SL 6 - 2017</v>
      </c>
      <c r="I3217">
        <f>VLOOKUP(C3217,[1]products!$A:$D,4,FALSE)</f>
        <v>7</v>
      </c>
      <c r="J3217" t="str">
        <f>VLOOKUP(I3217,[2]categories!$A$1:$B$8,2,FALSE)</f>
        <v>Road Bikes</v>
      </c>
    </row>
    <row r="3218" customHeight="1" spans="1:10">
      <c r="A3218" s="1">
        <v>1116</v>
      </c>
      <c r="B3218" s="1">
        <v>1</v>
      </c>
      <c r="C3218" s="1">
        <v>11</v>
      </c>
      <c r="D3218" s="1">
        <v>2</v>
      </c>
      <c r="E3218" s="1">
        <v>1680.99</v>
      </c>
      <c r="F3218" s="1">
        <v>0.07</v>
      </c>
      <c r="G3218">
        <f t="shared" si="50"/>
        <v>3361.91</v>
      </c>
      <c r="H3218" t="str">
        <f>VLOOKUP(C3218,[1]products!$A:$B,2,FALSE)</f>
        <v>Surly Straggler 650b - 2016</v>
      </c>
      <c r="I3218">
        <f>VLOOKUP(C3218,[1]products!$A:$D,4,FALSE)</f>
        <v>4</v>
      </c>
      <c r="J3218" t="str">
        <f>VLOOKUP(I3218,[2]categories!$A$1:$B$8,2,FALSE)</f>
        <v>Cyclocross Bicycles</v>
      </c>
    </row>
    <row r="3219" customHeight="1" spans="1:10">
      <c r="A3219" s="1">
        <v>1117</v>
      </c>
      <c r="B3219" s="1">
        <v>1</v>
      </c>
      <c r="C3219" s="1">
        <v>37</v>
      </c>
      <c r="D3219" s="1">
        <v>2</v>
      </c>
      <c r="E3219" s="1">
        <v>379.99</v>
      </c>
      <c r="F3219" s="1">
        <v>0.1</v>
      </c>
      <c r="G3219">
        <f t="shared" si="50"/>
        <v>759.88</v>
      </c>
      <c r="H3219" t="str">
        <f>VLOOKUP(C3219,[1]products!$A:$B,2,FALSE)</f>
        <v>Haro Flightline One ST - 2017</v>
      </c>
      <c r="I3219">
        <f>VLOOKUP(C3219,[1]products!$A:$D,4,FALSE)</f>
        <v>6</v>
      </c>
      <c r="J3219" t="str">
        <f>VLOOKUP(I3219,[2]categories!$A$1:$B$8,2,FALSE)</f>
        <v>Mountain Bikes</v>
      </c>
    </row>
    <row r="3220" customHeight="1" spans="1:10">
      <c r="A3220" s="1">
        <v>1117</v>
      </c>
      <c r="B3220" s="1">
        <v>2</v>
      </c>
      <c r="C3220" s="1">
        <v>91</v>
      </c>
      <c r="D3220" s="1">
        <v>1</v>
      </c>
      <c r="E3220" s="1">
        <v>349.99</v>
      </c>
      <c r="F3220" s="1">
        <v>0.2</v>
      </c>
      <c r="G3220">
        <f t="shared" si="50"/>
        <v>349.79</v>
      </c>
      <c r="H3220" t="str">
        <f>VLOOKUP(C3220,[1]products!$A:$B,2,FALSE)</f>
        <v>Trek Precaliber 24 (21-Speed) - Girls - 2017</v>
      </c>
      <c r="I3220">
        <f>VLOOKUP(C3220,[1]products!$A:$D,4,FALSE)</f>
        <v>1</v>
      </c>
      <c r="J3220" t="str">
        <f>VLOOKUP(I3220,[2]categories!$A$1:$B$8,2,FALSE)</f>
        <v>Children Bicycles</v>
      </c>
    </row>
    <row r="3221" customHeight="1" spans="1:10">
      <c r="A3221" s="1">
        <v>1117</v>
      </c>
      <c r="B3221" s="1">
        <v>3</v>
      </c>
      <c r="C3221" s="1">
        <v>51</v>
      </c>
      <c r="D3221" s="1">
        <v>2</v>
      </c>
      <c r="E3221" s="1">
        <v>6499.99</v>
      </c>
      <c r="F3221" s="1">
        <v>0.1</v>
      </c>
      <c r="G3221">
        <f t="shared" si="50"/>
        <v>12999.88</v>
      </c>
      <c r="H3221" t="str">
        <f>VLOOKUP(C3221,[1]products!$A:$B,2,FALSE)</f>
        <v>Trek Silque SLR 8 Women's - 2017</v>
      </c>
      <c r="I3221">
        <f>VLOOKUP(C3221,[1]products!$A:$D,4,FALSE)</f>
        <v>7</v>
      </c>
      <c r="J3221" t="str">
        <f>VLOOKUP(I3221,[2]categories!$A$1:$B$8,2,FALSE)</f>
        <v>Road Bikes</v>
      </c>
    </row>
    <row r="3222" customHeight="1" spans="1:10">
      <c r="A3222" s="1">
        <v>1118</v>
      </c>
      <c r="B3222" s="1">
        <v>1</v>
      </c>
      <c r="C3222" s="1">
        <v>55</v>
      </c>
      <c r="D3222" s="1">
        <v>2</v>
      </c>
      <c r="E3222" s="1">
        <v>2699.99</v>
      </c>
      <c r="F3222" s="1">
        <v>0.2</v>
      </c>
      <c r="G3222">
        <f t="shared" si="50"/>
        <v>5399.78</v>
      </c>
      <c r="H3222" t="str">
        <f>VLOOKUP(C3222,[1]products!$A:$B,2,FALSE)</f>
        <v>Trek Domane S 6 - 2017</v>
      </c>
      <c r="I3222">
        <f>VLOOKUP(C3222,[1]products!$A:$D,4,FALSE)</f>
        <v>7</v>
      </c>
      <c r="J3222" t="str">
        <f>VLOOKUP(I3222,[2]categories!$A$1:$B$8,2,FALSE)</f>
        <v>Road Bikes</v>
      </c>
    </row>
    <row r="3223" customHeight="1" spans="1:10">
      <c r="A3223" s="1">
        <v>1118</v>
      </c>
      <c r="B3223" s="1">
        <v>2</v>
      </c>
      <c r="C3223" s="1">
        <v>50</v>
      </c>
      <c r="D3223" s="1">
        <v>1</v>
      </c>
      <c r="E3223" s="1">
        <v>5999.99</v>
      </c>
      <c r="F3223" s="1">
        <v>0.07</v>
      </c>
      <c r="G3223">
        <f t="shared" si="50"/>
        <v>5999.92</v>
      </c>
      <c r="H3223" t="str">
        <f>VLOOKUP(C3223,[1]products!$A:$B,2,FALSE)</f>
        <v>Trek Silque SLR 7 Women's - 2017</v>
      </c>
      <c r="I3223">
        <f>VLOOKUP(C3223,[1]products!$A:$D,4,FALSE)</f>
        <v>7</v>
      </c>
      <c r="J3223" t="str">
        <f>VLOOKUP(I3223,[2]categories!$A$1:$B$8,2,FALSE)</f>
        <v>Road Bikes</v>
      </c>
    </row>
    <row r="3224" customHeight="1" spans="1:10">
      <c r="A3224" s="1">
        <v>1118</v>
      </c>
      <c r="B3224" s="1">
        <v>3</v>
      </c>
      <c r="C3224" s="1">
        <v>29</v>
      </c>
      <c r="D3224" s="1">
        <v>1</v>
      </c>
      <c r="E3224" s="1">
        <v>999.99</v>
      </c>
      <c r="F3224" s="1">
        <v>0.05</v>
      </c>
      <c r="G3224">
        <f t="shared" si="50"/>
        <v>999.94</v>
      </c>
      <c r="H3224" t="str">
        <f>VLOOKUP(C3224,[1]products!$A:$B,2,FALSE)</f>
        <v>Trek X-Caliber 8 - 2017</v>
      </c>
      <c r="I3224">
        <f>VLOOKUP(C3224,[1]products!$A:$D,4,FALSE)</f>
        <v>6</v>
      </c>
      <c r="J3224" t="str">
        <f>VLOOKUP(I3224,[2]categories!$A$1:$B$8,2,FALSE)</f>
        <v>Mountain Bikes</v>
      </c>
    </row>
    <row r="3225" customHeight="1" spans="1:10">
      <c r="A3225" s="1">
        <v>1118</v>
      </c>
      <c r="B3225" s="1">
        <v>4</v>
      </c>
      <c r="C3225" s="1">
        <v>47</v>
      </c>
      <c r="D3225" s="1">
        <v>2</v>
      </c>
      <c r="E3225" s="1">
        <v>5299.99</v>
      </c>
      <c r="F3225" s="1">
        <v>0.2</v>
      </c>
      <c r="G3225">
        <f t="shared" si="50"/>
        <v>10599.78</v>
      </c>
      <c r="H3225" t="str">
        <f>VLOOKUP(C3225,[1]products!$A:$B,2,FALSE)</f>
        <v>Trek Remedy 9.8 - 2017</v>
      </c>
      <c r="I3225">
        <f>VLOOKUP(C3225,[1]products!$A:$D,4,FALSE)</f>
        <v>6</v>
      </c>
      <c r="J3225" t="str">
        <f>VLOOKUP(I3225,[2]categories!$A$1:$B$8,2,FALSE)</f>
        <v>Mountain Bikes</v>
      </c>
    </row>
    <row r="3226" customHeight="1" spans="1:10">
      <c r="A3226" s="1">
        <v>1119</v>
      </c>
      <c r="B3226" s="1">
        <v>1</v>
      </c>
      <c r="C3226" s="1">
        <v>93</v>
      </c>
      <c r="D3226" s="1">
        <v>2</v>
      </c>
      <c r="E3226" s="1">
        <v>209.99</v>
      </c>
      <c r="F3226" s="1">
        <v>0.1</v>
      </c>
      <c r="G3226">
        <f t="shared" si="50"/>
        <v>419.88</v>
      </c>
      <c r="H3226" t="str">
        <f>VLOOKUP(C3226,[1]products!$A:$B,2,FALSE)</f>
        <v>Haro Shredder 20 Girls - 2017</v>
      </c>
      <c r="I3226">
        <f>VLOOKUP(C3226,[1]products!$A:$D,4,FALSE)</f>
        <v>1</v>
      </c>
      <c r="J3226" t="str">
        <f>VLOOKUP(I3226,[2]categories!$A$1:$B$8,2,FALSE)</f>
        <v>Children Bicycles</v>
      </c>
    </row>
    <row r="3227" customHeight="1" spans="1:10">
      <c r="A3227" s="1">
        <v>1119</v>
      </c>
      <c r="B3227" s="1">
        <v>2</v>
      </c>
      <c r="C3227" s="1">
        <v>55</v>
      </c>
      <c r="D3227" s="1">
        <v>2</v>
      </c>
      <c r="E3227" s="1">
        <v>2699.99</v>
      </c>
      <c r="F3227" s="1">
        <v>0.05</v>
      </c>
      <c r="G3227">
        <f t="shared" si="50"/>
        <v>5399.93</v>
      </c>
      <c r="H3227" t="str">
        <f>VLOOKUP(C3227,[1]products!$A:$B,2,FALSE)</f>
        <v>Trek Domane S 6 - 2017</v>
      </c>
      <c r="I3227">
        <f>VLOOKUP(C3227,[1]products!$A:$D,4,FALSE)</f>
        <v>7</v>
      </c>
      <c r="J3227" t="str">
        <f>VLOOKUP(I3227,[2]categories!$A$1:$B$8,2,FALSE)</f>
        <v>Road Bikes</v>
      </c>
    </row>
    <row r="3228" customHeight="1" spans="1:10">
      <c r="A3228" s="1">
        <v>1119</v>
      </c>
      <c r="B3228" s="1">
        <v>3</v>
      </c>
      <c r="C3228" s="1">
        <v>104</v>
      </c>
      <c r="D3228" s="1">
        <v>1</v>
      </c>
      <c r="E3228" s="1">
        <v>481.99</v>
      </c>
      <c r="F3228" s="1">
        <v>0.2</v>
      </c>
      <c r="G3228">
        <f t="shared" si="50"/>
        <v>481.79</v>
      </c>
      <c r="H3228" t="str">
        <f>VLOOKUP(C3228,[1]products!$A:$B,2,FALSE)</f>
        <v>Sun Bicycles Streamway - 2017</v>
      </c>
      <c r="I3228">
        <f>VLOOKUP(C3228,[1]products!$A:$D,4,FALSE)</f>
        <v>2</v>
      </c>
      <c r="J3228" t="str">
        <f>VLOOKUP(I3228,[2]categories!$A$1:$B$8,2,FALSE)</f>
        <v>Comfort Bicycles</v>
      </c>
    </row>
    <row r="3229" customHeight="1" spans="1:10">
      <c r="A3229" s="1">
        <v>1120</v>
      </c>
      <c r="B3229" s="1">
        <v>1</v>
      </c>
      <c r="C3229" s="1">
        <v>92</v>
      </c>
      <c r="D3229" s="1">
        <v>2</v>
      </c>
      <c r="E3229" s="1">
        <v>209.99</v>
      </c>
      <c r="F3229" s="1">
        <v>0.07</v>
      </c>
      <c r="G3229">
        <f t="shared" si="50"/>
        <v>419.91</v>
      </c>
      <c r="H3229" t="str">
        <f>VLOOKUP(C3229,[1]products!$A:$B,2,FALSE)</f>
        <v>Haro Shredder 20 - 2017</v>
      </c>
      <c r="I3229">
        <f>VLOOKUP(C3229,[1]products!$A:$D,4,FALSE)</f>
        <v>1</v>
      </c>
      <c r="J3229" t="str">
        <f>VLOOKUP(I3229,[2]categories!$A$1:$B$8,2,FALSE)</f>
        <v>Children Bicycles</v>
      </c>
    </row>
    <row r="3230" customHeight="1" spans="1:10">
      <c r="A3230" s="1">
        <v>1120</v>
      </c>
      <c r="B3230" s="1">
        <v>2</v>
      </c>
      <c r="C3230" s="1">
        <v>31</v>
      </c>
      <c r="D3230" s="1">
        <v>1</v>
      </c>
      <c r="E3230" s="1">
        <v>1632.99</v>
      </c>
      <c r="F3230" s="1">
        <v>0.07</v>
      </c>
      <c r="G3230">
        <f t="shared" si="50"/>
        <v>1632.92</v>
      </c>
      <c r="H3230" t="str">
        <f>VLOOKUP(C3230,[1]products!$A:$B,2,FALSE)</f>
        <v>Surly Wednesday - 2017</v>
      </c>
      <c r="I3230">
        <f>VLOOKUP(C3230,[1]products!$A:$D,4,FALSE)</f>
        <v>6</v>
      </c>
      <c r="J3230" t="str">
        <f>VLOOKUP(I3230,[2]categories!$A$1:$B$8,2,FALSE)</f>
        <v>Mountain Bikes</v>
      </c>
    </row>
    <row r="3231" customHeight="1" spans="1:10">
      <c r="A3231" s="1">
        <v>1120</v>
      </c>
      <c r="B3231" s="1">
        <v>3</v>
      </c>
      <c r="C3231" s="1">
        <v>30</v>
      </c>
      <c r="D3231" s="1">
        <v>2</v>
      </c>
      <c r="E3231" s="1">
        <v>999.99</v>
      </c>
      <c r="F3231" s="1">
        <v>0.05</v>
      </c>
      <c r="G3231">
        <f t="shared" si="50"/>
        <v>1999.93</v>
      </c>
      <c r="H3231" t="str">
        <f>VLOOKUP(C3231,[1]products!$A:$B,2,FALSE)</f>
        <v>Surly Ice Cream Truck Frameset - 2017</v>
      </c>
      <c r="I3231">
        <f>VLOOKUP(C3231,[1]products!$A:$D,4,FALSE)</f>
        <v>6</v>
      </c>
      <c r="J3231" t="str">
        <f>VLOOKUP(I3231,[2]categories!$A$1:$B$8,2,FALSE)</f>
        <v>Mountain Bikes</v>
      </c>
    </row>
    <row r="3232" customHeight="1" spans="1:10">
      <c r="A3232" s="1">
        <v>1120</v>
      </c>
      <c r="B3232" s="1">
        <v>4</v>
      </c>
      <c r="C3232" s="1">
        <v>93</v>
      </c>
      <c r="D3232" s="1">
        <v>1</v>
      </c>
      <c r="E3232" s="1">
        <v>209.99</v>
      </c>
      <c r="F3232" s="1">
        <v>0.07</v>
      </c>
      <c r="G3232">
        <f t="shared" si="50"/>
        <v>209.92</v>
      </c>
      <c r="H3232" t="str">
        <f>VLOOKUP(C3232,[1]products!$A:$B,2,FALSE)</f>
        <v>Haro Shredder 20 Girls - 2017</v>
      </c>
      <c r="I3232">
        <f>VLOOKUP(C3232,[1]products!$A:$D,4,FALSE)</f>
        <v>1</v>
      </c>
      <c r="J3232" t="str">
        <f>VLOOKUP(I3232,[2]categories!$A$1:$B$8,2,FALSE)</f>
        <v>Children Bicycles</v>
      </c>
    </row>
    <row r="3233" customHeight="1" spans="1:10">
      <c r="A3233" s="1">
        <v>1120</v>
      </c>
      <c r="B3233" s="1">
        <v>5</v>
      </c>
      <c r="C3233" s="1">
        <v>94</v>
      </c>
      <c r="D3233" s="1">
        <v>1</v>
      </c>
      <c r="E3233" s="1">
        <v>249.99</v>
      </c>
      <c r="F3233" s="1">
        <v>0.2</v>
      </c>
      <c r="G3233">
        <f t="shared" si="50"/>
        <v>249.79</v>
      </c>
      <c r="H3233" t="str">
        <f>VLOOKUP(C3233,[1]products!$A:$B,2,FALSE)</f>
        <v>Haro Shredder Pro 20 - 2017</v>
      </c>
      <c r="I3233">
        <f>VLOOKUP(C3233,[1]products!$A:$D,4,FALSE)</f>
        <v>1</v>
      </c>
      <c r="J3233" t="str">
        <f>VLOOKUP(I3233,[2]categories!$A$1:$B$8,2,FALSE)</f>
        <v>Children Bicycles</v>
      </c>
    </row>
    <row r="3234" customHeight="1" spans="1:10">
      <c r="A3234" s="1">
        <v>1121</v>
      </c>
      <c r="B3234" s="1">
        <v>1</v>
      </c>
      <c r="C3234" s="1">
        <v>11</v>
      </c>
      <c r="D3234" s="1">
        <v>2</v>
      </c>
      <c r="E3234" s="1">
        <v>1680.99</v>
      </c>
      <c r="F3234" s="1">
        <v>0.1</v>
      </c>
      <c r="G3234">
        <f t="shared" si="50"/>
        <v>3361.88</v>
      </c>
      <c r="H3234" t="str">
        <f>VLOOKUP(C3234,[1]products!$A:$B,2,FALSE)</f>
        <v>Surly Straggler 650b - 2016</v>
      </c>
      <c r="I3234">
        <f>VLOOKUP(C3234,[1]products!$A:$D,4,FALSE)</f>
        <v>4</v>
      </c>
      <c r="J3234" t="str">
        <f>VLOOKUP(I3234,[2]categories!$A$1:$B$8,2,FALSE)</f>
        <v>Cyclocross Bicycles</v>
      </c>
    </row>
    <row r="3235" customHeight="1" spans="1:10">
      <c r="A3235" s="1">
        <v>1121</v>
      </c>
      <c r="B3235" s="1">
        <v>2</v>
      </c>
      <c r="C3235" s="1">
        <v>110</v>
      </c>
      <c r="D3235" s="1">
        <v>2</v>
      </c>
      <c r="E3235" s="1">
        <v>470.99</v>
      </c>
      <c r="F3235" s="1">
        <v>0.05</v>
      </c>
      <c r="G3235">
        <f t="shared" si="50"/>
        <v>941.93</v>
      </c>
      <c r="H3235" t="str">
        <f>VLOOKUP(C3235,[1]products!$A:$B,2,FALSE)</f>
        <v>Sun Bicycles Drifter 7 - 2017</v>
      </c>
      <c r="I3235">
        <f>VLOOKUP(C3235,[1]products!$A:$D,4,FALSE)</f>
        <v>2</v>
      </c>
      <c r="J3235" t="str">
        <f>VLOOKUP(I3235,[2]categories!$A$1:$B$8,2,FALSE)</f>
        <v>Comfort Bicycles</v>
      </c>
    </row>
    <row r="3236" customHeight="1" spans="1:10">
      <c r="A3236" s="1">
        <v>1122</v>
      </c>
      <c r="B3236" s="1">
        <v>1</v>
      </c>
      <c r="C3236" s="1">
        <v>9</v>
      </c>
      <c r="D3236" s="1">
        <v>2</v>
      </c>
      <c r="E3236" s="1">
        <v>2999.99</v>
      </c>
      <c r="F3236" s="1">
        <v>0.07</v>
      </c>
      <c r="G3236">
        <f t="shared" si="50"/>
        <v>5999.91</v>
      </c>
      <c r="H3236" t="str">
        <f>VLOOKUP(C3236,[1]products!$A:$B,2,FALSE)</f>
        <v>Trek Conduit+ - 2016</v>
      </c>
      <c r="I3236">
        <f>VLOOKUP(C3236,[1]products!$A:$D,4,FALSE)</f>
        <v>5</v>
      </c>
      <c r="J3236" t="str">
        <f>VLOOKUP(I3236,[2]categories!$A$1:$B$8,2,FALSE)</f>
        <v>Electric Bikes</v>
      </c>
    </row>
    <row r="3237" customHeight="1" spans="1:10">
      <c r="A3237" s="1">
        <v>1122</v>
      </c>
      <c r="B3237" s="1">
        <v>2</v>
      </c>
      <c r="C3237" s="1">
        <v>53</v>
      </c>
      <c r="D3237" s="1">
        <v>1</v>
      </c>
      <c r="E3237" s="1">
        <v>749.99</v>
      </c>
      <c r="F3237" s="1">
        <v>0.1</v>
      </c>
      <c r="G3237">
        <f t="shared" si="50"/>
        <v>749.89</v>
      </c>
      <c r="H3237" t="str">
        <f>VLOOKUP(C3237,[1]products!$A:$B,2,FALSE)</f>
        <v>Surly Ogre Frameset - 2017</v>
      </c>
      <c r="I3237">
        <f>VLOOKUP(C3237,[1]products!$A:$D,4,FALSE)</f>
        <v>7</v>
      </c>
      <c r="J3237" t="str">
        <f>VLOOKUP(I3237,[2]categories!$A$1:$B$8,2,FALSE)</f>
        <v>Road Bikes</v>
      </c>
    </row>
    <row r="3238" customHeight="1" spans="1:10">
      <c r="A3238" s="1">
        <v>1122</v>
      </c>
      <c r="B3238" s="1">
        <v>3</v>
      </c>
      <c r="C3238" s="1">
        <v>49</v>
      </c>
      <c r="D3238" s="1">
        <v>2</v>
      </c>
      <c r="E3238" s="1">
        <v>3499.99</v>
      </c>
      <c r="F3238" s="1">
        <v>0.2</v>
      </c>
      <c r="G3238">
        <f t="shared" si="50"/>
        <v>6999.78</v>
      </c>
      <c r="H3238" t="str">
        <f>VLOOKUP(C3238,[1]products!$A:$B,2,FALSE)</f>
        <v>Trek Domane SL 6 - 2017</v>
      </c>
      <c r="I3238">
        <f>VLOOKUP(C3238,[1]products!$A:$D,4,FALSE)</f>
        <v>7</v>
      </c>
      <c r="J3238" t="str">
        <f>VLOOKUP(I3238,[2]categories!$A$1:$B$8,2,FALSE)</f>
        <v>Road Bikes</v>
      </c>
    </row>
    <row r="3239" customHeight="1" spans="1:10">
      <c r="A3239" s="1">
        <v>1122</v>
      </c>
      <c r="B3239" s="1">
        <v>4</v>
      </c>
      <c r="C3239" s="1">
        <v>41</v>
      </c>
      <c r="D3239" s="1">
        <v>2</v>
      </c>
      <c r="E3239" s="1">
        <v>1469.99</v>
      </c>
      <c r="F3239" s="1">
        <v>0.05</v>
      </c>
      <c r="G3239">
        <f t="shared" si="50"/>
        <v>2939.93</v>
      </c>
      <c r="H3239" t="str">
        <f>VLOOKUP(C3239,[1]products!$A:$B,2,FALSE)</f>
        <v>Haro Shift R3 - 2017</v>
      </c>
      <c r="I3239">
        <f>VLOOKUP(C3239,[1]products!$A:$D,4,FALSE)</f>
        <v>6</v>
      </c>
      <c r="J3239" t="str">
        <f>VLOOKUP(I3239,[2]categories!$A$1:$B$8,2,FALSE)</f>
        <v>Mountain Bikes</v>
      </c>
    </row>
    <row r="3240" customHeight="1" spans="1:10">
      <c r="A3240" s="1">
        <v>1122</v>
      </c>
      <c r="B3240" s="1">
        <v>5</v>
      </c>
      <c r="C3240" s="1">
        <v>72</v>
      </c>
      <c r="D3240" s="1">
        <v>1</v>
      </c>
      <c r="E3240" s="1">
        <v>619.99</v>
      </c>
      <c r="F3240" s="1">
        <v>0.1</v>
      </c>
      <c r="G3240">
        <f t="shared" si="50"/>
        <v>619.89</v>
      </c>
      <c r="H3240" t="str">
        <f>VLOOKUP(C3240,[1]products!$A:$B,2,FALSE)</f>
        <v>Sun Bicycles Biscayne Tandem 7 - 2017</v>
      </c>
      <c r="I3240">
        <f>VLOOKUP(C3240,[1]products!$A:$D,4,FALSE)</f>
        <v>3</v>
      </c>
      <c r="J3240" t="str">
        <f>VLOOKUP(I3240,[2]categories!$A$1:$B$8,2,FALSE)</f>
        <v>Cruisers Bicycles</v>
      </c>
    </row>
    <row r="3241" customHeight="1" spans="1:10">
      <c r="A3241" s="1">
        <v>1123</v>
      </c>
      <c r="B3241" s="1">
        <v>1</v>
      </c>
      <c r="C3241" s="1">
        <v>65</v>
      </c>
      <c r="D3241" s="1">
        <v>2</v>
      </c>
      <c r="E3241" s="1">
        <v>346.99</v>
      </c>
      <c r="F3241" s="1">
        <v>0.07</v>
      </c>
      <c r="G3241">
        <f t="shared" si="50"/>
        <v>693.91</v>
      </c>
      <c r="H3241" t="str">
        <f>VLOOKUP(C3241,[1]products!$A:$B,2,FALSE)</f>
        <v>Sun Bicycles Lil Bolt Type-R - 2017</v>
      </c>
      <c r="I3241">
        <f>VLOOKUP(C3241,[1]products!$A:$D,4,FALSE)</f>
        <v>3</v>
      </c>
      <c r="J3241" t="str">
        <f>VLOOKUP(I3241,[2]categories!$A$1:$B$8,2,FALSE)</f>
        <v>Cruisers Bicycles</v>
      </c>
    </row>
    <row r="3242" customHeight="1" spans="1:10">
      <c r="A3242" s="1">
        <v>1123</v>
      </c>
      <c r="B3242" s="1">
        <v>2</v>
      </c>
      <c r="C3242" s="1">
        <v>61</v>
      </c>
      <c r="D3242" s="1">
        <v>2</v>
      </c>
      <c r="E3242" s="1">
        <v>4999.99</v>
      </c>
      <c r="F3242" s="1">
        <v>0.1</v>
      </c>
      <c r="G3242">
        <f t="shared" si="50"/>
        <v>9999.88</v>
      </c>
      <c r="H3242" t="str">
        <f>VLOOKUP(C3242,[1]products!$A:$B,2,FALSE)</f>
        <v>Trek Powerfly 8 FS Plus - 2017</v>
      </c>
      <c r="I3242">
        <f>VLOOKUP(C3242,[1]products!$A:$D,4,FALSE)</f>
        <v>5</v>
      </c>
      <c r="J3242" t="str">
        <f>VLOOKUP(I3242,[2]categories!$A$1:$B$8,2,FALSE)</f>
        <v>Electric Bikes</v>
      </c>
    </row>
    <row r="3243" customHeight="1" spans="1:10">
      <c r="A3243" s="1">
        <v>1124</v>
      </c>
      <c r="B3243" s="1">
        <v>1</v>
      </c>
      <c r="C3243" s="1">
        <v>7</v>
      </c>
      <c r="D3243" s="1">
        <v>2</v>
      </c>
      <c r="E3243" s="1">
        <v>3999.99</v>
      </c>
      <c r="F3243" s="1">
        <v>0.1</v>
      </c>
      <c r="G3243">
        <f t="shared" si="50"/>
        <v>7999.88</v>
      </c>
      <c r="H3243" t="str">
        <f>VLOOKUP(C3243,[1]products!$A:$B,2,FALSE)</f>
        <v>Trek Slash 8 27.5 - 2016</v>
      </c>
      <c r="I3243">
        <f>VLOOKUP(C3243,[1]products!$A:$D,4,FALSE)</f>
        <v>6</v>
      </c>
      <c r="J3243" t="str">
        <f>VLOOKUP(I3243,[2]categories!$A$1:$B$8,2,FALSE)</f>
        <v>Mountain Bikes</v>
      </c>
    </row>
    <row r="3244" customHeight="1" spans="1:10">
      <c r="A3244" s="1">
        <v>1124</v>
      </c>
      <c r="B3244" s="1">
        <v>2</v>
      </c>
      <c r="C3244" s="1">
        <v>6</v>
      </c>
      <c r="D3244" s="1">
        <v>1</v>
      </c>
      <c r="E3244" s="1">
        <v>469.99</v>
      </c>
      <c r="F3244" s="1">
        <v>0.1</v>
      </c>
      <c r="G3244">
        <f t="shared" si="50"/>
        <v>469.89</v>
      </c>
      <c r="H3244" t="str">
        <f>VLOOKUP(C3244,[1]products!$A:$B,2,FALSE)</f>
        <v>Surly Ice Cream Truck Frameset - 2016</v>
      </c>
      <c r="I3244">
        <f>VLOOKUP(C3244,[1]products!$A:$D,4,FALSE)</f>
        <v>6</v>
      </c>
      <c r="J3244" t="str">
        <f>VLOOKUP(I3244,[2]categories!$A$1:$B$8,2,FALSE)</f>
        <v>Mountain Bikes</v>
      </c>
    </row>
    <row r="3245" customHeight="1" spans="1:10">
      <c r="A3245" s="1">
        <v>1124</v>
      </c>
      <c r="B3245" s="1">
        <v>3</v>
      </c>
      <c r="C3245" s="1">
        <v>109</v>
      </c>
      <c r="D3245" s="1">
        <v>2</v>
      </c>
      <c r="E3245" s="1">
        <v>416.99</v>
      </c>
      <c r="F3245" s="1">
        <v>0.07</v>
      </c>
      <c r="G3245">
        <f t="shared" si="50"/>
        <v>833.91</v>
      </c>
      <c r="H3245" t="str">
        <f>VLOOKUP(C3245,[1]products!$A:$B,2,FALSE)</f>
        <v>Sun Bicycles Cruz 7 - Women's - 2017</v>
      </c>
      <c r="I3245">
        <f>VLOOKUP(C3245,[1]products!$A:$D,4,FALSE)</f>
        <v>2</v>
      </c>
      <c r="J3245" t="str">
        <f>VLOOKUP(I3245,[2]categories!$A$1:$B$8,2,FALSE)</f>
        <v>Comfort Bicycles</v>
      </c>
    </row>
    <row r="3246" customHeight="1" spans="1:10">
      <c r="A3246" s="1">
        <v>1124</v>
      </c>
      <c r="B3246" s="1">
        <v>4</v>
      </c>
      <c r="C3246" s="1">
        <v>45</v>
      </c>
      <c r="D3246" s="1">
        <v>2</v>
      </c>
      <c r="E3246" s="1">
        <v>869.99</v>
      </c>
      <c r="F3246" s="1">
        <v>0.05</v>
      </c>
      <c r="G3246">
        <f t="shared" si="50"/>
        <v>1739.93</v>
      </c>
      <c r="H3246" t="str">
        <f>VLOOKUP(C3246,[1]products!$A:$B,2,FALSE)</f>
        <v>Haro SR 1.2 - 2017</v>
      </c>
      <c r="I3246">
        <f>VLOOKUP(C3246,[1]products!$A:$D,4,FALSE)</f>
        <v>6</v>
      </c>
      <c r="J3246" t="str">
        <f>VLOOKUP(I3246,[2]categories!$A$1:$B$8,2,FALSE)</f>
        <v>Mountain Bikes</v>
      </c>
    </row>
    <row r="3247" customHeight="1" spans="1:10">
      <c r="A3247" s="1">
        <v>1124</v>
      </c>
      <c r="B3247" s="1">
        <v>5</v>
      </c>
      <c r="C3247" s="1">
        <v>2</v>
      </c>
      <c r="D3247" s="1">
        <v>2</v>
      </c>
      <c r="E3247" s="1">
        <v>749.99</v>
      </c>
      <c r="F3247" s="1">
        <v>0.05</v>
      </c>
      <c r="G3247">
        <f t="shared" si="50"/>
        <v>1499.93</v>
      </c>
      <c r="H3247" t="str">
        <f>VLOOKUP(C3247,[1]products!$A:$B,2,FALSE)</f>
        <v>Ritchey Timberwolf Frameset - 2016</v>
      </c>
      <c r="I3247">
        <f>VLOOKUP(C3247,[1]products!$A:$D,4,FALSE)</f>
        <v>6</v>
      </c>
      <c r="J3247" t="str">
        <f>VLOOKUP(I3247,[2]categories!$A$1:$B$8,2,FALSE)</f>
        <v>Mountain Bikes</v>
      </c>
    </row>
    <row r="3248" customHeight="1" spans="1:10">
      <c r="A3248" s="1">
        <v>1125</v>
      </c>
      <c r="B3248" s="1">
        <v>1</v>
      </c>
      <c r="C3248" s="1">
        <v>16</v>
      </c>
      <c r="D3248" s="1">
        <v>2</v>
      </c>
      <c r="E3248" s="1">
        <v>599.99</v>
      </c>
      <c r="F3248" s="1">
        <v>0.05</v>
      </c>
      <c r="G3248">
        <f t="shared" si="50"/>
        <v>1199.93</v>
      </c>
      <c r="H3248" t="str">
        <f>VLOOKUP(C3248,[1]products!$A:$B,2,FALSE)</f>
        <v>Electra Townie Original 7D EQ - 2016</v>
      </c>
      <c r="I3248">
        <f>VLOOKUP(C3248,[1]products!$A:$D,4,FALSE)</f>
        <v>3</v>
      </c>
      <c r="J3248" t="str">
        <f>VLOOKUP(I3248,[2]categories!$A$1:$B$8,2,FALSE)</f>
        <v>Cruisers Bicycles</v>
      </c>
    </row>
    <row r="3249" customHeight="1" spans="1:10">
      <c r="A3249" s="1">
        <v>1125</v>
      </c>
      <c r="B3249" s="1">
        <v>2</v>
      </c>
      <c r="C3249" s="1">
        <v>21</v>
      </c>
      <c r="D3249" s="1">
        <v>1</v>
      </c>
      <c r="E3249" s="1">
        <v>269.99</v>
      </c>
      <c r="F3249" s="1">
        <v>0.1</v>
      </c>
      <c r="G3249">
        <f t="shared" si="50"/>
        <v>269.89</v>
      </c>
      <c r="H3249" t="str">
        <f>VLOOKUP(C3249,[1]products!$A:$B,2,FALSE)</f>
        <v>Electra Cruiser 1 (24-Inch) - 2016</v>
      </c>
      <c r="I3249">
        <f>VLOOKUP(C3249,[1]products!$A:$D,4,FALSE)</f>
        <v>1</v>
      </c>
      <c r="J3249" t="str">
        <f>VLOOKUP(I3249,[2]categories!$A$1:$B$8,2,FALSE)</f>
        <v>Children Bicycles</v>
      </c>
    </row>
    <row r="3250" customHeight="1" spans="1:10">
      <c r="A3250" s="1">
        <v>1125</v>
      </c>
      <c r="B3250" s="1">
        <v>3</v>
      </c>
      <c r="C3250" s="1">
        <v>81</v>
      </c>
      <c r="D3250" s="1">
        <v>2</v>
      </c>
      <c r="E3250" s="1">
        <v>1099.99</v>
      </c>
      <c r="F3250" s="1">
        <v>0.07</v>
      </c>
      <c r="G3250">
        <f t="shared" si="50"/>
        <v>2199.91</v>
      </c>
      <c r="H3250" t="str">
        <f>VLOOKUP(C3250,[1]products!$A:$B,2,FALSE)</f>
        <v>Electra Amsterdam Fashion 7i Ladies' - 2017</v>
      </c>
      <c r="I3250">
        <f>VLOOKUP(C3250,[1]products!$A:$D,4,FALSE)</f>
        <v>3</v>
      </c>
      <c r="J3250" t="str">
        <f>VLOOKUP(I3250,[2]categories!$A$1:$B$8,2,FALSE)</f>
        <v>Cruisers Bicycles</v>
      </c>
    </row>
    <row r="3251" customHeight="1" spans="1:10">
      <c r="A3251" s="1">
        <v>1125</v>
      </c>
      <c r="B3251" s="1">
        <v>4</v>
      </c>
      <c r="C3251" s="1">
        <v>24</v>
      </c>
      <c r="D3251" s="1">
        <v>1</v>
      </c>
      <c r="E3251" s="1">
        <v>549.99</v>
      </c>
      <c r="F3251" s="1">
        <v>0.07</v>
      </c>
      <c r="G3251">
        <f t="shared" si="50"/>
        <v>549.92</v>
      </c>
      <c r="H3251" t="str">
        <f>VLOOKUP(C3251,[1]products!$A:$B,2,FALSE)</f>
        <v>Electra Townie Original 21D - 2016</v>
      </c>
      <c r="I3251">
        <f>VLOOKUP(C3251,[1]products!$A:$D,4,FALSE)</f>
        <v>2</v>
      </c>
      <c r="J3251" t="str">
        <f>VLOOKUP(I3251,[2]categories!$A$1:$B$8,2,FALSE)</f>
        <v>Comfort Bicycles</v>
      </c>
    </row>
    <row r="3252" customHeight="1" spans="1:10">
      <c r="A3252" s="1">
        <v>1125</v>
      </c>
      <c r="B3252" s="1">
        <v>5</v>
      </c>
      <c r="C3252" s="1">
        <v>32</v>
      </c>
      <c r="D3252" s="1">
        <v>2</v>
      </c>
      <c r="E3252" s="1">
        <v>469.99</v>
      </c>
      <c r="F3252" s="1">
        <v>0.07</v>
      </c>
      <c r="G3252">
        <f t="shared" si="50"/>
        <v>939.91</v>
      </c>
      <c r="H3252" t="str">
        <f>VLOOKUP(C3252,[1]products!$A:$B,2,FALSE)</f>
        <v>Trek Farley Alloy Frameset - 2017</v>
      </c>
      <c r="I3252">
        <f>VLOOKUP(C3252,[1]products!$A:$D,4,FALSE)</f>
        <v>6</v>
      </c>
      <c r="J3252" t="str">
        <f>VLOOKUP(I3252,[2]categories!$A$1:$B$8,2,FALSE)</f>
        <v>Mountain Bikes</v>
      </c>
    </row>
    <row r="3253" customHeight="1" spans="1:10">
      <c r="A3253" s="1">
        <v>1126</v>
      </c>
      <c r="B3253" s="1">
        <v>1</v>
      </c>
      <c r="C3253" s="1">
        <v>33</v>
      </c>
      <c r="D3253" s="1">
        <v>2</v>
      </c>
      <c r="E3253" s="1">
        <v>469.99</v>
      </c>
      <c r="F3253" s="1">
        <v>0.1</v>
      </c>
      <c r="G3253">
        <f t="shared" si="50"/>
        <v>939.88</v>
      </c>
      <c r="H3253" t="str">
        <f>VLOOKUP(C3253,[1]products!$A:$B,2,FALSE)</f>
        <v>Surly Wednesday Frameset - 2017</v>
      </c>
      <c r="I3253">
        <f>VLOOKUP(C3253,[1]products!$A:$D,4,FALSE)</f>
        <v>6</v>
      </c>
      <c r="J3253" t="str">
        <f>VLOOKUP(I3253,[2]categories!$A$1:$B$8,2,FALSE)</f>
        <v>Mountain Bikes</v>
      </c>
    </row>
    <row r="3254" customHeight="1" spans="1:10">
      <c r="A3254" s="1">
        <v>1126</v>
      </c>
      <c r="B3254" s="1">
        <v>2</v>
      </c>
      <c r="C3254" s="1">
        <v>58</v>
      </c>
      <c r="D3254" s="1">
        <v>1</v>
      </c>
      <c r="E3254" s="1">
        <v>4999.99</v>
      </c>
      <c r="F3254" s="1">
        <v>0.2</v>
      </c>
      <c r="G3254">
        <f t="shared" si="50"/>
        <v>4999.79</v>
      </c>
      <c r="H3254" t="str">
        <f>VLOOKUP(C3254,[1]products!$A:$B,2,FALSE)</f>
        <v>Trek Madone 9.2 - 2017</v>
      </c>
      <c r="I3254">
        <f>VLOOKUP(C3254,[1]products!$A:$D,4,FALSE)</f>
        <v>7</v>
      </c>
      <c r="J3254" t="str">
        <f>VLOOKUP(I3254,[2]categories!$A$1:$B$8,2,FALSE)</f>
        <v>Road Bikes</v>
      </c>
    </row>
    <row r="3255" customHeight="1" spans="1:10">
      <c r="A3255" s="1">
        <v>1126</v>
      </c>
      <c r="B3255" s="1">
        <v>3</v>
      </c>
      <c r="C3255" s="1">
        <v>89</v>
      </c>
      <c r="D3255" s="1">
        <v>2</v>
      </c>
      <c r="E3255" s="1">
        <v>209.99</v>
      </c>
      <c r="F3255" s="1">
        <v>0.05</v>
      </c>
      <c r="G3255">
        <f t="shared" si="50"/>
        <v>419.93</v>
      </c>
      <c r="H3255" t="str">
        <f>VLOOKUP(C3255,[1]products!$A:$B,2,FALSE)</f>
        <v>Trek Precaliber 16 Boys - 2017</v>
      </c>
      <c r="I3255">
        <f>VLOOKUP(C3255,[1]products!$A:$D,4,FALSE)</f>
        <v>1</v>
      </c>
      <c r="J3255" t="str">
        <f>VLOOKUP(I3255,[2]categories!$A$1:$B$8,2,FALSE)</f>
        <v>Children Bicycles</v>
      </c>
    </row>
    <row r="3256" customHeight="1" spans="1:10">
      <c r="A3256" s="1">
        <v>1127</v>
      </c>
      <c r="B3256" s="1">
        <v>1</v>
      </c>
      <c r="C3256" s="1">
        <v>23</v>
      </c>
      <c r="D3256" s="1">
        <v>2</v>
      </c>
      <c r="E3256" s="1">
        <v>299.99</v>
      </c>
      <c r="F3256" s="1">
        <v>0.1</v>
      </c>
      <c r="G3256">
        <f t="shared" si="50"/>
        <v>599.88</v>
      </c>
      <c r="H3256" t="str">
        <f>VLOOKUP(C3256,[1]products!$A:$B,2,FALSE)</f>
        <v>Electra Girl's Hawaii 1 (20-inch) - 2015/2016</v>
      </c>
      <c r="I3256">
        <f>VLOOKUP(C3256,[1]products!$A:$D,4,FALSE)</f>
        <v>1</v>
      </c>
      <c r="J3256" t="str">
        <f>VLOOKUP(I3256,[2]categories!$A$1:$B$8,2,FALSE)</f>
        <v>Children Bicycles</v>
      </c>
    </row>
    <row r="3257" customHeight="1" spans="1:10">
      <c r="A3257" s="1">
        <v>1127</v>
      </c>
      <c r="B3257" s="1">
        <v>2</v>
      </c>
      <c r="C3257" s="1">
        <v>96</v>
      </c>
      <c r="D3257" s="1">
        <v>2</v>
      </c>
      <c r="E3257" s="1">
        <v>349.99</v>
      </c>
      <c r="F3257" s="1">
        <v>0.07</v>
      </c>
      <c r="G3257">
        <f t="shared" si="50"/>
        <v>699.91</v>
      </c>
      <c r="H3257" t="str">
        <f>VLOOKUP(C3257,[1]products!$A:$B,2,FALSE)</f>
        <v>Electra Moto 3i (20-inch) - Boy's - 2017</v>
      </c>
      <c r="I3257">
        <f>VLOOKUP(C3257,[1]products!$A:$D,4,FALSE)</f>
        <v>1</v>
      </c>
      <c r="J3257" t="str">
        <f>VLOOKUP(I3257,[2]categories!$A$1:$B$8,2,FALSE)</f>
        <v>Children Bicycles</v>
      </c>
    </row>
    <row r="3258" customHeight="1" spans="1:10">
      <c r="A3258" s="1">
        <v>1127</v>
      </c>
      <c r="B3258" s="1">
        <v>3</v>
      </c>
      <c r="C3258" s="1">
        <v>37</v>
      </c>
      <c r="D3258" s="1">
        <v>1</v>
      </c>
      <c r="E3258" s="1">
        <v>379.99</v>
      </c>
      <c r="F3258" s="1">
        <v>0.2</v>
      </c>
      <c r="G3258">
        <f t="shared" si="50"/>
        <v>379.79</v>
      </c>
      <c r="H3258" t="str">
        <f>VLOOKUP(C3258,[1]products!$A:$B,2,FALSE)</f>
        <v>Haro Flightline One ST - 2017</v>
      </c>
      <c r="I3258">
        <f>VLOOKUP(C3258,[1]products!$A:$D,4,FALSE)</f>
        <v>6</v>
      </c>
      <c r="J3258" t="str">
        <f>VLOOKUP(I3258,[2]categories!$A$1:$B$8,2,FALSE)</f>
        <v>Mountain Bikes</v>
      </c>
    </row>
    <row r="3259" customHeight="1" spans="1:10">
      <c r="A3259" s="1">
        <v>1128</v>
      </c>
      <c r="B3259" s="1">
        <v>1</v>
      </c>
      <c r="C3259" s="1">
        <v>44</v>
      </c>
      <c r="D3259" s="1">
        <v>1</v>
      </c>
      <c r="E3259" s="1">
        <v>539.99</v>
      </c>
      <c r="F3259" s="1">
        <v>0.05</v>
      </c>
      <c r="G3259">
        <f t="shared" si="50"/>
        <v>539.94</v>
      </c>
      <c r="H3259" t="str">
        <f>VLOOKUP(C3259,[1]products!$A:$B,2,FALSE)</f>
        <v>Haro SR 1.1 - 2017</v>
      </c>
      <c r="I3259">
        <f>VLOOKUP(C3259,[1]products!$A:$D,4,FALSE)</f>
        <v>6</v>
      </c>
      <c r="J3259" t="str">
        <f>VLOOKUP(I3259,[2]categories!$A$1:$B$8,2,FALSE)</f>
        <v>Mountain Bikes</v>
      </c>
    </row>
    <row r="3260" customHeight="1" spans="1:10">
      <c r="A3260" s="1">
        <v>1128</v>
      </c>
      <c r="B3260" s="1">
        <v>2</v>
      </c>
      <c r="C3260" s="1">
        <v>10</v>
      </c>
      <c r="D3260" s="1">
        <v>1</v>
      </c>
      <c r="E3260" s="1">
        <v>1549</v>
      </c>
      <c r="F3260" s="1">
        <v>0.2</v>
      </c>
      <c r="G3260">
        <f t="shared" si="50"/>
        <v>1548.8</v>
      </c>
      <c r="H3260" t="str">
        <f>VLOOKUP(C3260,[1]products!$A:$B,2,FALSE)</f>
        <v>Surly Straggler - 2016</v>
      </c>
      <c r="I3260">
        <f>VLOOKUP(C3260,[1]products!$A:$D,4,FALSE)</f>
        <v>4</v>
      </c>
      <c r="J3260" t="str">
        <f>VLOOKUP(I3260,[2]categories!$A$1:$B$8,2,FALSE)</f>
        <v>Cyclocross Bicycles</v>
      </c>
    </row>
    <row r="3261" customHeight="1" spans="1:10">
      <c r="A3261" s="1">
        <v>1128</v>
      </c>
      <c r="B3261" s="1">
        <v>3</v>
      </c>
      <c r="C3261" s="1">
        <v>65</v>
      </c>
      <c r="D3261" s="1">
        <v>2</v>
      </c>
      <c r="E3261" s="1">
        <v>346.99</v>
      </c>
      <c r="F3261" s="1">
        <v>0.05</v>
      </c>
      <c r="G3261">
        <f t="shared" si="50"/>
        <v>693.93</v>
      </c>
      <c r="H3261" t="str">
        <f>VLOOKUP(C3261,[1]products!$A:$B,2,FALSE)</f>
        <v>Sun Bicycles Lil Bolt Type-R - 2017</v>
      </c>
      <c r="I3261">
        <f>VLOOKUP(C3261,[1]products!$A:$D,4,FALSE)</f>
        <v>3</v>
      </c>
      <c r="J3261" t="str">
        <f>VLOOKUP(I3261,[2]categories!$A$1:$B$8,2,FALSE)</f>
        <v>Cruisers Bicycles</v>
      </c>
    </row>
    <row r="3262" customHeight="1" spans="1:10">
      <c r="A3262" s="1">
        <v>1129</v>
      </c>
      <c r="B3262" s="1">
        <v>1</v>
      </c>
      <c r="C3262" s="1">
        <v>71</v>
      </c>
      <c r="D3262" s="1">
        <v>2</v>
      </c>
      <c r="E3262" s="1">
        <v>416.99</v>
      </c>
      <c r="F3262" s="1">
        <v>0.2</v>
      </c>
      <c r="G3262">
        <f t="shared" si="50"/>
        <v>833.78</v>
      </c>
      <c r="H3262" t="str">
        <f>VLOOKUP(C3262,[1]products!$A:$B,2,FALSE)</f>
        <v>Sun Bicycles Atlas X-Type - 2017</v>
      </c>
      <c r="I3262">
        <f>VLOOKUP(C3262,[1]products!$A:$D,4,FALSE)</f>
        <v>3</v>
      </c>
      <c r="J3262" t="str">
        <f>VLOOKUP(I3262,[2]categories!$A$1:$B$8,2,FALSE)</f>
        <v>Cruisers Bicycles</v>
      </c>
    </row>
    <row r="3263" customHeight="1" spans="1:10">
      <c r="A3263" s="1">
        <v>1129</v>
      </c>
      <c r="B3263" s="1">
        <v>2</v>
      </c>
      <c r="C3263" s="1">
        <v>56</v>
      </c>
      <c r="D3263" s="1">
        <v>1</v>
      </c>
      <c r="E3263" s="1">
        <v>5499.99</v>
      </c>
      <c r="F3263" s="1">
        <v>0.2</v>
      </c>
      <c r="G3263">
        <f t="shared" si="50"/>
        <v>5499.79</v>
      </c>
      <c r="H3263" t="str">
        <f>VLOOKUP(C3263,[1]products!$A:$B,2,FALSE)</f>
        <v>Trek Domane SLR 6 Disc - 2017</v>
      </c>
      <c r="I3263">
        <f>VLOOKUP(C3263,[1]products!$A:$D,4,FALSE)</f>
        <v>7</v>
      </c>
      <c r="J3263" t="str">
        <f>VLOOKUP(I3263,[2]categories!$A$1:$B$8,2,FALSE)</f>
        <v>Road Bikes</v>
      </c>
    </row>
    <row r="3264" customHeight="1" spans="1:10">
      <c r="A3264" s="1">
        <v>1129</v>
      </c>
      <c r="B3264" s="1">
        <v>3</v>
      </c>
      <c r="C3264" s="1">
        <v>61</v>
      </c>
      <c r="D3264" s="1">
        <v>2</v>
      </c>
      <c r="E3264" s="1">
        <v>4999.99</v>
      </c>
      <c r="F3264" s="1">
        <v>0.05</v>
      </c>
      <c r="G3264">
        <f t="shared" si="50"/>
        <v>9999.93</v>
      </c>
      <c r="H3264" t="str">
        <f>VLOOKUP(C3264,[1]products!$A:$B,2,FALSE)</f>
        <v>Trek Powerfly 8 FS Plus - 2017</v>
      </c>
      <c r="I3264">
        <f>VLOOKUP(C3264,[1]products!$A:$D,4,FALSE)</f>
        <v>5</v>
      </c>
      <c r="J3264" t="str">
        <f>VLOOKUP(I3264,[2]categories!$A$1:$B$8,2,FALSE)</f>
        <v>Electric Bikes</v>
      </c>
    </row>
    <row r="3265" customHeight="1" spans="1:10">
      <c r="A3265" s="1">
        <v>1130</v>
      </c>
      <c r="B3265" s="1">
        <v>1</v>
      </c>
      <c r="C3265" s="1">
        <v>54</v>
      </c>
      <c r="D3265" s="1">
        <v>2</v>
      </c>
      <c r="E3265" s="1">
        <v>3199.99</v>
      </c>
      <c r="F3265" s="1">
        <v>0.2</v>
      </c>
      <c r="G3265">
        <f t="shared" si="50"/>
        <v>6399.78</v>
      </c>
      <c r="H3265" t="str">
        <f>VLOOKUP(C3265,[1]products!$A:$B,2,FALSE)</f>
        <v>Trek Domane SL Disc Frameset - 2017</v>
      </c>
      <c r="I3265">
        <f>VLOOKUP(C3265,[1]products!$A:$D,4,FALSE)</f>
        <v>7</v>
      </c>
      <c r="J3265" t="str">
        <f>VLOOKUP(I3265,[2]categories!$A$1:$B$8,2,FALSE)</f>
        <v>Road Bikes</v>
      </c>
    </row>
    <row r="3266" customHeight="1" spans="1:10">
      <c r="A3266" s="1">
        <v>1131</v>
      </c>
      <c r="B3266" s="1">
        <v>1</v>
      </c>
      <c r="C3266" s="1">
        <v>60</v>
      </c>
      <c r="D3266" s="1">
        <v>2</v>
      </c>
      <c r="E3266" s="1">
        <v>1559.99</v>
      </c>
      <c r="F3266" s="1">
        <v>0.07</v>
      </c>
      <c r="G3266">
        <f t="shared" si="50"/>
        <v>3119.91</v>
      </c>
      <c r="H3266" t="str">
        <f>VLOOKUP(C3266,[1]products!$A:$B,2,FALSE)</f>
        <v>Sun Bicycles ElectroLite - 2017</v>
      </c>
      <c r="I3266">
        <f>VLOOKUP(C3266,[1]products!$A:$D,4,FALSE)</f>
        <v>5</v>
      </c>
      <c r="J3266" t="str">
        <f>VLOOKUP(I3266,[2]categories!$A$1:$B$8,2,FALSE)</f>
        <v>Electric Bikes</v>
      </c>
    </row>
    <row r="3267" customHeight="1" spans="1:10">
      <c r="A3267" s="1">
        <v>1131</v>
      </c>
      <c r="B3267" s="1">
        <v>2</v>
      </c>
      <c r="C3267" s="1">
        <v>103</v>
      </c>
      <c r="D3267" s="1">
        <v>2</v>
      </c>
      <c r="E3267" s="1">
        <v>551.99</v>
      </c>
      <c r="F3267" s="1">
        <v>0.05</v>
      </c>
      <c r="G3267">
        <f t="shared" ref="G3267:G3330" si="51">(E3267*D3267)-F3267</f>
        <v>1103.93</v>
      </c>
      <c r="H3267" t="str">
        <f>VLOOKUP(C3267,[1]products!$A:$B,2,FALSE)</f>
        <v>Sun Bicycles Streamway 3 - 2017</v>
      </c>
      <c r="I3267">
        <f>VLOOKUP(C3267,[1]products!$A:$D,4,FALSE)</f>
        <v>2</v>
      </c>
      <c r="J3267" t="str">
        <f>VLOOKUP(I3267,[2]categories!$A$1:$B$8,2,FALSE)</f>
        <v>Comfort Bicycles</v>
      </c>
    </row>
    <row r="3268" customHeight="1" spans="1:10">
      <c r="A3268" s="1">
        <v>1132</v>
      </c>
      <c r="B3268" s="1">
        <v>1</v>
      </c>
      <c r="C3268" s="1">
        <v>43</v>
      </c>
      <c r="D3268" s="1">
        <v>1</v>
      </c>
      <c r="E3268" s="1">
        <v>5299.99</v>
      </c>
      <c r="F3268" s="1">
        <v>0.05</v>
      </c>
      <c r="G3268">
        <f t="shared" si="51"/>
        <v>5299.94</v>
      </c>
      <c r="H3268" t="str">
        <f>VLOOKUP(C3268,[1]products!$A:$B,2,FALSE)</f>
        <v>Trek Fuel EX 9.8 27.5 Plus - 2017</v>
      </c>
      <c r="I3268">
        <f>VLOOKUP(C3268,[1]products!$A:$D,4,FALSE)</f>
        <v>6</v>
      </c>
      <c r="J3268" t="str">
        <f>VLOOKUP(I3268,[2]categories!$A$1:$B$8,2,FALSE)</f>
        <v>Mountain Bikes</v>
      </c>
    </row>
    <row r="3269" customHeight="1" spans="1:10">
      <c r="A3269" s="1">
        <v>1132</v>
      </c>
      <c r="B3269" s="1">
        <v>2</v>
      </c>
      <c r="C3269" s="1">
        <v>10</v>
      </c>
      <c r="D3269" s="1">
        <v>1</v>
      </c>
      <c r="E3269" s="1">
        <v>1549</v>
      </c>
      <c r="F3269" s="1">
        <v>0.1</v>
      </c>
      <c r="G3269">
        <f t="shared" si="51"/>
        <v>1548.9</v>
      </c>
      <c r="H3269" t="str">
        <f>VLOOKUP(C3269,[1]products!$A:$B,2,FALSE)</f>
        <v>Surly Straggler - 2016</v>
      </c>
      <c r="I3269">
        <f>VLOOKUP(C3269,[1]products!$A:$D,4,FALSE)</f>
        <v>4</v>
      </c>
      <c r="J3269" t="str">
        <f>VLOOKUP(I3269,[2]categories!$A$1:$B$8,2,FALSE)</f>
        <v>Cyclocross Bicycles</v>
      </c>
    </row>
    <row r="3270" customHeight="1" spans="1:10">
      <c r="A3270" s="1">
        <v>1132</v>
      </c>
      <c r="B3270" s="1">
        <v>3</v>
      </c>
      <c r="C3270" s="1">
        <v>36</v>
      </c>
      <c r="D3270" s="1">
        <v>2</v>
      </c>
      <c r="E3270" s="1">
        <v>832.99</v>
      </c>
      <c r="F3270" s="1">
        <v>0.1</v>
      </c>
      <c r="G3270">
        <f t="shared" si="51"/>
        <v>1665.88</v>
      </c>
      <c r="H3270" t="str">
        <f>VLOOKUP(C3270,[1]products!$A:$B,2,FALSE)</f>
        <v>Surly Troll Frameset - 2017</v>
      </c>
      <c r="I3270">
        <f>VLOOKUP(C3270,[1]products!$A:$D,4,FALSE)</f>
        <v>6</v>
      </c>
      <c r="J3270" t="str">
        <f>VLOOKUP(I3270,[2]categories!$A$1:$B$8,2,FALSE)</f>
        <v>Mountain Bikes</v>
      </c>
    </row>
    <row r="3271" customHeight="1" spans="1:10">
      <c r="A3271" s="1">
        <v>1132</v>
      </c>
      <c r="B3271" s="1">
        <v>4</v>
      </c>
      <c r="C3271" s="1">
        <v>16</v>
      </c>
      <c r="D3271" s="1">
        <v>1</v>
      </c>
      <c r="E3271" s="1">
        <v>599.99</v>
      </c>
      <c r="F3271" s="1">
        <v>0.05</v>
      </c>
      <c r="G3271">
        <f t="shared" si="51"/>
        <v>599.94</v>
      </c>
      <c r="H3271" t="str">
        <f>VLOOKUP(C3271,[1]products!$A:$B,2,FALSE)</f>
        <v>Electra Townie Original 7D EQ - 2016</v>
      </c>
      <c r="I3271">
        <f>VLOOKUP(C3271,[1]products!$A:$D,4,FALSE)</f>
        <v>3</v>
      </c>
      <c r="J3271" t="str">
        <f>VLOOKUP(I3271,[2]categories!$A$1:$B$8,2,FALSE)</f>
        <v>Cruisers Bicycles</v>
      </c>
    </row>
    <row r="3272" customHeight="1" spans="1:10">
      <c r="A3272" s="1">
        <v>1133</v>
      </c>
      <c r="B3272" s="1">
        <v>1</v>
      </c>
      <c r="C3272" s="1">
        <v>4</v>
      </c>
      <c r="D3272" s="1">
        <v>2</v>
      </c>
      <c r="E3272" s="1">
        <v>2899.99</v>
      </c>
      <c r="F3272" s="1">
        <v>0.05</v>
      </c>
      <c r="G3272">
        <f t="shared" si="51"/>
        <v>5799.93</v>
      </c>
      <c r="H3272" t="str">
        <f>VLOOKUP(C3272,[1]products!$A:$B,2,FALSE)</f>
        <v>Trek Fuel EX 8 29 - 2016</v>
      </c>
      <c r="I3272">
        <f>VLOOKUP(C3272,[1]products!$A:$D,4,FALSE)</f>
        <v>6</v>
      </c>
      <c r="J3272" t="str">
        <f>VLOOKUP(I3272,[2]categories!$A$1:$B$8,2,FALSE)</f>
        <v>Mountain Bikes</v>
      </c>
    </row>
    <row r="3273" customHeight="1" spans="1:10">
      <c r="A3273" s="1">
        <v>1133</v>
      </c>
      <c r="B3273" s="1">
        <v>2</v>
      </c>
      <c r="C3273" s="1">
        <v>17</v>
      </c>
      <c r="D3273" s="1">
        <v>1</v>
      </c>
      <c r="E3273" s="1">
        <v>429</v>
      </c>
      <c r="F3273" s="1">
        <v>0.07</v>
      </c>
      <c r="G3273">
        <f t="shared" si="51"/>
        <v>428.93</v>
      </c>
      <c r="H3273" t="str">
        <f>VLOOKUP(C3273,[1]products!$A:$B,2,FALSE)</f>
        <v>Pure Cycles Vine 8-Speed - 2016</v>
      </c>
      <c r="I3273">
        <f>VLOOKUP(C3273,[1]products!$A:$D,4,FALSE)</f>
        <v>3</v>
      </c>
      <c r="J3273" t="str">
        <f>VLOOKUP(I3273,[2]categories!$A$1:$B$8,2,FALSE)</f>
        <v>Cruisers Bicycles</v>
      </c>
    </row>
    <row r="3274" customHeight="1" spans="1:10">
      <c r="A3274" s="1">
        <v>1133</v>
      </c>
      <c r="B3274" s="1">
        <v>3</v>
      </c>
      <c r="C3274" s="1">
        <v>90</v>
      </c>
      <c r="D3274" s="1">
        <v>2</v>
      </c>
      <c r="E3274" s="1">
        <v>209.99</v>
      </c>
      <c r="F3274" s="1">
        <v>0.2</v>
      </c>
      <c r="G3274">
        <f t="shared" si="51"/>
        <v>419.78</v>
      </c>
      <c r="H3274" t="str">
        <f>VLOOKUP(C3274,[1]products!$A:$B,2,FALSE)</f>
        <v>Trek Precaliber 16 Girls - 2017</v>
      </c>
      <c r="I3274">
        <f>VLOOKUP(C3274,[1]products!$A:$D,4,FALSE)</f>
        <v>1</v>
      </c>
      <c r="J3274" t="str">
        <f>VLOOKUP(I3274,[2]categories!$A$1:$B$8,2,FALSE)</f>
        <v>Children Bicycles</v>
      </c>
    </row>
    <row r="3275" customHeight="1" spans="1:10">
      <c r="A3275" s="1">
        <v>1133</v>
      </c>
      <c r="B3275" s="1">
        <v>4</v>
      </c>
      <c r="C3275" s="1">
        <v>62</v>
      </c>
      <c r="D3275" s="1">
        <v>1</v>
      </c>
      <c r="E3275" s="1">
        <v>3499.99</v>
      </c>
      <c r="F3275" s="1">
        <v>0.2</v>
      </c>
      <c r="G3275">
        <f t="shared" si="51"/>
        <v>3499.79</v>
      </c>
      <c r="H3275" t="str">
        <f>VLOOKUP(C3275,[1]products!$A:$B,2,FALSE)</f>
        <v>Trek Boone 7 - 2017</v>
      </c>
      <c r="I3275">
        <f>VLOOKUP(C3275,[1]products!$A:$D,4,FALSE)</f>
        <v>4</v>
      </c>
      <c r="J3275" t="str">
        <f>VLOOKUP(I3275,[2]categories!$A$1:$B$8,2,FALSE)</f>
        <v>Cyclocross Bicycles</v>
      </c>
    </row>
    <row r="3276" customHeight="1" spans="1:10">
      <c r="A3276" s="1">
        <v>1134</v>
      </c>
      <c r="B3276" s="1">
        <v>1</v>
      </c>
      <c r="C3276" s="1">
        <v>97</v>
      </c>
      <c r="D3276" s="1">
        <v>1</v>
      </c>
      <c r="E3276" s="1">
        <v>349.99</v>
      </c>
      <c r="F3276" s="1">
        <v>0.1</v>
      </c>
      <c r="G3276">
        <f t="shared" si="51"/>
        <v>349.89</v>
      </c>
      <c r="H3276" t="str">
        <f>VLOOKUP(C3276,[1]products!$A:$B,2,FALSE)</f>
        <v>Electra Savannah 3i (20-inch) - Girl's - 2017</v>
      </c>
      <c r="I3276">
        <f>VLOOKUP(C3276,[1]products!$A:$D,4,FALSE)</f>
        <v>1</v>
      </c>
      <c r="J3276" t="str">
        <f>VLOOKUP(I3276,[2]categories!$A$1:$B$8,2,FALSE)</f>
        <v>Children Bicycles</v>
      </c>
    </row>
    <row r="3277" customHeight="1" spans="1:10">
      <c r="A3277" s="1">
        <v>1134</v>
      </c>
      <c r="B3277" s="1">
        <v>2</v>
      </c>
      <c r="C3277" s="1">
        <v>36</v>
      </c>
      <c r="D3277" s="1">
        <v>1</v>
      </c>
      <c r="E3277" s="1">
        <v>832.99</v>
      </c>
      <c r="F3277" s="1">
        <v>0.1</v>
      </c>
      <c r="G3277">
        <f t="shared" si="51"/>
        <v>832.89</v>
      </c>
      <c r="H3277" t="str">
        <f>VLOOKUP(C3277,[1]products!$A:$B,2,FALSE)</f>
        <v>Surly Troll Frameset - 2017</v>
      </c>
      <c r="I3277">
        <f>VLOOKUP(C3277,[1]products!$A:$D,4,FALSE)</f>
        <v>6</v>
      </c>
      <c r="J3277" t="str">
        <f>VLOOKUP(I3277,[2]categories!$A$1:$B$8,2,FALSE)</f>
        <v>Mountain Bikes</v>
      </c>
    </row>
    <row r="3278" customHeight="1" spans="1:10">
      <c r="A3278" s="1">
        <v>1135</v>
      </c>
      <c r="B3278" s="1">
        <v>1</v>
      </c>
      <c r="C3278" s="1">
        <v>101</v>
      </c>
      <c r="D3278" s="1">
        <v>2</v>
      </c>
      <c r="E3278" s="1">
        <v>339.99</v>
      </c>
      <c r="F3278" s="1">
        <v>0.05</v>
      </c>
      <c r="G3278">
        <f t="shared" si="51"/>
        <v>679.93</v>
      </c>
      <c r="H3278" t="str">
        <f>VLOOKUP(C3278,[1]products!$A:$B,2,FALSE)</f>
        <v>Electra Townie 7D (20-inch) - Boys' - 2017</v>
      </c>
      <c r="I3278">
        <f>VLOOKUP(C3278,[1]products!$A:$D,4,FALSE)</f>
        <v>1</v>
      </c>
      <c r="J3278" t="str">
        <f>VLOOKUP(I3278,[2]categories!$A$1:$B$8,2,FALSE)</f>
        <v>Children Bicycles</v>
      </c>
    </row>
    <row r="3279" customHeight="1" spans="1:10">
      <c r="A3279" s="1">
        <v>1135</v>
      </c>
      <c r="B3279" s="1">
        <v>2</v>
      </c>
      <c r="C3279" s="1">
        <v>51</v>
      </c>
      <c r="D3279" s="1">
        <v>1</v>
      </c>
      <c r="E3279" s="1">
        <v>6499.99</v>
      </c>
      <c r="F3279" s="1">
        <v>0.1</v>
      </c>
      <c r="G3279">
        <f t="shared" si="51"/>
        <v>6499.89</v>
      </c>
      <c r="H3279" t="str">
        <f>VLOOKUP(C3279,[1]products!$A:$B,2,FALSE)</f>
        <v>Trek Silque SLR 8 Women's - 2017</v>
      </c>
      <c r="I3279">
        <f>VLOOKUP(C3279,[1]products!$A:$D,4,FALSE)</f>
        <v>7</v>
      </c>
      <c r="J3279" t="str">
        <f>VLOOKUP(I3279,[2]categories!$A$1:$B$8,2,FALSE)</f>
        <v>Road Bikes</v>
      </c>
    </row>
    <row r="3280" customHeight="1" spans="1:10">
      <c r="A3280" s="1">
        <v>1136</v>
      </c>
      <c r="B3280" s="1">
        <v>1</v>
      </c>
      <c r="C3280" s="1">
        <v>105</v>
      </c>
      <c r="D3280" s="1">
        <v>1</v>
      </c>
      <c r="E3280" s="1">
        <v>533.99</v>
      </c>
      <c r="F3280" s="1">
        <v>0.1</v>
      </c>
      <c r="G3280">
        <f t="shared" si="51"/>
        <v>533.89</v>
      </c>
      <c r="H3280" t="str">
        <f>VLOOKUP(C3280,[1]products!$A:$B,2,FALSE)</f>
        <v>Sun Bicycles Streamway 7 - 2017</v>
      </c>
      <c r="I3280">
        <f>VLOOKUP(C3280,[1]products!$A:$D,4,FALSE)</f>
        <v>2</v>
      </c>
      <c r="J3280" t="str">
        <f>VLOOKUP(I3280,[2]categories!$A$1:$B$8,2,FALSE)</f>
        <v>Comfort Bicycles</v>
      </c>
    </row>
    <row r="3281" customHeight="1" spans="1:10">
      <c r="A3281" s="1">
        <v>1137</v>
      </c>
      <c r="B3281" s="1">
        <v>1</v>
      </c>
      <c r="C3281" s="1">
        <v>28</v>
      </c>
      <c r="D3281" s="1">
        <v>1</v>
      </c>
      <c r="E3281" s="1">
        <v>2499.99</v>
      </c>
      <c r="F3281" s="1">
        <v>0.2</v>
      </c>
      <c r="G3281">
        <f t="shared" si="51"/>
        <v>2499.79</v>
      </c>
      <c r="H3281" t="str">
        <f>VLOOKUP(C3281,[1]products!$A:$B,2,FALSE)</f>
        <v>Surly Karate Monkey 27.5+ Frameset - 2017</v>
      </c>
      <c r="I3281">
        <f>VLOOKUP(C3281,[1]products!$A:$D,4,FALSE)</f>
        <v>6</v>
      </c>
      <c r="J3281" t="str">
        <f>VLOOKUP(I3281,[2]categories!$A$1:$B$8,2,FALSE)</f>
        <v>Mountain Bikes</v>
      </c>
    </row>
    <row r="3282" customHeight="1" spans="1:10">
      <c r="A3282" s="1">
        <v>1137</v>
      </c>
      <c r="B3282" s="1">
        <v>2</v>
      </c>
      <c r="C3282" s="1">
        <v>58</v>
      </c>
      <c r="D3282" s="1">
        <v>2</v>
      </c>
      <c r="E3282" s="1">
        <v>4999.99</v>
      </c>
      <c r="F3282" s="1">
        <v>0.2</v>
      </c>
      <c r="G3282">
        <f t="shared" si="51"/>
        <v>9999.78</v>
      </c>
      <c r="H3282" t="str">
        <f>VLOOKUP(C3282,[1]products!$A:$B,2,FALSE)</f>
        <v>Trek Madone 9.2 - 2017</v>
      </c>
      <c r="I3282">
        <f>VLOOKUP(C3282,[1]products!$A:$D,4,FALSE)</f>
        <v>7</v>
      </c>
      <c r="J3282" t="str">
        <f>VLOOKUP(I3282,[2]categories!$A$1:$B$8,2,FALSE)</f>
        <v>Road Bikes</v>
      </c>
    </row>
    <row r="3283" customHeight="1" spans="1:10">
      <c r="A3283" s="1">
        <v>1137</v>
      </c>
      <c r="B3283" s="1">
        <v>3</v>
      </c>
      <c r="C3283" s="1">
        <v>84</v>
      </c>
      <c r="D3283" s="1">
        <v>2</v>
      </c>
      <c r="E3283" s="1">
        <v>109.99</v>
      </c>
      <c r="F3283" s="1">
        <v>0.2</v>
      </c>
      <c r="G3283">
        <f t="shared" si="51"/>
        <v>219.78</v>
      </c>
      <c r="H3283" t="str">
        <f>VLOOKUP(C3283,[1]products!$A:$B,2,FALSE)</f>
        <v>Sun Bicycles Lil Kitt'n - 2017</v>
      </c>
      <c r="I3283">
        <f>VLOOKUP(C3283,[1]products!$A:$D,4,FALSE)</f>
        <v>1</v>
      </c>
      <c r="J3283" t="str">
        <f>VLOOKUP(I3283,[2]categories!$A$1:$B$8,2,FALSE)</f>
        <v>Children Bicycles</v>
      </c>
    </row>
    <row r="3284" customHeight="1" spans="1:10">
      <c r="A3284" s="1">
        <v>1137</v>
      </c>
      <c r="B3284" s="1">
        <v>4</v>
      </c>
      <c r="C3284" s="1">
        <v>69</v>
      </c>
      <c r="D3284" s="1">
        <v>2</v>
      </c>
      <c r="E3284" s="1">
        <v>416.99</v>
      </c>
      <c r="F3284" s="1">
        <v>0.07</v>
      </c>
      <c r="G3284">
        <f t="shared" si="51"/>
        <v>833.91</v>
      </c>
      <c r="H3284" t="str">
        <f>VLOOKUP(C3284,[1]products!$A:$B,2,FALSE)</f>
        <v>Sun Bicycles Cruz 7 - 2017</v>
      </c>
      <c r="I3284">
        <f>VLOOKUP(C3284,[1]products!$A:$D,4,FALSE)</f>
        <v>3</v>
      </c>
      <c r="J3284" t="str">
        <f>VLOOKUP(I3284,[2]categories!$A$1:$B$8,2,FALSE)</f>
        <v>Cruisers Bicycles</v>
      </c>
    </row>
    <row r="3285" customHeight="1" spans="1:10">
      <c r="A3285" s="1">
        <v>1138</v>
      </c>
      <c r="B3285" s="1">
        <v>1</v>
      </c>
      <c r="C3285" s="1">
        <v>13</v>
      </c>
      <c r="D3285" s="1">
        <v>2</v>
      </c>
      <c r="E3285" s="1">
        <v>269.99</v>
      </c>
      <c r="F3285" s="1">
        <v>0.05</v>
      </c>
      <c r="G3285">
        <f t="shared" si="51"/>
        <v>539.93</v>
      </c>
      <c r="H3285" t="str">
        <f>VLOOKUP(C3285,[1]products!$A:$B,2,FALSE)</f>
        <v>Electra Cruiser 1 (24-Inch) - 2016</v>
      </c>
      <c r="I3285">
        <f>VLOOKUP(C3285,[1]products!$A:$D,4,FALSE)</f>
        <v>3</v>
      </c>
      <c r="J3285" t="str">
        <f>VLOOKUP(I3285,[2]categories!$A$1:$B$8,2,FALSE)</f>
        <v>Cruisers Bicycles</v>
      </c>
    </row>
    <row r="3286" customHeight="1" spans="1:10">
      <c r="A3286" s="1">
        <v>1138</v>
      </c>
      <c r="B3286" s="1">
        <v>2</v>
      </c>
      <c r="C3286" s="1">
        <v>105</v>
      </c>
      <c r="D3286" s="1">
        <v>2</v>
      </c>
      <c r="E3286" s="1">
        <v>533.99</v>
      </c>
      <c r="F3286" s="1">
        <v>0.05</v>
      </c>
      <c r="G3286">
        <f t="shared" si="51"/>
        <v>1067.93</v>
      </c>
      <c r="H3286" t="str">
        <f>VLOOKUP(C3286,[1]products!$A:$B,2,FALSE)</f>
        <v>Sun Bicycles Streamway 7 - 2017</v>
      </c>
      <c r="I3286">
        <f>VLOOKUP(C3286,[1]products!$A:$D,4,FALSE)</f>
        <v>2</v>
      </c>
      <c r="J3286" t="str">
        <f>VLOOKUP(I3286,[2]categories!$A$1:$B$8,2,FALSE)</f>
        <v>Comfort Bicycles</v>
      </c>
    </row>
    <row r="3287" customHeight="1" spans="1:10">
      <c r="A3287" s="1">
        <v>1138</v>
      </c>
      <c r="B3287" s="1">
        <v>3</v>
      </c>
      <c r="C3287" s="1">
        <v>93</v>
      </c>
      <c r="D3287" s="1">
        <v>1</v>
      </c>
      <c r="E3287" s="1">
        <v>209.99</v>
      </c>
      <c r="F3287" s="1">
        <v>0.1</v>
      </c>
      <c r="G3287">
        <f t="shared" si="51"/>
        <v>209.89</v>
      </c>
      <c r="H3287" t="str">
        <f>VLOOKUP(C3287,[1]products!$A:$B,2,FALSE)</f>
        <v>Haro Shredder 20 Girls - 2017</v>
      </c>
      <c r="I3287">
        <f>VLOOKUP(C3287,[1]products!$A:$D,4,FALSE)</f>
        <v>1</v>
      </c>
      <c r="J3287" t="str">
        <f>VLOOKUP(I3287,[2]categories!$A$1:$B$8,2,FALSE)</f>
        <v>Children Bicycles</v>
      </c>
    </row>
    <row r="3288" customHeight="1" spans="1:10">
      <c r="A3288" s="1">
        <v>1139</v>
      </c>
      <c r="B3288" s="1">
        <v>1</v>
      </c>
      <c r="C3288" s="1">
        <v>106</v>
      </c>
      <c r="D3288" s="1">
        <v>2</v>
      </c>
      <c r="E3288" s="1">
        <v>449.99</v>
      </c>
      <c r="F3288" s="1">
        <v>0.05</v>
      </c>
      <c r="G3288">
        <f t="shared" si="51"/>
        <v>899.93</v>
      </c>
      <c r="H3288" t="str">
        <f>VLOOKUP(C3288,[1]products!$A:$B,2,FALSE)</f>
        <v>Sun Bicycles Cruz 3 - 2017</v>
      </c>
      <c r="I3288">
        <f>VLOOKUP(C3288,[1]products!$A:$D,4,FALSE)</f>
        <v>2</v>
      </c>
      <c r="J3288" t="str">
        <f>VLOOKUP(I3288,[2]categories!$A$1:$B$8,2,FALSE)</f>
        <v>Comfort Bicycles</v>
      </c>
    </row>
    <row r="3289" customHeight="1" spans="1:10">
      <c r="A3289" s="1">
        <v>1139</v>
      </c>
      <c r="B3289" s="1">
        <v>2</v>
      </c>
      <c r="C3289" s="1">
        <v>44</v>
      </c>
      <c r="D3289" s="1">
        <v>2</v>
      </c>
      <c r="E3289" s="1">
        <v>539.99</v>
      </c>
      <c r="F3289" s="1">
        <v>0.1</v>
      </c>
      <c r="G3289">
        <f t="shared" si="51"/>
        <v>1079.88</v>
      </c>
      <c r="H3289" t="str">
        <f>VLOOKUP(C3289,[1]products!$A:$B,2,FALSE)</f>
        <v>Haro SR 1.1 - 2017</v>
      </c>
      <c r="I3289">
        <f>VLOOKUP(C3289,[1]products!$A:$D,4,FALSE)</f>
        <v>6</v>
      </c>
      <c r="J3289" t="str">
        <f>VLOOKUP(I3289,[2]categories!$A$1:$B$8,2,FALSE)</f>
        <v>Mountain Bikes</v>
      </c>
    </row>
    <row r="3290" customHeight="1" spans="1:10">
      <c r="A3290" s="1">
        <v>1139</v>
      </c>
      <c r="B3290" s="1">
        <v>3</v>
      </c>
      <c r="C3290" s="1">
        <v>69</v>
      </c>
      <c r="D3290" s="1">
        <v>1</v>
      </c>
      <c r="E3290" s="1">
        <v>416.99</v>
      </c>
      <c r="F3290" s="1">
        <v>0.05</v>
      </c>
      <c r="G3290">
        <f t="shared" si="51"/>
        <v>416.94</v>
      </c>
      <c r="H3290" t="str">
        <f>VLOOKUP(C3290,[1]products!$A:$B,2,FALSE)</f>
        <v>Sun Bicycles Cruz 7 - 2017</v>
      </c>
      <c r="I3290">
        <f>VLOOKUP(C3290,[1]products!$A:$D,4,FALSE)</f>
        <v>3</v>
      </c>
      <c r="J3290" t="str">
        <f>VLOOKUP(I3290,[2]categories!$A$1:$B$8,2,FALSE)</f>
        <v>Cruisers Bicycles</v>
      </c>
    </row>
    <row r="3291" customHeight="1" spans="1:10">
      <c r="A3291" s="1">
        <v>1139</v>
      </c>
      <c r="B3291" s="1">
        <v>4</v>
      </c>
      <c r="C3291" s="1">
        <v>25</v>
      </c>
      <c r="D3291" s="1">
        <v>2</v>
      </c>
      <c r="E3291" s="1">
        <v>499.99</v>
      </c>
      <c r="F3291" s="1">
        <v>0.1</v>
      </c>
      <c r="G3291">
        <f t="shared" si="51"/>
        <v>999.88</v>
      </c>
      <c r="H3291" t="str">
        <f>VLOOKUP(C3291,[1]products!$A:$B,2,FALSE)</f>
        <v>Electra Townie Original 7D - 2015/2016</v>
      </c>
      <c r="I3291">
        <f>VLOOKUP(C3291,[1]products!$A:$D,4,FALSE)</f>
        <v>2</v>
      </c>
      <c r="J3291" t="str">
        <f>VLOOKUP(I3291,[2]categories!$A$1:$B$8,2,FALSE)</f>
        <v>Comfort Bicycles</v>
      </c>
    </row>
    <row r="3292" customHeight="1" spans="1:10">
      <c r="A3292" s="1">
        <v>1139</v>
      </c>
      <c r="B3292" s="1">
        <v>5</v>
      </c>
      <c r="C3292" s="1">
        <v>7</v>
      </c>
      <c r="D3292" s="1">
        <v>1</v>
      </c>
      <c r="E3292" s="1">
        <v>3999.99</v>
      </c>
      <c r="F3292" s="1">
        <v>0.1</v>
      </c>
      <c r="G3292">
        <f t="shared" si="51"/>
        <v>3999.89</v>
      </c>
      <c r="H3292" t="str">
        <f>VLOOKUP(C3292,[1]products!$A:$B,2,FALSE)</f>
        <v>Trek Slash 8 27.5 - 2016</v>
      </c>
      <c r="I3292">
        <f>VLOOKUP(C3292,[1]products!$A:$D,4,FALSE)</f>
        <v>6</v>
      </c>
      <c r="J3292" t="str">
        <f>VLOOKUP(I3292,[2]categories!$A$1:$B$8,2,FALSE)</f>
        <v>Mountain Bikes</v>
      </c>
    </row>
    <row r="3293" customHeight="1" spans="1:10">
      <c r="A3293" s="1">
        <v>1140</v>
      </c>
      <c r="B3293" s="1">
        <v>1</v>
      </c>
      <c r="C3293" s="1">
        <v>39</v>
      </c>
      <c r="D3293" s="1">
        <v>2</v>
      </c>
      <c r="E3293" s="1">
        <v>1499.99</v>
      </c>
      <c r="F3293" s="1">
        <v>0.1</v>
      </c>
      <c r="G3293">
        <f t="shared" si="51"/>
        <v>2999.88</v>
      </c>
      <c r="H3293" t="str">
        <f>VLOOKUP(C3293,[1]products!$A:$B,2,FALSE)</f>
        <v>Trek Stache 5 - 2017</v>
      </c>
      <c r="I3293">
        <f>VLOOKUP(C3293,[1]products!$A:$D,4,FALSE)</f>
        <v>6</v>
      </c>
      <c r="J3293" t="str">
        <f>VLOOKUP(I3293,[2]categories!$A$1:$B$8,2,FALSE)</f>
        <v>Mountain Bikes</v>
      </c>
    </row>
    <row r="3294" customHeight="1" spans="1:10">
      <c r="A3294" s="1">
        <v>1140</v>
      </c>
      <c r="B3294" s="1">
        <v>2</v>
      </c>
      <c r="C3294" s="1">
        <v>71</v>
      </c>
      <c r="D3294" s="1">
        <v>2</v>
      </c>
      <c r="E3294" s="1">
        <v>416.99</v>
      </c>
      <c r="F3294" s="1">
        <v>0.07</v>
      </c>
      <c r="G3294">
        <f t="shared" si="51"/>
        <v>833.91</v>
      </c>
      <c r="H3294" t="str">
        <f>VLOOKUP(C3294,[1]products!$A:$B,2,FALSE)</f>
        <v>Sun Bicycles Atlas X-Type - 2017</v>
      </c>
      <c r="I3294">
        <f>VLOOKUP(C3294,[1]products!$A:$D,4,FALSE)</f>
        <v>3</v>
      </c>
      <c r="J3294" t="str">
        <f>VLOOKUP(I3294,[2]categories!$A$1:$B$8,2,FALSE)</f>
        <v>Cruisers Bicycles</v>
      </c>
    </row>
    <row r="3295" customHeight="1" spans="1:10">
      <c r="A3295" s="1">
        <v>1140</v>
      </c>
      <c r="B3295" s="1">
        <v>3</v>
      </c>
      <c r="C3295" s="1">
        <v>38</v>
      </c>
      <c r="D3295" s="1">
        <v>2</v>
      </c>
      <c r="E3295" s="1">
        <v>549.99</v>
      </c>
      <c r="F3295" s="1">
        <v>0.1</v>
      </c>
      <c r="G3295">
        <f t="shared" si="51"/>
        <v>1099.88</v>
      </c>
      <c r="H3295" t="str">
        <f>VLOOKUP(C3295,[1]products!$A:$B,2,FALSE)</f>
        <v>Haro Flightline Two 26 Plus - 2017</v>
      </c>
      <c r="I3295">
        <f>VLOOKUP(C3295,[1]products!$A:$D,4,FALSE)</f>
        <v>6</v>
      </c>
      <c r="J3295" t="str">
        <f>VLOOKUP(I3295,[2]categories!$A$1:$B$8,2,FALSE)</f>
        <v>Mountain Bikes</v>
      </c>
    </row>
    <row r="3296" customHeight="1" spans="1:10">
      <c r="A3296" s="1">
        <v>1140</v>
      </c>
      <c r="B3296" s="1">
        <v>4</v>
      </c>
      <c r="C3296" s="1">
        <v>40</v>
      </c>
      <c r="D3296" s="1">
        <v>2</v>
      </c>
      <c r="E3296" s="1">
        <v>4999.99</v>
      </c>
      <c r="F3296" s="1">
        <v>0.07</v>
      </c>
      <c r="G3296">
        <f t="shared" si="51"/>
        <v>9999.91</v>
      </c>
      <c r="H3296" t="str">
        <f>VLOOKUP(C3296,[1]products!$A:$B,2,FALSE)</f>
        <v>Trek Fuel EX 9.8 29 - 2017</v>
      </c>
      <c r="I3296">
        <f>VLOOKUP(C3296,[1]products!$A:$D,4,FALSE)</f>
        <v>6</v>
      </c>
      <c r="J3296" t="str">
        <f>VLOOKUP(I3296,[2]categories!$A$1:$B$8,2,FALSE)</f>
        <v>Mountain Bikes</v>
      </c>
    </row>
    <row r="3297" customHeight="1" spans="1:10">
      <c r="A3297" s="1">
        <v>1141</v>
      </c>
      <c r="B3297" s="1">
        <v>1</v>
      </c>
      <c r="C3297" s="1">
        <v>8</v>
      </c>
      <c r="D3297" s="1">
        <v>1</v>
      </c>
      <c r="E3297" s="1">
        <v>1799.99</v>
      </c>
      <c r="F3297" s="1">
        <v>0.1</v>
      </c>
      <c r="G3297">
        <f t="shared" si="51"/>
        <v>1799.89</v>
      </c>
      <c r="H3297" t="str">
        <f>VLOOKUP(C3297,[1]products!$A:$B,2,FALSE)</f>
        <v>Trek Remedy 29 Carbon Frameset - 2016</v>
      </c>
      <c r="I3297">
        <f>VLOOKUP(C3297,[1]products!$A:$D,4,FALSE)</f>
        <v>6</v>
      </c>
      <c r="J3297" t="str">
        <f>VLOOKUP(I3297,[2]categories!$A$1:$B$8,2,FALSE)</f>
        <v>Mountain Bikes</v>
      </c>
    </row>
    <row r="3298" customHeight="1" spans="1:10">
      <c r="A3298" s="1">
        <v>1142</v>
      </c>
      <c r="B3298" s="1">
        <v>1</v>
      </c>
      <c r="C3298" s="1">
        <v>20</v>
      </c>
      <c r="D3298" s="1">
        <v>2</v>
      </c>
      <c r="E3298" s="1">
        <v>599.99</v>
      </c>
      <c r="F3298" s="1">
        <v>0.07</v>
      </c>
      <c r="G3298">
        <f t="shared" si="51"/>
        <v>1199.91</v>
      </c>
      <c r="H3298" t="str">
        <f>VLOOKUP(C3298,[1]products!$A:$B,2,FALSE)</f>
        <v>Electra Townie Original 7D EQ - Women's - 2016</v>
      </c>
      <c r="I3298">
        <f>VLOOKUP(C3298,[1]products!$A:$D,4,FALSE)</f>
        <v>3</v>
      </c>
      <c r="J3298" t="str">
        <f>VLOOKUP(I3298,[2]categories!$A$1:$B$8,2,FALSE)</f>
        <v>Cruisers Bicycles</v>
      </c>
    </row>
    <row r="3299" customHeight="1" spans="1:10">
      <c r="A3299" s="1">
        <v>1142</v>
      </c>
      <c r="B3299" s="1">
        <v>2</v>
      </c>
      <c r="C3299" s="1">
        <v>30</v>
      </c>
      <c r="D3299" s="1">
        <v>1</v>
      </c>
      <c r="E3299" s="1">
        <v>999.99</v>
      </c>
      <c r="F3299" s="1">
        <v>0.1</v>
      </c>
      <c r="G3299">
        <f t="shared" si="51"/>
        <v>999.89</v>
      </c>
      <c r="H3299" t="str">
        <f>VLOOKUP(C3299,[1]products!$A:$B,2,FALSE)</f>
        <v>Surly Ice Cream Truck Frameset - 2017</v>
      </c>
      <c r="I3299">
        <f>VLOOKUP(C3299,[1]products!$A:$D,4,FALSE)</f>
        <v>6</v>
      </c>
      <c r="J3299" t="str">
        <f>VLOOKUP(I3299,[2]categories!$A$1:$B$8,2,FALSE)</f>
        <v>Mountain Bikes</v>
      </c>
    </row>
    <row r="3300" customHeight="1" spans="1:10">
      <c r="A3300" s="1">
        <v>1142</v>
      </c>
      <c r="B3300" s="1">
        <v>3</v>
      </c>
      <c r="C3300" s="1">
        <v>109</v>
      </c>
      <c r="D3300" s="1">
        <v>2</v>
      </c>
      <c r="E3300" s="1">
        <v>416.99</v>
      </c>
      <c r="F3300" s="1">
        <v>0.05</v>
      </c>
      <c r="G3300">
        <f t="shared" si="51"/>
        <v>833.93</v>
      </c>
      <c r="H3300" t="str">
        <f>VLOOKUP(C3300,[1]products!$A:$B,2,FALSE)</f>
        <v>Sun Bicycles Cruz 7 - Women's - 2017</v>
      </c>
      <c r="I3300">
        <f>VLOOKUP(C3300,[1]products!$A:$D,4,FALSE)</f>
        <v>2</v>
      </c>
      <c r="J3300" t="str">
        <f>VLOOKUP(I3300,[2]categories!$A$1:$B$8,2,FALSE)</f>
        <v>Comfort Bicycles</v>
      </c>
    </row>
    <row r="3301" customHeight="1" spans="1:10">
      <c r="A3301" s="1">
        <v>1142</v>
      </c>
      <c r="B3301" s="1">
        <v>4</v>
      </c>
      <c r="C3301" s="1">
        <v>108</v>
      </c>
      <c r="D3301" s="1">
        <v>2</v>
      </c>
      <c r="E3301" s="1">
        <v>449.99</v>
      </c>
      <c r="F3301" s="1">
        <v>0.2</v>
      </c>
      <c r="G3301">
        <f t="shared" si="51"/>
        <v>899.78</v>
      </c>
      <c r="H3301" t="str">
        <f>VLOOKUP(C3301,[1]products!$A:$B,2,FALSE)</f>
        <v>Sun Bicycles Cruz 3 - Women's - 2017</v>
      </c>
      <c r="I3301">
        <f>VLOOKUP(C3301,[1]products!$A:$D,4,FALSE)</f>
        <v>2</v>
      </c>
      <c r="J3301" t="str">
        <f>VLOOKUP(I3301,[2]categories!$A$1:$B$8,2,FALSE)</f>
        <v>Comfort Bicycles</v>
      </c>
    </row>
    <row r="3302" customHeight="1" spans="1:10">
      <c r="A3302" s="1">
        <v>1142</v>
      </c>
      <c r="B3302" s="1">
        <v>5</v>
      </c>
      <c r="C3302" s="1">
        <v>100</v>
      </c>
      <c r="D3302" s="1">
        <v>2</v>
      </c>
      <c r="E3302" s="1">
        <v>489.99</v>
      </c>
      <c r="F3302" s="1">
        <v>0.05</v>
      </c>
      <c r="G3302">
        <f t="shared" si="51"/>
        <v>979.93</v>
      </c>
      <c r="H3302" t="str">
        <f>VLOOKUP(C3302,[1]products!$A:$B,2,FALSE)</f>
        <v>Electra Townie 3i EQ (20-inch) - Boys' - 2017</v>
      </c>
      <c r="I3302">
        <f>VLOOKUP(C3302,[1]products!$A:$D,4,FALSE)</f>
        <v>1</v>
      </c>
      <c r="J3302" t="str">
        <f>VLOOKUP(I3302,[2]categories!$A$1:$B$8,2,FALSE)</f>
        <v>Children Bicycles</v>
      </c>
    </row>
    <row r="3303" customHeight="1" spans="1:10">
      <c r="A3303" s="1">
        <v>1143</v>
      </c>
      <c r="B3303" s="1">
        <v>1</v>
      </c>
      <c r="C3303" s="1">
        <v>99</v>
      </c>
      <c r="D3303" s="1">
        <v>1</v>
      </c>
      <c r="E3303" s="1">
        <v>299.99</v>
      </c>
      <c r="F3303" s="1">
        <v>0.2</v>
      </c>
      <c r="G3303">
        <f t="shared" si="51"/>
        <v>299.79</v>
      </c>
      <c r="H3303" t="str">
        <f>VLOOKUP(C3303,[1]products!$A:$B,2,FALSE)</f>
        <v>Electra Sugar Skulls 1 (20-inch) - Girl's - 2017</v>
      </c>
      <c r="I3303">
        <f>VLOOKUP(C3303,[1]products!$A:$D,4,FALSE)</f>
        <v>1</v>
      </c>
      <c r="J3303" t="str">
        <f>VLOOKUP(I3303,[2]categories!$A$1:$B$8,2,FALSE)</f>
        <v>Children Bicycles</v>
      </c>
    </row>
    <row r="3304" customHeight="1" spans="1:10">
      <c r="A3304" s="1">
        <v>1143</v>
      </c>
      <c r="B3304" s="1">
        <v>2</v>
      </c>
      <c r="C3304" s="1">
        <v>48</v>
      </c>
      <c r="D3304" s="1">
        <v>1</v>
      </c>
      <c r="E3304" s="1">
        <v>1499.99</v>
      </c>
      <c r="F3304" s="1">
        <v>0.2</v>
      </c>
      <c r="G3304">
        <f t="shared" si="51"/>
        <v>1499.79</v>
      </c>
      <c r="H3304" t="str">
        <f>VLOOKUP(C3304,[1]products!$A:$B,2,FALSE)</f>
        <v>Trek Emonda S 4 - 2017</v>
      </c>
      <c r="I3304">
        <f>VLOOKUP(C3304,[1]products!$A:$D,4,FALSE)</f>
        <v>7</v>
      </c>
      <c r="J3304" t="str">
        <f>VLOOKUP(I3304,[2]categories!$A$1:$B$8,2,FALSE)</f>
        <v>Road Bikes</v>
      </c>
    </row>
    <row r="3305" customHeight="1" spans="1:10">
      <c r="A3305" s="1">
        <v>1143</v>
      </c>
      <c r="B3305" s="1">
        <v>3</v>
      </c>
      <c r="C3305" s="1">
        <v>69</v>
      </c>
      <c r="D3305" s="1">
        <v>2</v>
      </c>
      <c r="E3305" s="1">
        <v>416.99</v>
      </c>
      <c r="F3305" s="1">
        <v>0.1</v>
      </c>
      <c r="G3305">
        <f t="shared" si="51"/>
        <v>833.88</v>
      </c>
      <c r="H3305" t="str">
        <f>VLOOKUP(C3305,[1]products!$A:$B,2,FALSE)</f>
        <v>Sun Bicycles Cruz 7 - 2017</v>
      </c>
      <c r="I3305">
        <f>VLOOKUP(C3305,[1]products!$A:$D,4,FALSE)</f>
        <v>3</v>
      </c>
      <c r="J3305" t="str">
        <f>VLOOKUP(I3305,[2]categories!$A$1:$B$8,2,FALSE)</f>
        <v>Cruisers Bicycles</v>
      </c>
    </row>
    <row r="3306" customHeight="1" spans="1:10">
      <c r="A3306" s="1">
        <v>1144</v>
      </c>
      <c r="B3306" s="1">
        <v>1</v>
      </c>
      <c r="C3306" s="1">
        <v>88</v>
      </c>
      <c r="D3306" s="1">
        <v>1</v>
      </c>
      <c r="E3306" s="1">
        <v>189.99</v>
      </c>
      <c r="F3306" s="1">
        <v>0.07</v>
      </c>
      <c r="G3306">
        <f t="shared" si="51"/>
        <v>189.92</v>
      </c>
      <c r="H3306" t="str">
        <f>VLOOKUP(C3306,[1]products!$A:$B,2,FALSE)</f>
        <v>Trek Precaliber 12 Girls - 2017</v>
      </c>
      <c r="I3306">
        <f>VLOOKUP(C3306,[1]products!$A:$D,4,FALSE)</f>
        <v>1</v>
      </c>
      <c r="J3306" t="str">
        <f>VLOOKUP(I3306,[2]categories!$A$1:$B$8,2,FALSE)</f>
        <v>Children Bicycles</v>
      </c>
    </row>
    <row r="3307" customHeight="1" spans="1:10">
      <c r="A3307" s="1">
        <v>1145</v>
      </c>
      <c r="B3307" s="1">
        <v>1</v>
      </c>
      <c r="C3307" s="1">
        <v>105</v>
      </c>
      <c r="D3307" s="1">
        <v>2</v>
      </c>
      <c r="E3307" s="1">
        <v>533.99</v>
      </c>
      <c r="F3307" s="1">
        <v>0.07</v>
      </c>
      <c r="G3307">
        <f t="shared" si="51"/>
        <v>1067.91</v>
      </c>
      <c r="H3307" t="str">
        <f>VLOOKUP(C3307,[1]products!$A:$B,2,FALSE)</f>
        <v>Sun Bicycles Streamway 7 - 2017</v>
      </c>
      <c r="I3307">
        <f>VLOOKUP(C3307,[1]products!$A:$D,4,FALSE)</f>
        <v>2</v>
      </c>
      <c r="J3307" t="str">
        <f>VLOOKUP(I3307,[2]categories!$A$1:$B$8,2,FALSE)</f>
        <v>Comfort Bicycles</v>
      </c>
    </row>
    <row r="3308" customHeight="1" spans="1:10">
      <c r="A3308" s="1">
        <v>1146</v>
      </c>
      <c r="B3308" s="1">
        <v>1</v>
      </c>
      <c r="C3308" s="1">
        <v>36</v>
      </c>
      <c r="D3308" s="1">
        <v>1</v>
      </c>
      <c r="E3308" s="1">
        <v>832.99</v>
      </c>
      <c r="F3308" s="1">
        <v>0.07</v>
      </c>
      <c r="G3308">
        <f t="shared" si="51"/>
        <v>832.92</v>
      </c>
      <c r="H3308" t="str">
        <f>VLOOKUP(C3308,[1]products!$A:$B,2,FALSE)</f>
        <v>Surly Troll Frameset - 2017</v>
      </c>
      <c r="I3308">
        <f>VLOOKUP(C3308,[1]products!$A:$D,4,FALSE)</f>
        <v>6</v>
      </c>
      <c r="J3308" t="str">
        <f>VLOOKUP(I3308,[2]categories!$A$1:$B$8,2,FALSE)</f>
        <v>Mountain Bikes</v>
      </c>
    </row>
    <row r="3309" customHeight="1" spans="1:10">
      <c r="A3309" s="1">
        <v>1146</v>
      </c>
      <c r="B3309" s="1">
        <v>2</v>
      </c>
      <c r="C3309" s="1">
        <v>64</v>
      </c>
      <c r="D3309" s="1">
        <v>1</v>
      </c>
      <c r="E3309" s="1">
        <v>489.99</v>
      </c>
      <c r="F3309" s="1">
        <v>0.2</v>
      </c>
      <c r="G3309">
        <f t="shared" si="51"/>
        <v>489.79</v>
      </c>
      <c r="H3309" t="str">
        <f>VLOOKUP(C3309,[1]products!$A:$B,2,FALSE)</f>
        <v>Electra Townie Original 7D - 2017</v>
      </c>
      <c r="I3309">
        <f>VLOOKUP(C3309,[1]products!$A:$D,4,FALSE)</f>
        <v>3</v>
      </c>
      <c r="J3309" t="str">
        <f>VLOOKUP(I3309,[2]categories!$A$1:$B$8,2,FALSE)</f>
        <v>Cruisers Bicycles</v>
      </c>
    </row>
    <row r="3310" customHeight="1" spans="1:10">
      <c r="A3310" s="1">
        <v>1146</v>
      </c>
      <c r="B3310" s="1">
        <v>3</v>
      </c>
      <c r="C3310" s="1">
        <v>11</v>
      </c>
      <c r="D3310" s="1">
        <v>1</v>
      </c>
      <c r="E3310" s="1">
        <v>1680.99</v>
      </c>
      <c r="F3310" s="1">
        <v>0.2</v>
      </c>
      <c r="G3310">
        <f t="shared" si="51"/>
        <v>1680.79</v>
      </c>
      <c r="H3310" t="str">
        <f>VLOOKUP(C3310,[1]products!$A:$B,2,FALSE)</f>
        <v>Surly Straggler 650b - 2016</v>
      </c>
      <c r="I3310">
        <f>VLOOKUP(C3310,[1]products!$A:$D,4,FALSE)</f>
        <v>4</v>
      </c>
      <c r="J3310" t="str">
        <f>VLOOKUP(I3310,[2]categories!$A$1:$B$8,2,FALSE)</f>
        <v>Cyclocross Bicycles</v>
      </c>
    </row>
    <row r="3311" customHeight="1" spans="1:10">
      <c r="A3311" s="1">
        <v>1147</v>
      </c>
      <c r="B3311" s="1">
        <v>1</v>
      </c>
      <c r="C3311" s="1">
        <v>82</v>
      </c>
      <c r="D3311" s="1">
        <v>1</v>
      </c>
      <c r="E3311" s="1">
        <v>659.99</v>
      </c>
      <c r="F3311" s="1">
        <v>0.2</v>
      </c>
      <c r="G3311">
        <f t="shared" si="51"/>
        <v>659.79</v>
      </c>
      <c r="H3311" t="str">
        <f>VLOOKUP(C3311,[1]products!$A:$B,2,FALSE)</f>
        <v>Electra Amsterdam Original 3i Ladies' - 2017</v>
      </c>
      <c r="I3311">
        <f>VLOOKUP(C3311,[1]products!$A:$D,4,FALSE)</f>
        <v>3</v>
      </c>
      <c r="J3311" t="str">
        <f>VLOOKUP(I3311,[2]categories!$A$1:$B$8,2,FALSE)</f>
        <v>Cruisers Bicycles</v>
      </c>
    </row>
    <row r="3312" customHeight="1" spans="1:10">
      <c r="A3312" s="1">
        <v>1147</v>
      </c>
      <c r="B3312" s="1">
        <v>2</v>
      </c>
      <c r="C3312" s="1">
        <v>39</v>
      </c>
      <c r="D3312" s="1">
        <v>2</v>
      </c>
      <c r="E3312" s="1">
        <v>1499.99</v>
      </c>
      <c r="F3312" s="1">
        <v>0.05</v>
      </c>
      <c r="G3312">
        <f t="shared" si="51"/>
        <v>2999.93</v>
      </c>
      <c r="H3312" t="str">
        <f>VLOOKUP(C3312,[1]products!$A:$B,2,FALSE)</f>
        <v>Trek Stache 5 - 2017</v>
      </c>
      <c r="I3312">
        <f>VLOOKUP(C3312,[1]products!$A:$D,4,FALSE)</f>
        <v>6</v>
      </c>
      <c r="J3312" t="str">
        <f>VLOOKUP(I3312,[2]categories!$A$1:$B$8,2,FALSE)</f>
        <v>Mountain Bikes</v>
      </c>
    </row>
    <row r="3313" customHeight="1" spans="1:10">
      <c r="A3313" s="1">
        <v>1148</v>
      </c>
      <c r="B3313" s="1">
        <v>1</v>
      </c>
      <c r="C3313" s="1">
        <v>82</v>
      </c>
      <c r="D3313" s="1">
        <v>1</v>
      </c>
      <c r="E3313" s="1">
        <v>659.99</v>
      </c>
      <c r="F3313" s="1">
        <v>0.07</v>
      </c>
      <c r="G3313">
        <f t="shared" si="51"/>
        <v>659.92</v>
      </c>
      <c r="H3313" t="str">
        <f>VLOOKUP(C3313,[1]products!$A:$B,2,FALSE)</f>
        <v>Electra Amsterdam Original 3i Ladies' - 2017</v>
      </c>
      <c r="I3313">
        <f>VLOOKUP(C3313,[1]products!$A:$D,4,FALSE)</f>
        <v>3</v>
      </c>
      <c r="J3313" t="str">
        <f>VLOOKUP(I3313,[2]categories!$A$1:$B$8,2,FALSE)</f>
        <v>Cruisers Bicycles</v>
      </c>
    </row>
    <row r="3314" customHeight="1" spans="1:10">
      <c r="A3314" s="1">
        <v>1148</v>
      </c>
      <c r="B3314" s="1">
        <v>2</v>
      </c>
      <c r="C3314" s="1">
        <v>22</v>
      </c>
      <c r="D3314" s="1">
        <v>1</v>
      </c>
      <c r="E3314" s="1">
        <v>269.99</v>
      </c>
      <c r="F3314" s="1">
        <v>0.07</v>
      </c>
      <c r="G3314">
        <f t="shared" si="51"/>
        <v>269.92</v>
      </c>
      <c r="H3314" t="str">
        <f>VLOOKUP(C3314,[1]products!$A:$B,2,FALSE)</f>
        <v>Electra Girl's Hawaii 1 (16-inch) - 2015/2016</v>
      </c>
      <c r="I3314">
        <f>VLOOKUP(C3314,[1]products!$A:$D,4,FALSE)</f>
        <v>1</v>
      </c>
      <c r="J3314" t="str">
        <f>VLOOKUP(I3314,[2]categories!$A$1:$B$8,2,FALSE)</f>
        <v>Children Bicycles</v>
      </c>
    </row>
    <row r="3315" customHeight="1" spans="1:10">
      <c r="A3315" s="1">
        <v>1148</v>
      </c>
      <c r="B3315" s="1">
        <v>3</v>
      </c>
      <c r="C3315" s="1">
        <v>77</v>
      </c>
      <c r="D3315" s="1">
        <v>2</v>
      </c>
      <c r="E3315" s="1">
        <v>799.99</v>
      </c>
      <c r="F3315" s="1">
        <v>0.05</v>
      </c>
      <c r="G3315">
        <f t="shared" si="51"/>
        <v>1599.93</v>
      </c>
      <c r="H3315" t="str">
        <f>VLOOKUP(C3315,[1]products!$A:$B,2,FALSE)</f>
        <v>Electra Glam Punk 3i Ladies' - 2017</v>
      </c>
      <c r="I3315">
        <f>VLOOKUP(C3315,[1]products!$A:$D,4,FALSE)</f>
        <v>3</v>
      </c>
      <c r="J3315" t="str">
        <f>VLOOKUP(I3315,[2]categories!$A$1:$B$8,2,FALSE)</f>
        <v>Cruisers Bicycles</v>
      </c>
    </row>
    <row r="3316" customHeight="1" spans="1:10">
      <c r="A3316" s="1">
        <v>1148</v>
      </c>
      <c r="B3316" s="1">
        <v>4</v>
      </c>
      <c r="C3316" s="1">
        <v>94</v>
      </c>
      <c r="D3316" s="1">
        <v>2</v>
      </c>
      <c r="E3316" s="1">
        <v>249.99</v>
      </c>
      <c r="F3316" s="1">
        <v>0.1</v>
      </c>
      <c r="G3316">
        <f t="shared" si="51"/>
        <v>499.88</v>
      </c>
      <c r="H3316" t="str">
        <f>VLOOKUP(C3316,[1]products!$A:$B,2,FALSE)</f>
        <v>Haro Shredder Pro 20 - 2017</v>
      </c>
      <c r="I3316">
        <f>VLOOKUP(C3316,[1]products!$A:$D,4,FALSE)</f>
        <v>1</v>
      </c>
      <c r="J3316" t="str">
        <f>VLOOKUP(I3316,[2]categories!$A$1:$B$8,2,FALSE)</f>
        <v>Children Bicycles</v>
      </c>
    </row>
    <row r="3317" customHeight="1" spans="1:10">
      <c r="A3317" s="1">
        <v>1149</v>
      </c>
      <c r="B3317" s="1">
        <v>1</v>
      </c>
      <c r="C3317" s="1">
        <v>98</v>
      </c>
      <c r="D3317" s="1">
        <v>2</v>
      </c>
      <c r="E3317" s="1">
        <v>489.99</v>
      </c>
      <c r="F3317" s="1">
        <v>0.07</v>
      </c>
      <c r="G3317">
        <f t="shared" si="51"/>
        <v>979.91</v>
      </c>
      <c r="H3317" t="str">
        <f>VLOOKUP(C3317,[1]products!$A:$B,2,FALSE)</f>
        <v>Electra Straight 8 3i (20-inch) - Boy's - 2017</v>
      </c>
      <c r="I3317">
        <f>VLOOKUP(C3317,[1]products!$A:$D,4,FALSE)</f>
        <v>1</v>
      </c>
      <c r="J3317" t="str">
        <f>VLOOKUP(I3317,[2]categories!$A$1:$B$8,2,FALSE)</f>
        <v>Children Bicycles</v>
      </c>
    </row>
    <row r="3318" customHeight="1" spans="1:10">
      <c r="A3318" s="1">
        <v>1149</v>
      </c>
      <c r="B3318" s="1">
        <v>2</v>
      </c>
      <c r="C3318" s="1">
        <v>48</v>
      </c>
      <c r="D3318" s="1">
        <v>1</v>
      </c>
      <c r="E3318" s="1">
        <v>1499.99</v>
      </c>
      <c r="F3318" s="1">
        <v>0.05</v>
      </c>
      <c r="G3318">
        <f t="shared" si="51"/>
        <v>1499.94</v>
      </c>
      <c r="H3318" t="str">
        <f>VLOOKUP(C3318,[1]products!$A:$B,2,FALSE)</f>
        <v>Trek Emonda S 4 - 2017</v>
      </c>
      <c r="I3318">
        <f>VLOOKUP(C3318,[1]products!$A:$D,4,FALSE)</f>
        <v>7</v>
      </c>
      <c r="J3318" t="str">
        <f>VLOOKUP(I3318,[2]categories!$A$1:$B$8,2,FALSE)</f>
        <v>Road Bikes</v>
      </c>
    </row>
    <row r="3319" customHeight="1" spans="1:10">
      <c r="A3319" s="1">
        <v>1149</v>
      </c>
      <c r="B3319" s="1">
        <v>3</v>
      </c>
      <c r="C3319" s="1">
        <v>58</v>
      </c>
      <c r="D3319" s="1">
        <v>1</v>
      </c>
      <c r="E3319" s="1">
        <v>4999.99</v>
      </c>
      <c r="F3319" s="1">
        <v>0.05</v>
      </c>
      <c r="G3319">
        <f t="shared" si="51"/>
        <v>4999.94</v>
      </c>
      <c r="H3319" t="str">
        <f>VLOOKUP(C3319,[1]products!$A:$B,2,FALSE)</f>
        <v>Trek Madone 9.2 - 2017</v>
      </c>
      <c r="I3319">
        <f>VLOOKUP(C3319,[1]products!$A:$D,4,FALSE)</f>
        <v>7</v>
      </c>
      <c r="J3319" t="str">
        <f>VLOOKUP(I3319,[2]categories!$A$1:$B$8,2,FALSE)</f>
        <v>Road Bikes</v>
      </c>
    </row>
    <row r="3320" customHeight="1" spans="1:10">
      <c r="A3320" s="1">
        <v>1149</v>
      </c>
      <c r="B3320" s="1">
        <v>4</v>
      </c>
      <c r="C3320" s="1">
        <v>85</v>
      </c>
      <c r="D3320" s="1">
        <v>1</v>
      </c>
      <c r="E3320" s="1">
        <v>329.99</v>
      </c>
      <c r="F3320" s="1">
        <v>0.2</v>
      </c>
      <c r="G3320">
        <f t="shared" si="51"/>
        <v>329.79</v>
      </c>
      <c r="H3320" t="str">
        <f>VLOOKUP(C3320,[1]products!$A:$B,2,FALSE)</f>
        <v>Haro Downtown 16 - 2017</v>
      </c>
      <c r="I3320">
        <f>VLOOKUP(C3320,[1]products!$A:$D,4,FALSE)</f>
        <v>1</v>
      </c>
      <c r="J3320" t="str">
        <f>VLOOKUP(I3320,[2]categories!$A$1:$B$8,2,FALSE)</f>
        <v>Children Bicycles</v>
      </c>
    </row>
    <row r="3321" customHeight="1" spans="1:10">
      <c r="A3321" s="1">
        <v>1149</v>
      </c>
      <c r="B3321" s="1">
        <v>5</v>
      </c>
      <c r="C3321" s="1">
        <v>94</v>
      </c>
      <c r="D3321" s="1">
        <v>1</v>
      </c>
      <c r="E3321" s="1">
        <v>249.99</v>
      </c>
      <c r="F3321" s="1">
        <v>0.1</v>
      </c>
      <c r="G3321">
        <f t="shared" si="51"/>
        <v>249.89</v>
      </c>
      <c r="H3321" t="str">
        <f>VLOOKUP(C3321,[1]products!$A:$B,2,FALSE)</f>
        <v>Haro Shredder Pro 20 - 2017</v>
      </c>
      <c r="I3321">
        <f>VLOOKUP(C3321,[1]products!$A:$D,4,FALSE)</f>
        <v>1</v>
      </c>
      <c r="J3321" t="str">
        <f>VLOOKUP(I3321,[2]categories!$A$1:$B$8,2,FALSE)</f>
        <v>Children Bicycles</v>
      </c>
    </row>
    <row r="3322" customHeight="1" spans="1:10">
      <c r="A3322" s="1">
        <v>1150</v>
      </c>
      <c r="B3322" s="1">
        <v>1</v>
      </c>
      <c r="C3322" s="1">
        <v>29</v>
      </c>
      <c r="D3322" s="1">
        <v>1</v>
      </c>
      <c r="E3322" s="1">
        <v>999.99</v>
      </c>
      <c r="F3322" s="1">
        <v>0.05</v>
      </c>
      <c r="G3322">
        <f t="shared" si="51"/>
        <v>999.94</v>
      </c>
      <c r="H3322" t="str">
        <f>VLOOKUP(C3322,[1]products!$A:$B,2,FALSE)</f>
        <v>Trek X-Caliber 8 - 2017</v>
      </c>
      <c r="I3322">
        <f>VLOOKUP(C3322,[1]products!$A:$D,4,FALSE)</f>
        <v>6</v>
      </c>
      <c r="J3322" t="str">
        <f>VLOOKUP(I3322,[2]categories!$A$1:$B$8,2,FALSE)</f>
        <v>Mountain Bikes</v>
      </c>
    </row>
    <row r="3323" customHeight="1" spans="1:10">
      <c r="A3323" s="1">
        <v>1150</v>
      </c>
      <c r="B3323" s="1">
        <v>2</v>
      </c>
      <c r="C3323" s="1">
        <v>91</v>
      </c>
      <c r="D3323" s="1">
        <v>1</v>
      </c>
      <c r="E3323" s="1">
        <v>349.99</v>
      </c>
      <c r="F3323" s="1">
        <v>0.05</v>
      </c>
      <c r="G3323">
        <f t="shared" si="51"/>
        <v>349.94</v>
      </c>
      <c r="H3323" t="str">
        <f>VLOOKUP(C3323,[1]products!$A:$B,2,FALSE)</f>
        <v>Trek Precaliber 24 (21-Speed) - Girls - 2017</v>
      </c>
      <c r="I3323">
        <f>VLOOKUP(C3323,[1]products!$A:$D,4,FALSE)</f>
        <v>1</v>
      </c>
      <c r="J3323" t="str">
        <f>VLOOKUP(I3323,[2]categories!$A$1:$B$8,2,FALSE)</f>
        <v>Children Bicycles</v>
      </c>
    </row>
    <row r="3324" customHeight="1" spans="1:10">
      <c r="A3324" s="1">
        <v>1150</v>
      </c>
      <c r="B3324" s="1">
        <v>3</v>
      </c>
      <c r="C3324" s="1">
        <v>104</v>
      </c>
      <c r="D3324" s="1">
        <v>2</v>
      </c>
      <c r="E3324" s="1">
        <v>481.99</v>
      </c>
      <c r="F3324" s="1">
        <v>0.07</v>
      </c>
      <c r="G3324">
        <f t="shared" si="51"/>
        <v>963.91</v>
      </c>
      <c r="H3324" t="str">
        <f>VLOOKUP(C3324,[1]products!$A:$B,2,FALSE)</f>
        <v>Sun Bicycles Streamway - 2017</v>
      </c>
      <c r="I3324">
        <f>VLOOKUP(C3324,[1]products!$A:$D,4,FALSE)</f>
        <v>2</v>
      </c>
      <c r="J3324" t="str">
        <f>VLOOKUP(I3324,[2]categories!$A$1:$B$8,2,FALSE)</f>
        <v>Comfort Bicycles</v>
      </c>
    </row>
    <row r="3325" customHeight="1" spans="1:10">
      <c r="A3325" s="1">
        <v>1150</v>
      </c>
      <c r="B3325" s="1">
        <v>4</v>
      </c>
      <c r="C3325" s="1">
        <v>21</v>
      </c>
      <c r="D3325" s="1">
        <v>2</v>
      </c>
      <c r="E3325" s="1">
        <v>269.99</v>
      </c>
      <c r="F3325" s="1">
        <v>0.1</v>
      </c>
      <c r="G3325">
        <f t="shared" si="51"/>
        <v>539.88</v>
      </c>
      <c r="H3325" t="str">
        <f>VLOOKUP(C3325,[1]products!$A:$B,2,FALSE)</f>
        <v>Electra Cruiser 1 (24-Inch) - 2016</v>
      </c>
      <c r="I3325">
        <f>VLOOKUP(C3325,[1]products!$A:$D,4,FALSE)</f>
        <v>1</v>
      </c>
      <c r="J3325" t="str">
        <f>VLOOKUP(I3325,[2]categories!$A$1:$B$8,2,FALSE)</f>
        <v>Children Bicycles</v>
      </c>
    </row>
    <row r="3326" customHeight="1" spans="1:10">
      <c r="A3326" s="1">
        <v>1151</v>
      </c>
      <c r="B3326" s="1">
        <v>1</v>
      </c>
      <c r="C3326" s="1">
        <v>30</v>
      </c>
      <c r="D3326" s="1">
        <v>2</v>
      </c>
      <c r="E3326" s="1">
        <v>999.99</v>
      </c>
      <c r="F3326" s="1">
        <v>0.05</v>
      </c>
      <c r="G3326">
        <f t="shared" si="51"/>
        <v>1999.93</v>
      </c>
      <c r="H3326" t="str">
        <f>VLOOKUP(C3326,[1]products!$A:$B,2,FALSE)</f>
        <v>Surly Ice Cream Truck Frameset - 2017</v>
      </c>
      <c r="I3326">
        <f>VLOOKUP(C3326,[1]products!$A:$D,4,FALSE)</f>
        <v>6</v>
      </c>
      <c r="J3326" t="str">
        <f>VLOOKUP(I3326,[2]categories!$A$1:$B$8,2,FALSE)</f>
        <v>Mountain Bikes</v>
      </c>
    </row>
    <row r="3327" customHeight="1" spans="1:10">
      <c r="A3327" s="1">
        <v>1152</v>
      </c>
      <c r="B3327" s="1">
        <v>1</v>
      </c>
      <c r="C3327" s="1">
        <v>58</v>
      </c>
      <c r="D3327" s="1">
        <v>1</v>
      </c>
      <c r="E3327" s="1">
        <v>4999.99</v>
      </c>
      <c r="F3327" s="1">
        <v>0.07</v>
      </c>
      <c r="G3327">
        <f t="shared" si="51"/>
        <v>4999.92</v>
      </c>
      <c r="H3327" t="str">
        <f>VLOOKUP(C3327,[1]products!$A:$B,2,FALSE)</f>
        <v>Trek Madone 9.2 - 2017</v>
      </c>
      <c r="I3327">
        <f>VLOOKUP(C3327,[1]products!$A:$D,4,FALSE)</f>
        <v>7</v>
      </c>
      <c r="J3327" t="str">
        <f>VLOOKUP(I3327,[2]categories!$A$1:$B$8,2,FALSE)</f>
        <v>Road Bikes</v>
      </c>
    </row>
    <row r="3328" customHeight="1" spans="1:10">
      <c r="A3328" s="1">
        <v>1152</v>
      </c>
      <c r="B3328" s="1">
        <v>2</v>
      </c>
      <c r="C3328" s="1">
        <v>91</v>
      </c>
      <c r="D3328" s="1">
        <v>2</v>
      </c>
      <c r="E3328" s="1">
        <v>349.99</v>
      </c>
      <c r="F3328" s="1">
        <v>0.2</v>
      </c>
      <c r="G3328">
        <f t="shared" si="51"/>
        <v>699.78</v>
      </c>
      <c r="H3328" t="str">
        <f>VLOOKUP(C3328,[1]products!$A:$B,2,FALSE)</f>
        <v>Trek Precaliber 24 (21-Speed) - Girls - 2017</v>
      </c>
      <c r="I3328">
        <f>VLOOKUP(C3328,[1]products!$A:$D,4,FALSE)</f>
        <v>1</v>
      </c>
      <c r="J3328" t="str">
        <f>VLOOKUP(I3328,[2]categories!$A$1:$B$8,2,FALSE)</f>
        <v>Children Bicycles</v>
      </c>
    </row>
    <row r="3329" customHeight="1" spans="1:10">
      <c r="A3329" s="1">
        <v>1152</v>
      </c>
      <c r="B3329" s="1">
        <v>3</v>
      </c>
      <c r="C3329" s="1">
        <v>24</v>
      </c>
      <c r="D3329" s="1">
        <v>1</v>
      </c>
      <c r="E3329" s="1">
        <v>549.99</v>
      </c>
      <c r="F3329" s="1">
        <v>0.05</v>
      </c>
      <c r="G3329">
        <f t="shared" si="51"/>
        <v>549.94</v>
      </c>
      <c r="H3329" t="str">
        <f>VLOOKUP(C3329,[1]products!$A:$B,2,FALSE)</f>
        <v>Electra Townie Original 21D - 2016</v>
      </c>
      <c r="I3329">
        <f>VLOOKUP(C3329,[1]products!$A:$D,4,FALSE)</f>
        <v>2</v>
      </c>
      <c r="J3329" t="str">
        <f>VLOOKUP(I3329,[2]categories!$A$1:$B$8,2,FALSE)</f>
        <v>Comfort Bicycles</v>
      </c>
    </row>
    <row r="3330" customHeight="1" spans="1:10">
      <c r="A3330" s="1">
        <v>1153</v>
      </c>
      <c r="B3330" s="1">
        <v>1</v>
      </c>
      <c r="C3330" s="1">
        <v>103</v>
      </c>
      <c r="D3330" s="1">
        <v>1</v>
      </c>
      <c r="E3330" s="1">
        <v>551.99</v>
      </c>
      <c r="F3330" s="1">
        <v>0.1</v>
      </c>
      <c r="G3330">
        <f t="shared" si="51"/>
        <v>551.89</v>
      </c>
      <c r="H3330" t="str">
        <f>VLOOKUP(C3330,[1]products!$A:$B,2,FALSE)</f>
        <v>Sun Bicycles Streamway 3 - 2017</v>
      </c>
      <c r="I3330">
        <f>VLOOKUP(C3330,[1]products!$A:$D,4,FALSE)</f>
        <v>2</v>
      </c>
      <c r="J3330" t="str">
        <f>VLOOKUP(I3330,[2]categories!$A$1:$B$8,2,FALSE)</f>
        <v>Comfort Bicycles</v>
      </c>
    </row>
    <row r="3331" customHeight="1" spans="1:10">
      <c r="A3331" s="1">
        <v>1153</v>
      </c>
      <c r="B3331" s="1">
        <v>2</v>
      </c>
      <c r="C3331" s="1">
        <v>6</v>
      </c>
      <c r="D3331" s="1">
        <v>2</v>
      </c>
      <c r="E3331" s="1">
        <v>469.99</v>
      </c>
      <c r="F3331" s="1">
        <v>0.05</v>
      </c>
      <c r="G3331">
        <f t="shared" ref="G3331:G3394" si="52">(E3331*D3331)-F3331</f>
        <v>939.93</v>
      </c>
      <c r="H3331" t="str">
        <f>VLOOKUP(C3331,[1]products!$A:$B,2,FALSE)</f>
        <v>Surly Ice Cream Truck Frameset - 2016</v>
      </c>
      <c r="I3331">
        <f>VLOOKUP(C3331,[1]products!$A:$D,4,FALSE)</f>
        <v>6</v>
      </c>
      <c r="J3331" t="str">
        <f>VLOOKUP(I3331,[2]categories!$A$1:$B$8,2,FALSE)</f>
        <v>Mountain Bikes</v>
      </c>
    </row>
    <row r="3332" customHeight="1" spans="1:10">
      <c r="A3332" s="1">
        <v>1154</v>
      </c>
      <c r="B3332" s="1">
        <v>1</v>
      </c>
      <c r="C3332" s="1">
        <v>17</v>
      </c>
      <c r="D3332" s="1">
        <v>1</v>
      </c>
      <c r="E3332" s="1">
        <v>429</v>
      </c>
      <c r="F3332" s="1">
        <v>0.2</v>
      </c>
      <c r="G3332">
        <f t="shared" si="52"/>
        <v>428.8</v>
      </c>
      <c r="H3332" t="str">
        <f>VLOOKUP(C3332,[1]products!$A:$B,2,FALSE)</f>
        <v>Pure Cycles Vine 8-Speed - 2016</v>
      </c>
      <c r="I3332">
        <f>VLOOKUP(C3332,[1]products!$A:$D,4,FALSE)</f>
        <v>3</v>
      </c>
      <c r="J3332" t="str">
        <f>VLOOKUP(I3332,[2]categories!$A$1:$B$8,2,FALSE)</f>
        <v>Cruisers Bicycles</v>
      </c>
    </row>
    <row r="3333" customHeight="1" spans="1:10">
      <c r="A3333" s="1">
        <v>1154</v>
      </c>
      <c r="B3333" s="1">
        <v>2</v>
      </c>
      <c r="C3333" s="1">
        <v>60</v>
      </c>
      <c r="D3333" s="1">
        <v>1</v>
      </c>
      <c r="E3333" s="1">
        <v>1559.99</v>
      </c>
      <c r="F3333" s="1">
        <v>0.07</v>
      </c>
      <c r="G3333">
        <f t="shared" si="52"/>
        <v>1559.92</v>
      </c>
      <c r="H3333" t="str">
        <f>VLOOKUP(C3333,[1]products!$A:$B,2,FALSE)</f>
        <v>Sun Bicycles ElectroLite - 2017</v>
      </c>
      <c r="I3333">
        <f>VLOOKUP(C3333,[1]products!$A:$D,4,FALSE)</f>
        <v>5</v>
      </c>
      <c r="J3333" t="str">
        <f>VLOOKUP(I3333,[2]categories!$A$1:$B$8,2,FALSE)</f>
        <v>Electric Bikes</v>
      </c>
    </row>
    <row r="3334" customHeight="1" spans="1:10">
      <c r="A3334" s="1">
        <v>1154</v>
      </c>
      <c r="B3334" s="1">
        <v>3</v>
      </c>
      <c r="C3334" s="1">
        <v>67</v>
      </c>
      <c r="D3334" s="1">
        <v>2</v>
      </c>
      <c r="E3334" s="1">
        <v>250.99</v>
      </c>
      <c r="F3334" s="1">
        <v>0.2</v>
      </c>
      <c r="G3334">
        <f t="shared" si="52"/>
        <v>501.78</v>
      </c>
      <c r="H3334" t="str">
        <f>VLOOKUP(C3334,[1]products!$A:$B,2,FALSE)</f>
        <v>Sun Bicycles Revolutions 24 - Girl's - 2017</v>
      </c>
      <c r="I3334">
        <f>VLOOKUP(C3334,[1]products!$A:$D,4,FALSE)</f>
        <v>3</v>
      </c>
      <c r="J3334" t="str">
        <f>VLOOKUP(I3334,[2]categories!$A$1:$B$8,2,FALSE)</f>
        <v>Cruisers Bicycles</v>
      </c>
    </row>
    <row r="3335" customHeight="1" spans="1:10">
      <c r="A3335" s="1">
        <v>1155</v>
      </c>
      <c r="B3335" s="1">
        <v>1</v>
      </c>
      <c r="C3335" s="1">
        <v>68</v>
      </c>
      <c r="D3335" s="1">
        <v>2</v>
      </c>
      <c r="E3335" s="1">
        <v>449.99</v>
      </c>
      <c r="F3335" s="1">
        <v>0.05</v>
      </c>
      <c r="G3335">
        <f t="shared" si="52"/>
        <v>899.93</v>
      </c>
      <c r="H3335" t="str">
        <f>VLOOKUP(C3335,[1]products!$A:$B,2,FALSE)</f>
        <v>Sun Bicycles Cruz 3 - 2017</v>
      </c>
      <c r="I3335">
        <f>VLOOKUP(C3335,[1]products!$A:$D,4,FALSE)</f>
        <v>3</v>
      </c>
      <c r="J3335" t="str">
        <f>VLOOKUP(I3335,[2]categories!$A$1:$B$8,2,FALSE)</f>
        <v>Cruisers Bicycles</v>
      </c>
    </row>
    <row r="3336" customHeight="1" spans="1:10">
      <c r="A3336" s="1">
        <v>1155</v>
      </c>
      <c r="B3336" s="1">
        <v>2</v>
      </c>
      <c r="C3336" s="1">
        <v>6</v>
      </c>
      <c r="D3336" s="1">
        <v>2</v>
      </c>
      <c r="E3336" s="1">
        <v>469.99</v>
      </c>
      <c r="F3336" s="1">
        <v>0.1</v>
      </c>
      <c r="G3336">
        <f t="shared" si="52"/>
        <v>939.88</v>
      </c>
      <c r="H3336" t="str">
        <f>VLOOKUP(C3336,[1]products!$A:$B,2,FALSE)</f>
        <v>Surly Ice Cream Truck Frameset - 2016</v>
      </c>
      <c r="I3336">
        <f>VLOOKUP(C3336,[1]products!$A:$D,4,FALSE)</f>
        <v>6</v>
      </c>
      <c r="J3336" t="str">
        <f>VLOOKUP(I3336,[2]categories!$A$1:$B$8,2,FALSE)</f>
        <v>Mountain Bikes</v>
      </c>
    </row>
    <row r="3337" customHeight="1" spans="1:10">
      <c r="A3337" s="1">
        <v>1155</v>
      </c>
      <c r="B3337" s="1">
        <v>3</v>
      </c>
      <c r="C3337" s="1">
        <v>35</v>
      </c>
      <c r="D3337" s="1">
        <v>1</v>
      </c>
      <c r="E3337" s="1">
        <v>832.99</v>
      </c>
      <c r="F3337" s="1">
        <v>0.07</v>
      </c>
      <c r="G3337">
        <f t="shared" si="52"/>
        <v>832.92</v>
      </c>
      <c r="H3337" t="str">
        <f>VLOOKUP(C3337,[1]products!$A:$B,2,FALSE)</f>
        <v>Sun Bicycles Spider 3i - 2017</v>
      </c>
      <c r="I3337">
        <f>VLOOKUP(C3337,[1]products!$A:$D,4,FALSE)</f>
        <v>6</v>
      </c>
      <c r="J3337" t="str">
        <f>VLOOKUP(I3337,[2]categories!$A$1:$B$8,2,FALSE)</f>
        <v>Mountain Bikes</v>
      </c>
    </row>
    <row r="3338" customHeight="1" spans="1:10">
      <c r="A3338" s="1">
        <v>1155</v>
      </c>
      <c r="B3338" s="1">
        <v>4</v>
      </c>
      <c r="C3338" s="1">
        <v>77</v>
      </c>
      <c r="D3338" s="1">
        <v>2</v>
      </c>
      <c r="E3338" s="1">
        <v>799.99</v>
      </c>
      <c r="F3338" s="1">
        <v>0.05</v>
      </c>
      <c r="G3338">
        <f t="shared" si="52"/>
        <v>1599.93</v>
      </c>
      <c r="H3338" t="str">
        <f>VLOOKUP(C3338,[1]products!$A:$B,2,FALSE)</f>
        <v>Electra Glam Punk 3i Ladies' - 2017</v>
      </c>
      <c r="I3338">
        <f>VLOOKUP(C3338,[1]products!$A:$D,4,FALSE)</f>
        <v>3</v>
      </c>
      <c r="J3338" t="str">
        <f>VLOOKUP(I3338,[2]categories!$A$1:$B$8,2,FALSE)</f>
        <v>Cruisers Bicycles</v>
      </c>
    </row>
    <row r="3339" customHeight="1" spans="1:10">
      <c r="A3339" s="1">
        <v>1156</v>
      </c>
      <c r="B3339" s="1">
        <v>1</v>
      </c>
      <c r="C3339" s="1">
        <v>111</v>
      </c>
      <c r="D3339" s="1">
        <v>2</v>
      </c>
      <c r="E3339" s="1">
        <v>470.99</v>
      </c>
      <c r="F3339" s="1">
        <v>0.05</v>
      </c>
      <c r="G3339">
        <f t="shared" si="52"/>
        <v>941.93</v>
      </c>
      <c r="H3339" t="str">
        <f>VLOOKUP(C3339,[1]products!$A:$B,2,FALSE)</f>
        <v>Sun Bicycles Drifter 7 - Women's - 2017</v>
      </c>
      <c r="I3339">
        <f>VLOOKUP(C3339,[1]products!$A:$D,4,FALSE)</f>
        <v>2</v>
      </c>
      <c r="J3339" t="str">
        <f>VLOOKUP(I3339,[2]categories!$A$1:$B$8,2,FALSE)</f>
        <v>Comfort Bicycles</v>
      </c>
    </row>
    <row r="3340" customHeight="1" spans="1:10">
      <c r="A3340" s="1">
        <v>1156</v>
      </c>
      <c r="B3340" s="1">
        <v>2</v>
      </c>
      <c r="C3340" s="1">
        <v>86</v>
      </c>
      <c r="D3340" s="1">
        <v>1</v>
      </c>
      <c r="E3340" s="1">
        <v>149.99</v>
      </c>
      <c r="F3340" s="1">
        <v>0.05</v>
      </c>
      <c r="G3340">
        <f t="shared" si="52"/>
        <v>149.94</v>
      </c>
      <c r="H3340" t="str">
        <f>VLOOKUP(C3340,[1]products!$A:$B,2,FALSE)</f>
        <v>Trek Girl's Kickster - 2017</v>
      </c>
      <c r="I3340">
        <f>VLOOKUP(C3340,[1]products!$A:$D,4,FALSE)</f>
        <v>1</v>
      </c>
      <c r="J3340" t="str">
        <f>VLOOKUP(I3340,[2]categories!$A$1:$B$8,2,FALSE)</f>
        <v>Children Bicycles</v>
      </c>
    </row>
    <row r="3341" customHeight="1" spans="1:10">
      <c r="A3341" s="1">
        <v>1157</v>
      </c>
      <c r="B3341" s="1">
        <v>1</v>
      </c>
      <c r="C3341" s="1">
        <v>20</v>
      </c>
      <c r="D3341" s="1">
        <v>1</v>
      </c>
      <c r="E3341" s="1">
        <v>599.99</v>
      </c>
      <c r="F3341" s="1">
        <v>0.1</v>
      </c>
      <c r="G3341">
        <f t="shared" si="52"/>
        <v>599.89</v>
      </c>
      <c r="H3341" t="str">
        <f>VLOOKUP(C3341,[1]products!$A:$B,2,FALSE)</f>
        <v>Electra Townie Original 7D EQ - Women's - 2016</v>
      </c>
      <c r="I3341">
        <f>VLOOKUP(C3341,[1]products!$A:$D,4,FALSE)</f>
        <v>3</v>
      </c>
      <c r="J3341" t="str">
        <f>VLOOKUP(I3341,[2]categories!$A$1:$B$8,2,FALSE)</f>
        <v>Cruisers Bicycles</v>
      </c>
    </row>
    <row r="3342" customHeight="1" spans="1:10">
      <c r="A3342" s="1">
        <v>1157</v>
      </c>
      <c r="B3342" s="1">
        <v>2</v>
      </c>
      <c r="C3342" s="1">
        <v>31</v>
      </c>
      <c r="D3342" s="1">
        <v>2</v>
      </c>
      <c r="E3342" s="1">
        <v>1632.99</v>
      </c>
      <c r="F3342" s="1">
        <v>0.1</v>
      </c>
      <c r="G3342">
        <f t="shared" si="52"/>
        <v>3265.88</v>
      </c>
      <c r="H3342" t="str">
        <f>VLOOKUP(C3342,[1]products!$A:$B,2,FALSE)</f>
        <v>Surly Wednesday - 2017</v>
      </c>
      <c r="I3342">
        <f>VLOOKUP(C3342,[1]products!$A:$D,4,FALSE)</f>
        <v>6</v>
      </c>
      <c r="J3342" t="str">
        <f>VLOOKUP(I3342,[2]categories!$A$1:$B$8,2,FALSE)</f>
        <v>Mountain Bikes</v>
      </c>
    </row>
    <row r="3343" customHeight="1" spans="1:10">
      <c r="A3343" s="1">
        <v>1157</v>
      </c>
      <c r="B3343" s="1">
        <v>3</v>
      </c>
      <c r="C3343" s="1">
        <v>37</v>
      </c>
      <c r="D3343" s="1">
        <v>2</v>
      </c>
      <c r="E3343" s="1">
        <v>379.99</v>
      </c>
      <c r="F3343" s="1">
        <v>0.2</v>
      </c>
      <c r="G3343">
        <f t="shared" si="52"/>
        <v>759.78</v>
      </c>
      <c r="H3343" t="str">
        <f>VLOOKUP(C3343,[1]products!$A:$B,2,FALSE)</f>
        <v>Haro Flightline One ST - 2017</v>
      </c>
      <c r="I3343">
        <f>VLOOKUP(C3343,[1]products!$A:$D,4,FALSE)</f>
        <v>6</v>
      </c>
      <c r="J3343" t="str">
        <f>VLOOKUP(I3343,[2]categories!$A$1:$B$8,2,FALSE)</f>
        <v>Mountain Bikes</v>
      </c>
    </row>
    <row r="3344" customHeight="1" spans="1:10">
      <c r="A3344" s="1">
        <v>1157</v>
      </c>
      <c r="B3344" s="1">
        <v>4</v>
      </c>
      <c r="C3344" s="1">
        <v>41</v>
      </c>
      <c r="D3344" s="1">
        <v>1</v>
      </c>
      <c r="E3344" s="1">
        <v>1469.99</v>
      </c>
      <c r="F3344" s="1">
        <v>0.07</v>
      </c>
      <c r="G3344">
        <f t="shared" si="52"/>
        <v>1469.92</v>
      </c>
      <c r="H3344" t="str">
        <f>VLOOKUP(C3344,[1]products!$A:$B,2,FALSE)</f>
        <v>Haro Shift R3 - 2017</v>
      </c>
      <c r="I3344">
        <f>VLOOKUP(C3344,[1]products!$A:$D,4,FALSE)</f>
        <v>6</v>
      </c>
      <c r="J3344" t="str">
        <f>VLOOKUP(I3344,[2]categories!$A$1:$B$8,2,FALSE)</f>
        <v>Mountain Bikes</v>
      </c>
    </row>
    <row r="3345" customHeight="1" spans="1:10">
      <c r="A3345" s="1">
        <v>1158</v>
      </c>
      <c r="B3345" s="1">
        <v>1</v>
      </c>
      <c r="C3345" s="1">
        <v>95</v>
      </c>
      <c r="D3345" s="1">
        <v>2</v>
      </c>
      <c r="E3345" s="1">
        <v>299.99</v>
      </c>
      <c r="F3345" s="1">
        <v>0.1</v>
      </c>
      <c r="G3345">
        <f t="shared" si="52"/>
        <v>599.88</v>
      </c>
      <c r="H3345" t="str">
        <f>VLOOKUP(C3345,[1]products!$A:$B,2,FALSE)</f>
        <v>Electra Girl's Hawaii 1 16" - 2017</v>
      </c>
      <c r="I3345">
        <f>VLOOKUP(C3345,[1]products!$A:$D,4,FALSE)</f>
        <v>1</v>
      </c>
      <c r="J3345" t="str">
        <f>VLOOKUP(I3345,[2]categories!$A$1:$B$8,2,FALSE)</f>
        <v>Children Bicycles</v>
      </c>
    </row>
    <row r="3346" customHeight="1" spans="1:10">
      <c r="A3346" s="1">
        <v>1158</v>
      </c>
      <c r="B3346" s="1">
        <v>2</v>
      </c>
      <c r="C3346" s="1">
        <v>74</v>
      </c>
      <c r="D3346" s="1">
        <v>1</v>
      </c>
      <c r="E3346" s="1">
        <v>439.99</v>
      </c>
      <c r="F3346" s="1">
        <v>0.07</v>
      </c>
      <c r="G3346">
        <f t="shared" si="52"/>
        <v>439.92</v>
      </c>
      <c r="H3346" t="str">
        <f>VLOOKUP(C3346,[1]products!$A:$B,2,FALSE)</f>
        <v>Electra Cruiser Lux 1 - 2017</v>
      </c>
      <c r="I3346">
        <f>VLOOKUP(C3346,[1]products!$A:$D,4,FALSE)</f>
        <v>3</v>
      </c>
      <c r="J3346" t="str">
        <f>VLOOKUP(I3346,[2]categories!$A$1:$B$8,2,FALSE)</f>
        <v>Cruisers Bicycles</v>
      </c>
    </row>
    <row r="3347" customHeight="1" spans="1:10">
      <c r="A3347" s="1">
        <v>1159</v>
      </c>
      <c r="B3347" s="1">
        <v>1</v>
      </c>
      <c r="C3347" s="1">
        <v>12</v>
      </c>
      <c r="D3347" s="1">
        <v>2</v>
      </c>
      <c r="E3347" s="1">
        <v>549.99</v>
      </c>
      <c r="F3347" s="1">
        <v>0.1</v>
      </c>
      <c r="G3347">
        <f t="shared" si="52"/>
        <v>1099.88</v>
      </c>
      <c r="H3347" t="str">
        <f>VLOOKUP(C3347,[1]products!$A:$B,2,FALSE)</f>
        <v>Electra Townie Original 21D - 2016</v>
      </c>
      <c r="I3347">
        <f>VLOOKUP(C3347,[1]products!$A:$D,4,FALSE)</f>
        <v>3</v>
      </c>
      <c r="J3347" t="str">
        <f>VLOOKUP(I3347,[2]categories!$A$1:$B$8,2,FALSE)</f>
        <v>Cruisers Bicycles</v>
      </c>
    </row>
    <row r="3348" customHeight="1" spans="1:10">
      <c r="A3348" s="1">
        <v>1160</v>
      </c>
      <c r="B3348" s="1">
        <v>1</v>
      </c>
      <c r="C3348" s="1">
        <v>41</v>
      </c>
      <c r="D3348" s="1">
        <v>1</v>
      </c>
      <c r="E3348" s="1">
        <v>1469.99</v>
      </c>
      <c r="F3348" s="1">
        <v>0.1</v>
      </c>
      <c r="G3348">
        <f t="shared" si="52"/>
        <v>1469.89</v>
      </c>
      <c r="H3348" t="str">
        <f>VLOOKUP(C3348,[1]products!$A:$B,2,FALSE)</f>
        <v>Haro Shift R3 - 2017</v>
      </c>
      <c r="I3348">
        <f>VLOOKUP(C3348,[1]products!$A:$D,4,FALSE)</f>
        <v>6</v>
      </c>
      <c r="J3348" t="str">
        <f>VLOOKUP(I3348,[2]categories!$A$1:$B$8,2,FALSE)</f>
        <v>Mountain Bikes</v>
      </c>
    </row>
    <row r="3349" customHeight="1" spans="1:10">
      <c r="A3349" s="1">
        <v>1160</v>
      </c>
      <c r="B3349" s="1">
        <v>2</v>
      </c>
      <c r="C3349" s="1">
        <v>9</v>
      </c>
      <c r="D3349" s="1">
        <v>1</v>
      </c>
      <c r="E3349" s="1">
        <v>2999.99</v>
      </c>
      <c r="F3349" s="1">
        <v>0.2</v>
      </c>
      <c r="G3349">
        <f t="shared" si="52"/>
        <v>2999.79</v>
      </c>
      <c r="H3349" t="str">
        <f>VLOOKUP(C3349,[1]products!$A:$B,2,FALSE)</f>
        <v>Trek Conduit+ - 2016</v>
      </c>
      <c r="I3349">
        <f>VLOOKUP(C3349,[1]products!$A:$D,4,FALSE)</f>
        <v>5</v>
      </c>
      <c r="J3349" t="str">
        <f>VLOOKUP(I3349,[2]categories!$A$1:$B$8,2,FALSE)</f>
        <v>Electric Bikes</v>
      </c>
    </row>
    <row r="3350" customHeight="1" spans="1:10">
      <c r="A3350" s="1">
        <v>1161</v>
      </c>
      <c r="B3350" s="1">
        <v>1</v>
      </c>
      <c r="C3350" s="1">
        <v>71</v>
      </c>
      <c r="D3350" s="1">
        <v>2</v>
      </c>
      <c r="E3350" s="1">
        <v>416.99</v>
      </c>
      <c r="F3350" s="1">
        <v>0.1</v>
      </c>
      <c r="G3350">
        <f t="shared" si="52"/>
        <v>833.88</v>
      </c>
      <c r="H3350" t="str">
        <f>VLOOKUP(C3350,[1]products!$A:$B,2,FALSE)</f>
        <v>Sun Bicycles Atlas X-Type - 2017</v>
      </c>
      <c r="I3350">
        <f>VLOOKUP(C3350,[1]products!$A:$D,4,FALSE)</f>
        <v>3</v>
      </c>
      <c r="J3350" t="str">
        <f>VLOOKUP(I3350,[2]categories!$A$1:$B$8,2,FALSE)</f>
        <v>Cruisers Bicycles</v>
      </c>
    </row>
    <row r="3351" customHeight="1" spans="1:10">
      <c r="A3351" s="1">
        <v>1161</v>
      </c>
      <c r="B3351" s="1">
        <v>2</v>
      </c>
      <c r="C3351" s="1">
        <v>38</v>
      </c>
      <c r="D3351" s="1">
        <v>1</v>
      </c>
      <c r="E3351" s="1">
        <v>549.99</v>
      </c>
      <c r="F3351" s="1">
        <v>0.07</v>
      </c>
      <c r="G3351">
        <f t="shared" si="52"/>
        <v>549.92</v>
      </c>
      <c r="H3351" t="str">
        <f>VLOOKUP(C3351,[1]products!$A:$B,2,FALSE)</f>
        <v>Haro Flightline Two 26 Plus - 2017</v>
      </c>
      <c r="I3351">
        <f>VLOOKUP(C3351,[1]products!$A:$D,4,FALSE)</f>
        <v>6</v>
      </c>
      <c r="J3351" t="str">
        <f>VLOOKUP(I3351,[2]categories!$A$1:$B$8,2,FALSE)</f>
        <v>Mountain Bikes</v>
      </c>
    </row>
    <row r="3352" customHeight="1" spans="1:10">
      <c r="A3352" s="1">
        <v>1161</v>
      </c>
      <c r="B3352" s="1">
        <v>3</v>
      </c>
      <c r="C3352" s="1">
        <v>22</v>
      </c>
      <c r="D3352" s="1">
        <v>1</v>
      </c>
      <c r="E3352" s="1">
        <v>269.99</v>
      </c>
      <c r="F3352" s="1">
        <v>0.2</v>
      </c>
      <c r="G3352">
        <f t="shared" si="52"/>
        <v>269.79</v>
      </c>
      <c r="H3352" t="str">
        <f>VLOOKUP(C3352,[1]products!$A:$B,2,FALSE)</f>
        <v>Electra Girl's Hawaii 1 (16-inch) - 2015/2016</v>
      </c>
      <c r="I3352">
        <f>VLOOKUP(C3352,[1]products!$A:$D,4,FALSE)</f>
        <v>1</v>
      </c>
      <c r="J3352" t="str">
        <f>VLOOKUP(I3352,[2]categories!$A$1:$B$8,2,FALSE)</f>
        <v>Children Bicycles</v>
      </c>
    </row>
    <row r="3353" customHeight="1" spans="1:10">
      <c r="A3353" s="1">
        <v>1161</v>
      </c>
      <c r="B3353" s="1">
        <v>4</v>
      </c>
      <c r="C3353" s="1">
        <v>29</v>
      </c>
      <c r="D3353" s="1">
        <v>2</v>
      </c>
      <c r="E3353" s="1">
        <v>999.99</v>
      </c>
      <c r="F3353" s="1">
        <v>0.1</v>
      </c>
      <c r="G3353">
        <f t="shared" si="52"/>
        <v>1999.88</v>
      </c>
      <c r="H3353" t="str">
        <f>VLOOKUP(C3353,[1]products!$A:$B,2,FALSE)</f>
        <v>Trek X-Caliber 8 - 2017</v>
      </c>
      <c r="I3353">
        <f>VLOOKUP(C3353,[1]products!$A:$D,4,FALSE)</f>
        <v>6</v>
      </c>
      <c r="J3353" t="str">
        <f>VLOOKUP(I3353,[2]categories!$A$1:$B$8,2,FALSE)</f>
        <v>Mountain Bikes</v>
      </c>
    </row>
    <row r="3354" customHeight="1" spans="1:10">
      <c r="A3354" s="1">
        <v>1162</v>
      </c>
      <c r="B3354" s="1">
        <v>1</v>
      </c>
      <c r="C3354" s="1">
        <v>88</v>
      </c>
      <c r="D3354" s="1">
        <v>1</v>
      </c>
      <c r="E3354" s="1">
        <v>189.99</v>
      </c>
      <c r="F3354" s="1">
        <v>0.2</v>
      </c>
      <c r="G3354">
        <f t="shared" si="52"/>
        <v>189.79</v>
      </c>
      <c r="H3354" t="str">
        <f>VLOOKUP(C3354,[1]products!$A:$B,2,FALSE)</f>
        <v>Trek Precaliber 12 Girls - 2017</v>
      </c>
      <c r="I3354">
        <f>VLOOKUP(C3354,[1]products!$A:$D,4,FALSE)</f>
        <v>1</v>
      </c>
      <c r="J3354" t="str">
        <f>VLOOKUP(I3354,[2]categories!$A$1:$B$8,2,FALSE)</f>
        <v>Children Bicycles</v>
      </c>
    </row>
    <row r="3355" customHeight="1" spans="1:10">
      <c r="A3355" s="1">
        <v>1162</v>
      </c>
      <c r="B3355" s="1">
        <v>2</v>
      </c>
      <c r="C3355" s="1">
        <v>40</v>
      </c>
      <c r="D3355" s="1">
        <v>2</v>
      </c>
      <c r="E3355" s="1">
        <v>4999.99</v>
      </c>
      <c r="F3355" s="1">
        <v>0.2</v>
      </c>
      <c r="G3355">
        <f t="shared" si="52"/>
        <v>9999.78</v>
      </c>
      <c r="H3355" t="str">
        <f>VLOOKUP(C3355,[1]products!$A:$B,2,FALSE)</f>
        <v>Trek Fuel EX 9.8 29 - 2017</v>
      </c>
      <c r="I3355">
        <f>VLOOKUP(C3355,[1]products!$A:$D,4,FALSE)</f>
        <v>6</v>
      </c>
      <c r="J3355" t="str">
        <f>VLOOKUP(I3355,[2]categories!$A$1:$B$8,2,FALSE)</f>
        <v>Mountain Bikes</v>
      </c>
    </row>
    <row r="3356" customHeight="1" spans="1:10">
      <c r="A3356" s="1">
        <v>1162</v>
      </c>
      <c r="B3356" s="1">
        <v>3</v>
      </c>
      <c r="C3356" s="1">
        <v>86</v>
      </c>
      <c r="D3356" s="1">
        <v>1</v>
      </c>
      <c r="E3356" s="1">
        <v>149.99</v>
      </c>
      <c r="F3356" s="1">
        <v>0.1</v>
      </c>
      <c r="G3356">
        <f t="shared" si="52"/>
        <v>149.89</v>
      </c>
      <c r="H3356" t="str">
        <f>VLOOKUP(C3356,[1]products!$A:$B,2,FALSE)</f>
        <v>Trek Girl's Kickster - 2017</v>
      </c>
      <c r="I3356">
        <f>VLOOKUP(C3356,[1]products!$A:$D,4,FALSE)</f>
        <v>1</v>
      </c>
      <c r="J3356" t="str">
        <f>VLOOKUP(I3356,[2]categories!$A$1:$B$8,2,FALSE)</f>
        <v>Children Bicycles</v>
      </c>
    </row>
    <row r="3357" customHeight="1" spans="1:10">
      <c r="A3357" s="1">
        <v>1162</v>
      </c>
      <c r="B3357" s="1">
        <v>4</v>
      </c>
      <c r="C3357" s="1">
        <v>41</v>
      </c>
      <c r="D3357" s="1">
        <v>1</v>
      </c>
      <c r="E3357" s="1">
        <v>1469.99</v>
      </c>
      <c r="F3357" s="1">
        <v>0.05</v>
      </c>
      <c r="G3357">
        <f t="shared" si="52"/>
        <v>1469.94</v>
      </c>
      <c r="H3357" t="str">
        <f>VLOOKUP(C3357,[1]products!$A:$B,2,FALSE)</f>
        <v>Haro Shift R3 - 2017</v>
      </c>
      <c r="I3357">
        <f>VLOOKUP(C3357,[1]products!$A:$D,4,FALSE)</f>
        <v>6</v>
      </c>
      <c r="J3357" t="str">
        <f>VLOOKUP(I3357,[2]categories!$A$1:$B$8,2,FALSE)</f>
        <v>Mountain Bikes</v>
      </c>
    </row>
    <row r="3358" customHeight="1" spans="1:10">
      <c r="A3358" s="1">
        <v>1162</v>
      </c>
      <c r="B3358" s="1">
        <v>5</v>
      </c>
      <c r="C3358" s="1">
        <v>12</v>
      </c>
      <c r="D3358" s="1">
        <v>2</v>
      </c>
      <c r="E3358" s="1">
        <v>549.99</v>
      </c>
      <c r="F3358" s="1">
        <v>0.05</v>
      </c>
      <c r="G3358">
        <f t="shared" si="52"/>
        <v>1099.93</v>
      </c>
      <c r="H3358" t="str">
        <f>VLOOKUP(C3358,[1]products!$A:$B,2,FALSE)</f>
        <v>Electra Townie Original 21D - 2016</v>
      </c>
      <c r="I3358">
        <f>VLOOKUP(C3358,[1]products!$A:$D,4,FALSE)</f>
        <v>3</v>
      </c>
      <c r="J3358" t="str">
        <f>VLOOKUP(I3358,[2]categories!$A$1:$B$8,2,FALSE)</f>
        <v>Cruisers Bicycles</v>
      </c>
    </row>
    <row r="3359" customHeight="1" spans="1:10">
      <c r="A3359" s="1">
        <v>1163</v>
      </c>
      <c r="B3359" s="1">
        <v>1</v>
      </c>
      <c r="C3359" s="1">
        <v>63</v>
      </c>
      <c r="D3359" s="1">
        <v>2</v>
      </c>
      <c r="E3359" s="1">
        <v>3499.99</v>
      </c>
      <c r="F3359" s="1">
        <v>0.05</v>
      </c>
      <c r="G3359">
        <f t="shared" si="52"/>
        <v>6999.93</v>
      </c>
      <c r="H3359" t="str">
        <f>VLOOKUP(C3359,[1]products!$A:$B,2,FALSE)</f>
        <v>Trek Boone Race Shop Limited - 2017</v>
      </c>
      <c r="I3359">
        <f>VLOOKUP(C3359,[1]products!$A:$D,4,FALSE)</f>
        <v>4</v>
      </c>
      <c r="J3359" t="str">
        <f>VLOOKUP(I3359,[2]categories!$A$1:$B$8,2,FALSE)</f>
        <v>Cyclocross Bicycles</v>
      </c>
    </row>
    <row r="3360" customHeight="1" spans="1:10">
      <c r="A3360" s="1">
        <v>1163</v>
      </c>
      <c r="B3360" s="1">
        <v>2</v>
      </c>
      <c r="C3360" s="1">
        <v>53</v>
      </c>
      <c r="D3360" s="1">
        <v>2</v>
      </c>
      <c r="E3360" s="1">
        <v>749.99</v>
      </c>
      <c r="F3360" s="1">
        <v>0.1</v>
      </c>
      <c r="G3360">
        <f t="shared" si="52"/>
        <v>1499.88</v>
      </c>
      <c r="H3360" t="str">
        <f>VLOOKUP(C3360,[1]products!$A:$B,2,FALSE)</f>
        <v>Surly Ogre Frameset - 2017</v>
      </c>
      <c r="I3360">
        <f>VLOOKUP(C3360,[1]products!$A:$D,4,FALSE)</f>
        <v>7</v>
      </c>
      <c r="J3360" t="str">
        <f>VLOOKUP(I3360,[2]categories!$A$1:$B$8,2,FALSE)</f>
        <v>Road Bikes</v>
      </c>
    </row>
    <row r="3361" customHeight="1" spans="1:10">
      <c r="A3361" s="1">
        <v>1164</v>
      </c>
      <c r="B3361" s="1">
        <v>1</v>
      </c>
      <c r="C3361" s="1">
        <v>8</v>
      </c>
      <c r="D3361" s="1">
        <v>1</v>
      </c>
      <c r="E3361" s="1">
        <v>1799.99</v>
      </c>
      <c r="F3361" s="1">
        <v>0.2</v>
      </c>
      <c r="G3361">
        <f t="shared" si="52"/>
        <v>1799.79</v>
      </c>
      <c r="H3361" t="str">
        <f>VLOOKUP(C3361,[1]products!$A:$B,2,FALSE)</f>
        <v>Trek Remedy 29 Carbon Frameset - 2016</v>
      </c>
      <c r="I3361">
        <f>VLOOKUP(C3361,[1]products!$A:$D,4,FALSE)</f>
        <v>6</v>
      </c>
      <c r="J3361" t="str">
        <f>VLOOKUP(I3361,[2]categories!$A$1:$B$8,2,FALSE)</f>
        <v>Mountain Bikes</v>
      </c>
    </row>
    <row r="3362" customHeight="1" spans="1:10">
      <c r="A3362" s="1">
        <v>1164</v>
      </c>
      <c r="B3362" s="1">
        <v>2</v>
      </c>
      <c r="C3362" s="1">
        <v>78</v>
      </c>
      <c r="D3362" s="1">
        <v>1</v>
      </c>
      <c r="E3362" s="1">
        <v>647.99</v>
      </c>
      <c r="F3362" s="1">
        <v>0.05</v>
      </c>
      <c r="G3362">
        <f t="shared" si="52"/>
        <v>647.94</v>
      </c>
      <c r="H3362" t="str">
        <f>VLOOKUP(C3362,[1]products!$A:$B,2,FALSE)</f>
        <v>Sun Bicycles Biscayne Tandem CB - 2017</v>
      </c>
      <c r="I3362">
        <f>VLOOKUP(C3362,[1]products!$A:$D,4,FALSE)</f>
        <v>3</v>
      </c>
      <c r="J3362" t="str">
        <f>VLOOKUP(I3362,[2]categories!$A$1:$B$8,2,FALSE)</f>
        <v>Cruisers Bicycles</v>
      </c>
    </row>
    <row r="3363" customHeight="1" spans="1:10">
      <c r="A3363" s="1">
        <v>1164</v>
      </c>
      <c r="B3363" s="1">
        <v>3</v>
      </c>
      <c r="C3363" s="1">
        <v>103</v>
      </c>
      <c r="D3363" s="1">
        <v>2</v>
      </c>
      <c r="E3363" s="1">
        <v>551.99</v>
      </c>
      <c r="F3363" s="1">
        <v>0.05</v>
      </c>
      <c r="G3363">
        <f t="shared" si="52"/>
        <v>1103.93</v>
      </c>
      <c r="H3363" t="str">
        <f>VLOOKUP(C3363,[1]products!$A:$B,2,FALSE)</f>
        <v>Sun Bicycles Streamway 3 - 2017</v>
      </c>
      <c r="I3363">
        <f>VLOOKUP(C3363,[1]products!$A:$D,4,FALSE)</f>
        <v>2</v>
      </c>
      <c r="J3363" t="str">
        <f>VLOOKUP(I3363,[2]categories!$A$1:$B$8,2,FALSE)</f>
        <v>Comfort Bicycles</v>
      </c>
    </row>
    <row r="3364" customHeight="1" spans="1:10">
      <c r="A3364" s="1">
        <v>1164</v>
      </c>
      <c r="B3364" s="1">
        <v>4</v>
      </c>
      <c r="C3364" s="1">
        <v>44</v>
      </c>
      <c r="D3364" s="1">
        <v>2</v>
      </c>
      <c r="E3364" s="1">
        <v>539.99</v>
      </c>
      <c r="F3364" s="1">
        <v>0.05</v>
      </c>
      <c r="G3364">
        <f t="shared" si="52"/>
        <v>1079.93</v>
      </c>
      <c r="H3364" t="str">
        <f>VLOOKUP(C3364,[1]products!$A:$B,2,FALSE)</f>
        <v>Haro SR 1.1 - 2017</v>
      </c>
      <c r="I3364">
        <f>VLOOKUP(C3364,[1]products!$A:$D,4,FALSE)</f>
        <v>6</v>
      </c>
      <c r="J3364" t="str">
        <f>VLOOKUP(I3364,[2]categories!$A$1:$B$8,2,FALSE)</f>
        <v>Mountain Bikes</v>
      </c>
    </row>
    <row r="3365" customHeight="1" spans="1:10">
      <c r="A3365" s="1">
        <v>1165</v>
      </c>
      <c r="B3365" s="1">
        <v>1</v>
      </c>
      <c r="C3365" s="1">
        <v>65</v>
      </c>
      <c r="D3365" s="1">
        <v>2</v>
      </c>
      <c r="E3365" s="1">
        <v>346.99</v>
      </c>
      <c r="F3365" s="1">
        <v>0.07</v>
      </c>
      <c r="G3365">
        <f t="shared" si="52"/>
        <v>693.91</v>
      </c>
      <c r="H3365" t="str">
        <f>VLOOKUP(C3365,[1]products!$A:$B,2,FALSE)</f>
        <v>Sun Bicycles Lil Bolt Type-R - 2017</v>
      </c>
      <c r="I3365">
        <f>VLOOKUP(C3365,[1]products!$A:$D,4,FALSE)</f>
        <v>3</v>
      </c>
      <c r="J3365" t="str">
        <f>VLOOKUP(I3365,[2]categories!$A$1:$B$8,2,FALSE)</f>
        <v>Cruisers Bicycles</v>
      </c>
    </row>
    <row r="3366" customHeight="1" spans="1:10">
      <c r="A3366" s="1">
        <v>1165</v>
      </c>
      <c r="B3366" s="1">
        <v>2</v>
      </c>
      <c r="C3366" s="1">
        <v>68</v>
      </c>
      <c r="D3366" s="1">
        <v>1</v>
      </c>
      <c r="E3366" s="1">
        <v>449.99</v>
      </c>
      <c r="F3366" s="1">
        <v>0.07</v>
      </c>
      <c r="G3366">
        <f t="shared" si="52"/>
        <v>449.92</v>
      </c>
      <c r="H3366" t="str">
        <f>VLOOKUP(C3366,[1]products!$A:$B,2,FALSE)</f>
        <v>Sun Bicycles Cruz 3 - 2017</v>
      </c>
      <c r="I3366">
        <f>VLOOKUP(C3366,[1]products!$A:$D,4,FALSE)</f>
        <v>3</v>
      </c>
      <c r="J3366" t="str">
        <f>VLOOKUP(I3366,[2]categories!$A$1:$B$8,2,FALSE)</f>
        <v>Cruisers Bicycles</v>
      </c>
    </row>
    <row r="3367" customHeight="1" spans="1:10">
      <c r="A3367" s="1">
        <v>1166</v>
      </c>
      <c r="B3367" s="1">
        <v>1</v>
      </c>
      <c r="C3367" s="1">
        <v>103</v>
      </c>
      <c r="D3367" s="1">
        <v>2</v>
      </c>
      <c r="E3367" s="1">
        <v>551.99</v>
      </c>
      <c r="F3367" s="1">
        <v>0.07</v>
      </c>
      <c r="G3367">
        <f t="shared" si="52"/>
        <v>1103.91</v>
      </c>
      <c r="H3367" t="str">
        <f>VLOOKUP(C3367,[1]products!$A:$B,2,FALSE)</f>
        <v>Sun Bicycles Streamway 3 - 2017</v>
      </c>
      <c r="I3367">
        <f>VLOOKUP(C3367,[1]products!$A:$D,4,FALSE)</f>
        <v>2</v>
      </c>
      <c r="J3367" t="str">
        <f>VLOOKUP(I3367,[2]categories!$A$1:$B$8,2,FALSE)</f>
        <v>Comfort Bicycles</v>
      </c>
    </row>
    <row r="3368" customHeight="1" spans="1:10">
      <c r="A3368" s="1">
        <v>1167</v>
      </c>
      <c r="B3368" s="1">
        <v>1</v>
      </c>
      <c r="C3368" s="1">
        <v>29</v>
      </c>
      <c r="D3368" s="1">
        <v>2</v>
      </c>
      <c r="E3368" s="1">
        <v>999.99</v>
      </c>
      <c r="F3368" s="1">
        <v>0.05</v>
      </c>
      <c r="G3368">
        <f t="shared" si="52"/>
        <v>1999.93</v>
      </c>
      <c r="H3368" t="str">
        <f>VLOOKUP(C3368,[1]products!$A:$B,2,FALSE)</f>
        <v>Trek X-Caliber 8 - 2017</v>
      </c>
      <c r="I3368">
        <f>VLOOKUP(C3368,[1]products!$A:$D,4,FALSE)</f>
        <v>6</v>
      </c>
      <c r="J3368" t="str">
        <f>VLOOKUP(I3368,[2]categories!$A$1:$B$8,2,FALSE)</f>
        <v>Mountain Bikes</v>
      </c>
    </row>
    <row r="3369" customHeight="1" spans="1:10">
      <c r="A3369" s="1">
        <v>1167</v>
      </c>
      <c r="B3369" s="1">
        <v>2</v>
      </c>
      <c r="C3369" s="1">
        <v>81</v>
      </c>
      <c r="D3369" s="1">
        <v>2</v>
      </c>
      <c r="E3369" s="1">
        <v>1099.99</v>
      </c>
      <c r="F3369" s="1">
        <v>0.1</v>
      </c>
      <c r="G3369">
        <f t="shared" si="52"/>
        <v>2199.88</v>
      </c>
      <c r="H3369" t="str">
        <f>VLOOKUP(C3369,[1]products!$A:$B,2,FALSE)</f>
        <v>Electra Amsterdam Fashion 7i Ladies' - 2017</v>
      </c>
      <c r="I3369">
        <f>VLOOKUP(C3369,[1]products!$A:$D,4,FALSE)</f>
        <v>3</v>
      </c>
      <c r="J3369" t="str">
        <f>VLOOKUP(I3369,[2]categories!$A$1:$B$8,2,FALSE)</f>
        <v>Cruisers Bicycles</v>
      </c>
    </row>
    <row r="3370" customHeight="1" spans="1:10">
      <c r="A3370" s="1">
        <v>1167</v>
      </c>
      <c r="B3370" s="1">
        <v>3</v>
      </c>
      <c r="C3370" s="1">
        <v>68</v>
      </c>
      <c r="D3370" s="1">
        <v>1</v>
      </c>
      <c r="E3370" s="1">
        <v>449.99</v>
      </c>
      <c r="F3370" s="1">
        <v>0.07</v>
      </c>
      <c r="G3370">
        <f t="shared" si="52"/>
        <v>449.92</v>
      </c>
      <c r="H3370" t="str">
        <f>VLOOKUP(C3370,[1]products!$A:$B,2,FALSE)</f>
        <v>Sun Bicycles Cruz 3 - 2017</v>
      </c>
      <c r="I3370">
        <f>VLOOKUP(C3370,[1]products!$A:$D,4,FALSE)</f>
        <v>3</v>
      </c>
      <c r="J3370" t="str">
        <f>VLOOKUP(I3370,[2]categories!$A$1:$B$8,2,FALSE)</f>
        <v>Cruisers Bicycles</v>
      </c>
    </row>
    <row r="3371" customHeight="1" spans="1:10">
      <c r="A3371" s="1">
        <v>1168</v>
      </c>
      <c r="B3371" s="1">
        <v>1</v>
      </c>
      <c r="C3371" s="1">
        <v>23</v>
      </c>
      <c r="D3371" s="1">
        <v>2</v>
      </c>
      <c r="E3371" s="1">
        <v>299.99</v>
      </c>
      <c r="F3371" s="1">
        <v>0.1</v>
      </c>
      <c r="G3371">
        <f t="shared" si="52"/>
        <v>599.88</v>
      </c>
      <c r="H3371" t="str">
        <f>VLOOKUP(C3371,[1]products!$A:$B,2,FALSE)</f>
        <v>Electra Girl's Hawaii 1 (20-inch) - 2015/2016</v>
      </c>
      <c r="I3371">
        <f>VLOOKUP(C3371,[1]products!$A:$D,4,FALSE)</f>
        <v>1</v>
      </c>
      <c r="J3371" t="str">
        <f>VLOOKUP(I3371,[2]categories!$A$1:$B$8,2,FALSE)</f>
        <v>Children Bicycles</v>
      </c>
    </row>
    <row r="3372" customHeight="1" spans="1:10">
      <c r="A3372" s="1">
        <v>1168</v>
      </c>
      <c r="B3372" s="1">
        <v>2</v>
      </c>
      <c r="C3372" s="1">
        <v>82</v>
      </c>
      <c r="D3372" s="1">
        <v>1</v>
      </c>
      <c r="E3372" s="1">
        <v>659.99</v>
      </c>
      <c r="F3372" s="1">
        <v>0.2</v>
      </c>
      <c r="G3372">
        <f t="shared" si="52"/>
        <v>659.79</v>
      </c>
      <c r="H3372" t="str">
        <f>VLOOKUP(C3372,[1]products!$A:$B,2,FALSE)</f>
        <v>Electra Amsterdam Original 3i Ladies' - 2017</v>
      </c>
      <c r="I3372">
        <f>VLOOKUP(C3372,[1]products!$A:$D,4,FALSE)</f>
        <v>3</v>
      </c>
      <c r="J3372" t="str">
        <f>VLOOKUP(I3372,[2]categories!$A$1:$B$8,2,FALSE)</f>
        <v>Cruisers Bicycles</v>
      </c>
    </row>
    <row r="3373" customHeight="1" spans="1:10">
      <c r="A3373" s="1">
        <v>1168</v>
      </c>
      <c r="B3373" s="1">
        <v>3</v>
      </c>
      <c r="C3373" s="1">
        <v>51</v>
      </c>
      <c r="D3373" s="1">
        <v>1</v>
      </c>
      <c r="E3373" s="1">
        <v>6499.99</v>
      </c>
      <c r="F3373" s="1">
        <v>0.07</v>
      </c>
      <c r="G3373">
        <f t="shared" si="52"/>
        <v>6499.92</v>
      </c>
      <c r="H3373" t="str">
        <f>VLOOKUP(C3373,[1]products!$A:$B,2,FALSE)</f>
        <v>Trek Silque SLR 8 Women's - 2017</v>
      </c>
      <c r="I3373">
        <f>VLOOKUP(C3373,[1]products!$A:$D,4,FALSE)</f>
        <v>7</v>
      </c>
      <c r="J3373" t="str">
        <f>VLOOKUP(I3373,[2]categories!$A$1:$B$8,2,FALSE)</f>
        <v>Road Bikes</v>
      </c>
    </row>
    <row r="3374" customHeight="1" spans="1:10">
      <c r="A3374" s="1">
        <v>1168</v>
      </c>
      <c r="B3374" s="1">
        <v>4</v>
      </c>
      <c r="C3374" s="1">
        <v>107</v>
      </c>
      <c r="D3374" s="1">
        <v>2</v>
      </c>
      <c r="E3374" s="1">
        <v>416.99</v>
      </c>
      <c r="F3374" s="1">
        <v>0.2</v>
      </c>
      <c r="G3374">
        <f t="shared" si="52"/>
        <v>833.78</v>
      </c>
      <c r="H3374" t="str">
        <f>VLOOKUP(C3374,[1]products!$A:$B,2,FALSE)</f>
        <v>Sun Bicycles Cruz 7 - 2017</v>
      </c>
      <c r="I3374">
        <f>VLOOKUP(C3374,[1]products!$A:$D,4,FALSE)</f>
        <v>2</v>
      </c>
      <c r="J3374" t="str">
        <f>VLOOKUP(I3374,[2]categories!$A$1:$B$8,2,FALSE)</f>
        <v>Comfort Bicycles</v>
      </c>
    </row>
    <row r="3375" customHeight="1" spans="1:10">
      <c r="A3375" s="1">
        <v>1168</v>
      </c>
      <c r="B3375" s="1">
        <v>5</v>
      </c>
      <c r="C3375" s="1">
        <v>15</v>
      </c>
      <c r="D3375" s="1">
        <v>2</v>
      </c>
      <c r="E3375" s="1">
        <v>529.99</v>
      </c>
      <c r="F3375" s="1">
        <v>0.05</v>
      </c>
      <c r="G3375">
        <f t="shared" si="52"/>
        <v>1059.93</v>
      </c>
      <c r="H3375" t="str">
        <f>VLOOKUP(C3375,[1]products!$A:$B,2,FALSE)</f>
        <v>Electra Moto 1 - 2016</v>
      </c>
      <c r="I3375">
        <f>VLOOKUP(C3375,[1]products!$A:$D,4,FALSE)</f>
        <v>3</v>
      </c>
      <c r="J3375" t="str">
        <f>VLOOKUP(I3375,[2]categories!$A$1:$B$8,2,FALSE)</f>
        <v>Cruisers Bicycles</v>
      </c>
    </row>
    <row r="3376" customHeight="1" spans="1:10">
      <c r="A3376" s="1">
        <v>1169</v>
      </c>
      <c r="B3376" s="1">
        <v>1</v>
      </c>
      <c r="C3376" s="1">
        <v>91</v>
      </c>
      <c r="D3376" s="1">
        <v>2</v>
      </c>
      <c r="E3376" s="1">
        <v>349.99</v>
      </c>
      <c r="F3376" s="1">
        <v>0.2</v>
      </c>
      <c r="G3376">
        <f t="shared" si="52"/>
        <v>699.78</v>
      </c>
      <c r="H3376" t="str">
        <f>VLOOKUP(C3376,[1]products!$A:$B,2,FALSE)</f>
        <v>Trek Precaliber 24 (21-Speed) - Girls - 2017</v>
      </c>
      <c r="I3376">
        <f>VLOOKUP(C3376,[1]products!$A:$D,4,FALSE)</f>
        <v>1</v>
      </c>
      <c r="J3376" t="str">
        <f>VLOOKUP(I3376,[2]categories!$A$1:$B$8,2,FALSE)</f>
        <v>Children Bicycles</v>
      </c>
    </row>
    <row r="3377" customHeight="1" spans="1:10">
      <c r="A3377" s="1">
        <v>1169</v>
      </c>
      <c r="B3377" s="1">
        <v>2</v>
      </c>
      <c r="C3377" s="1">
        <v>51</v>
      </c>
      <c r="D3377" s="1">
        <v>1</v>
      </c>
      <c r="E3377" s="1">
        <v>6499.99</v>
      </c>
      <c r="F3377" s="1">
        <v>0.05</v>
      </c>
      <c r="G3377">
        <f t="shared" si="52"/>
        <v>6499.94</v>
      </c>
      <c r="H3377" t="str">
        <f>VLOOKUP(C3377,[1]products!$A:$B,2,FALSE)</f>
        <v>Trek Silque SLR 8 Women's - 2017</v>
      </c>
      <c r="I3377">
        <f>VLOOKUP(C3377,[1]products!$A:$D,4,FALSE)</f>
        <v>7</v>
      </c>
      <c r="J3377" t="str">
        <f>VLOOKUP(I3377,[2]categories!$A$1:$B$8,2,FALSE)</f>
        <v>Road Bikes</v>
      </c>
    </row>
    <row r="3378" customHeight="1" spans="1:10">
      <c r="A3378" s="1">
        <v>1169</v>
      </c>
      <c r="B3378" s="1">
        <v>3</v>
      </c>
      <c r="C3378" s="1">
        <v>58</v>
      </c>
      <c r="D3378" s="1">
        <v>2</v>
      </c>
      <c r="E3378" s="1">
        <v>4999.99</v>
      </c>
      <c r="F3378" s="1">
        <v>0.1</v>
      </c>
      <c r="G3378">
        <f t="shared" si="52"/>
        <v>9999.88</v>
      </c>
      <c r="H3378" t="str">
        <f>VLOOKUP(C3378,[1]products!$A:$B,2,FALSE)</f>
        <v>Trek Madone 9.2 - 2017</v>
      </c>
      <c r="I3378">
        <f>VLOOKUP(C3378,[1]products!$A:$D,4,FALSE)</f>
        <v>7</v>
      </c>
      <c r="J3378" t="str">
        <f>VLOOKUP(I3378,[2]categories!$A$1:$B$8,2,FALSE)</f>
        <v>Road Bikes</v>
      </c>
    </row>
    <row r="3379" customHeight="1" spans="1:10">
      <c r="A3379" s="1">
        <v>1169</v>
      </c>
      <c r="B3379" s="1">
        <v>4</v>
      </c>
      <c r="C3379" s="1">
        <v>81</v>
      </c>
      <c r="D3379" s="1">
        <v>2</v>
      </c>
      <c r="E3379" s="1">
        <v>1099.99</v>
      </c>
      <c r="F3379" s="1">
        <v>0.2</v>
      </c>
      <c r="G3379">
        <f t="shared" si="52"/>
        <v>2199.78</v>
      </c>
      <c r="H3379" t="str">
        <f>VLOOKUP(C3379,[1]products!$A:$B,2,FALSE)</f>
        <v>Electra Amsterdam Fashion 7i Ladies' - 2017</v>
      </c>
      <c r="I3379">
        <f>VLOOKUP(C3379,[1]products!$A:$D,4,FALSE)</f>
        <v>3</v>
      </c>
      <c r="J3379" t="str">
        <f>VLOOKUP(I3379,[2]categories!$A$1:$B$8,2,FALSE)</f>
        <v>Cruisers Bicycles</v>
      </c>
    </row>
    <row r="3380" customHeight="1" spans="1:10">
      <c r="A3380" s="1">
        <v>1170</v>
      </c>
      <c r="B3380" s="1">
        <v>1</v>
      </c>
      <c r="C3380" s="1">
        <v>15</v>
      </c>
      <c r="D3380" s="1">
        <v>1</v>
      </c>
      <c r="E3380" s="1">
        <v>529.99</v>
      </c>
      <c r="F3380" s="1">
        <v>0.1</v>
      </c>
      <c r="G3380">
        <f t="shared" si="52"/>
        <v>529.89</v>
      </c>
      <c r="H3380" t="str">
        <f>VLOOKUP(C3380,[1]products!$A:$B,2,FALSE)</f>
        <v>Electra Moto 1 - 2016</v>
      </c>
      <c r="I3380">
        <f>VLOOKUP(C3380,[1]products!$A:$D,4,FALSE)</f>
        <v>3</v>
      </c>
      <c r="J3380" t="str">
        <f>VLOOKUP(I3380,[2]categories!$A$1:$B$8,2,FALSE)</f>
        <v>Cruisers Bicycles</v>
      </c>
    </row>
    <row r="3381" customHeight="1" spans="1:10">
      <c r="A3381" s="1">
        <v>1170</v>
      </c>
      <c r="B3381" s="1">
        <v>2</v>
      </c>
      <c r="C3381" s="1">
        <v>47</v>
      </c>
      <c r="D3381" s="1">
        <v>2</v>
      </c>
      <c r="E3381" s="1">
        <v>5299.99</v>
      </c>
      <c r="F3381" s="1">
        <v>0.05</v>
      </c>
      <c r="G3381">
        <f t="shared" si="52"/>
        <v>10599.93</v>
      </c>
      <c r="H3381" t="str">
        <f>VLOOKUP(C3381,[1]products!$A:$B,2,FALSE)</f>
        <v>Trek Remedy 9.8 - 2017</v>
      </c>
      <c r="I3381">
        <f>VLOOKUP(C3381,[1]products!$A:$D,4,FALSE)</f>
        <v>6</v>
      </c>
      <c r="J3381" t="str">
        <f>VLOOKUP(I3381,[2]categories!$A$1:$B$8,2,FALSE)</f>
        <v>Mountain Bikes</v>
      </c>
    </row>
    <row r="3382" customHeight="1" spans="1:10">
      <c r="A3382" s="1">
        <v>1170</v>
      </c>
      <c r="B3382" s="1">
        <v>3</v>
      </c>
      <c r="C3382" s="1">
        <v>62</v>
      </c>
      <c r="D3382" s="1">
        <v>2</v>
      </c>
      <c r="E3382" s="1">
        <v>3499.99</v>
      </c>
      <c r="F3382" s="1">
        <v>0.1</v>
      </c>
      <c r="G3382">
        <f t="shared" si="52"/>
        <v>6999.88</v>
      </c>
      <c r="H3382" t="str">
        <f>VLOOKUP(C3382,[1]products!$A:$B,2,FALSE)</f>
        <v>Trek Boone 7 - 2017</v>
      </c>
      <c r="I3382">
        <f>VLOOKUP(C3382,[1]products!$A:$D,4,FALSE)</f>
        <v>4</v>
      </c>
      <c r="J3382" t="str">
        <f>VLOOKUP(I3382,[2]categories!$A$1:$B$8,2,FALSE)</f>
        <v>Cyclocross Bicycles</v>
      </c>
    </row>
    <row r="3383" customHeight="1" spans="1:10">
      <c r="A3383" s="1">
        <v>1171</v>
      </c>
      <c r="B3383" s="1">
        <v>1</v>
      </c>
      <c r="C3383" s="1">
        <v>94</v>
      </c>
      <c r="D3383" s="1">
        <v>2</v>
      </c>
      <c r="E3383" s="1">
        <v>249.99</v>
      </c>
      <c r="F3383" s="1">
        <v>0.2</v>
      </c>
      <c r="G3383">
        <f t="shared" si="52"/>
        <v>499.78</v>
      </c>
      <c r="H3383" t="str">
        <f>VLOOKUP(C3383,[1]products!$A:$B,2,FALSE)</f>
        <v>Haro Shredder Pro 20 - 2017</v>
      </c>
      <c r="I3383">
        <f>VLOOKUP(C3383,[1]products!$A:$D,4,FALSE)</f>
        <v>1</v>
      </c>
      <c r="J3383" t="str">
        <f>VLOOKUP(I3383,[2]categories!$A$1:$B$8,2,FALSE)</f>
        <v>Children Bicycles</v>
      </c>
    </row>
    <row r="3384" customHeight="1" spans="1:10">
      <c r="A3384" s="1">
        <v>1171</v>
      </c>
      <c r="B3384" s="1">
        <v>2</v>
      </c>
      <c r="C3384" s="1">
        <v>92</v>
      </c>
      <c r="D3384" s="1">
        <v>2</v>
      </c>
      <c r="E3384" s="1">
        <v>209.99</v>
      </c>
      <c r="F3384" s="1">
        <v>0.07</v>
      </c>
      <c r="G3384">
        <f t="shared" si="52"/>
        <v>419.91</v>
      </c>
      <c r="H3384" t="str">
        <f>VLOOKUP(C3384,[1]products!$A:$B,2,FALSE)</f>
        <v>Haro Shredder 20 - 2017</v>
      </c>
      <c r="I3384">
        <f>VLOOKUP(C3384,[1]products!$A:$D,4,FALSE)</f>
        <v>1</v>
      </c>
      <c r="J3384" t="str">
        <f>VLOOKUP(I3384,[2]categories!$A$1:$B$8,2,FALSE)</f>
        <v>Children Bicycles</v>
      </c>
    </row>
    <row r="3385" customHeight="1" spans="1:10">
      <c r="A3385" s="1">
        <v>1171</v>
      </c>
      <c r="B3385" s="1">
        <v>3</v>
      </c>
      <c r="C3385" s="1">
        <v>10</v>
      </c>
      <c r="D3385" s="1">
        <v>2</v>
      </c>
      <c r="E3385" s="1">
        <v>1549</v>
      </c>
      <c r="F3385" s="1">
        <v>0.07</v>
      </c>
      <c r="G3385">
        <f t="shared" si="52"/>
        <v>3097.93</v>
      </c>
      <c r="H3385" t="str">
        <f>VLOOKUP(C3385,[1]products!$A:$B,2,FALSE)</f>
        <v>Surly Straggler - 2016</v>
      </c>
      <c r="I3385">
        <f>VLOOKUP(C3385,[1]products!$A:$D,4,FALSE)</f>
        <v>4</v>
      </c>
      <c r="J3385" t="str">
        <f>VLOOKUP(I3385,[2]categories!$A$1:$B$8,2,FALSE)</f>
        <v>Cyclocross Bicycles</v>
      </c>
    </row>
    <row r="3386" customHeight="1" spans="1:10">
      <c r="A3386" s="1">
        <v>1172</v>
      </c>
      <c r="B3386" s="1">
        <v>1</v>
      </c>
      <c r="C3386" s="1">
        <v>78</v>
      </c>
      <c r="D3386" s="1">
        <v>2</v>
      </c>
      <c r="E3386" s="1">
        <v>647.99</v>
      </c>
      <c r="F3386" s="1">
        <v>0.07</v>
      </c>
      <c r="G3386">
        <f t="shared" si="52"/>
        <v>1295.91</v>
      </c>
      <c r="H3386" t="str">
        <f>VLOOKUP(C3386,[1]products!$A:$B,2,FALSE)</f>
        <v>Sun Bicycles Biscayne Tandem CB - 2017</v>
      </c>
      <c r="I3386">
        <f>VLOOKUP(C3386,[1]products!$A:$D,4,FALSE)</f>
        <v>3</v>
      </c>
      <c r="J3386" t="str">
        <f>VLOOKUP(I3386,[2]categories!$A$1:$B$8,2,FALSE)</f>
        <v>Cruisers Bicycles</v>
      </c>
    </row>
    <row r="3387" customHeight="1" spans="1:10">
      <c r="A3387" s="1">
        <v>1172</v>
      </c>
      <c r="B3387" s="1">
        <v>2</v>
      </c>
      <c r="C3387" s="1">
        <v>104</v>
      </c>
      <c r="D3387" s="1">
        <v>1</v>
      </c>
      <c r="E3387" s="1">
        <v>481.99</v>
      </c>
      <c r="F3387" s="1">
        <v>0.2</v>
      </c>
      <c r="G3387">
        <f t="shared" si="52"/>
        <v>481.79</v>
      </c>
      <c r="H3387" t="str">
        <f>VLOOKUP(C3387,[1]products!$A:$B,2,FALSE)</f>
        <v>Sun Bicycles Streamway - 2017</v>
      </c>
      <c r="I3387">
        <f>VLOOKUP(C3387,[1]products!$A:$D,4,FALSE)</f>
        <v>2</v>
      </c>
      <c r="J3387" t="str">
        <f>VLOOKUP(I3387,[2]categories!$A$1:$B$8,2,FALSE)</f>
        <v>Comfort Bicycles</v>
      </c>
    </row>
    <row r="3388" customHeight="1" spans="1:10">
      <c r="A3388" s="1">
        <v>1173</v>
      </c>
      <c r="B3388" s="1">
        <v>1</v>
      </c>
      <c r="C3388" s="1">
        <v>95</v>
      </c>
      <c r="D3388" s="1">
        <v>1</v>
      </c>
      <c r="E3388" s="1">
        <v>299.99</v>
      </c>
      <c r="F3388" s="1">
        <v>0.2</v>
      </c>
      <c r="G3388">
        <f t="shared" si="52"/>
        <v>299.79</v>
      </c>
      <c r="H3388" t="str">
        <f>VLOOKUP(C3388,[1]products!$A:$B,2,FALSE)</f>
        <v>Electra Girl's Hawaii 1 16" - 2017</v>
      </c>
      <c r="I3388">
        <f>VLOOKUP(C3388,[1]products!$A:$D,4,FALSE)</f>
        <v>1</v>
      </c>
      <c r="J3388" t="str">
        <f>VLOOKUP(I3388,[2]categories!$A$1:$B$8,2,FALSE)</f>
        <v>Children Bicycles</v>
      </c>
    </row>
    <row r="3389" customHeight="1" spans="1:10">
      <c r="A3389" s="1">
        <v>1173</v>
      </c>
      <c r="B3389" s="1">
        <v>2</v>
      </c>
      <c r="C3389" s="1">
        <v>17</v>
      </c>
      <c r="D3389" s="1">
        <v>1</v>
      </c>
      <c r="E3389" s="1">
        <v>429</v>
      </c>
      <c r="F3389" s="1">
        <v>0.07</v>
      </c>
      <c r="G3389">
        <f t="shared" si="52"/>
        <v>428.93</v>
      </c>
      <c r="H3389" t="str">
        <f>VLOOKUP(C3389,[1]products!$A:$B,2,FALSE)</f>
        <v>Pure Cycles Vine 8-Speed - 2016</v>
      </c>
      <c r="I3389">
        <f>VLOOKUP(C3389,[1]products!$A:$D,4,FALSE)</f>
        <v>3</v>
      </c>
      <c r="J3389" t="str">
        <f>VLOOKUP(I3389,[2]categories!$A$1:$B$8,2,FALSE)</f>
        <v>Cruisers Bicycles</v>
      </c>
    </row>
    <row r="3390" customHeight="1" spans="1:10">
      <c r="A3390" s="1">
        <v>1173</v>
      </c>
      <c r="B3390" s="1">
        <v>3</v>
      </c>
      <c r="C3390" s="1">
        <v>68</v>
      </c>
      <c r="D3390" s="1">
        <v>1</v>
      </c>
      <c r="E3390" s="1">
        <v>449.99</v>
      </c>
      <c r="F3390" s="1">
        <v>0.05</v>
      </c>
      <c r="G3390">
        <f t="shared" si="52"/>
        <v>449.94</v>
      </c>
      <c r="H3390" t="str">
        <f>VLOOKUP(C3390,[1]products!$A:$B,2,FALSE)</f>
        <v>Sun Bicycles Cruz 3 - 2017</v>
      </c>
      <c r="I3390">
        <f>VLOOKUP(C3390,[1]products!$A:$D,4,FALSE)</f>
        <v>3</v>
      </c>
      <c r="J3390" t="str">
        <f>VLOOKUP(I3390,[2]categories!$A$1:$B$8,2,FALSE)</f>
        <v>Cruisers Bicycles</v>
      </c>
    </row>
    <row r="3391" customHeight="1" spans="1:10">
      <c r="A3391" s="1">
        <v>1173</v>
      </c>
      <c r="B3391" s="1">
        <v>4</v>
      </c>
      <c r="C3391" s="1">
        <v>103</v>
      </c>
      <c r="D3391" s="1">
        <v>2</v>
      </c>
      <c r="E3391" s="1">
        <v>551.99</v>
      </c>
      <c r="F3391" s="1">
        <v>0.2</v>
      </c>
      <c r="G3391">
        <f t="shared" si="52"/>
        <v>1103.78</v>
      </c>
      <c r="H3391" t="str">
        <f>VLOOKUP(C3391,[1]products!$A:$B,2,FALSE)</f>
        <v>Sun Bicycles Streamway 3 - 2017</v>
      </c>
      <c r="I3391">
        <f>VLOOKUP(C3391,[1]products!$A:$D,4,FALSE)</f>
        <v>2</v>
      </c>
      <c r="J3391" t="str">
        <f>VLOOKUP(I3391,[2]categories!$A$1:$B$8,2,FALSE)</f>
        <v>Comfort Bicycles</v>
      </c>
    </row>
    <row r="3392" customHeight="1" spans="1:10">
      <c r="A3392" s="1">
        <v>1174</v>
      </c>
      <c r="B3392" s="1">
        <v>1</v>
      </c>
      <c r="C3392" s="1">
        <v>110</v>
      </c>
      <c r="D3392" s="1">
        <v>2</v>
      </c>
      <c r="E3392" s="1">
        <v>470.99</v>
      </c>
      <c r="F3392" s="1">
        <v>0.2</v>
      </c>
      <c r="G3392">
        <f t="shared" si="52"/>
        <v>941.78</v>
      </c>
      <c r="H3392" t="str">
        <f>VLOOKUP(C3392,[1]products!$A:$B,2,FALSE)</f>
        <v>Sun Bicycles Drifter 7 - 2017</v>
      </c>
      <c r="I3392">
        <f>VLOOKUP(C3392,[1]products!$A:$D,4,FALSE)</f>
        <v>2</v>
      </c>
      <c r="J3392" t="str">
        <f>VLOOKUP(I3392,[2]categories!$A$1:$B$8,2,FALSE)</f>
        <v>Comfort Bicycles</v>
      </c>
    </row>
    <row r="3393" customHeight="1" spans="1:10">
      <c r="A3393" s="1">
        <v>1174</v>
      </c>
      <c r="B3393" s="1">
        <v>2</v>
      </c>
      <c r="C3393" s="1">
        <v>6</v>
      </c>
      <c r="D3393" s="1">
        <v>1</v>
      </c>
      <c r="E3393" s="1">
        <v>469.99</v>
      </c>
      <c r="F3393" s="1">
        <v>0.07</v>
      </c>
      <c r="G3393">
        <f t="shared" si="52"/>
        <v>469.92</v>
      </c>
      <c r="H3393" t="str">
        <f>VLOOKUP(C3393,[1]products!$A:$B,2,FALSE)</f>
        <v>Surly Ice Cream Truck Frameset - 2016</v>
      </c>
      <c r="I3393">
        <f>VLOOKUP(C3393,[1]products!$A:$D,4,FALSE)</f>
        <v>6</v>
      </c>
      <c r="J3393" t="str">
        <f>VLOOKUP(I3393,[2]categories!$A$1:$B$8,2,FALSE)</f>
        <v>Mountain Bikes</v>
      </c>
    </row>
    <row r="3394" customHeight="1" spans="1:10">
      <c r="A3394" s="1">
        <v>1174</v>
      </c>
      <c r="B3394" s="1">
        <v>3</v>
      </c>
      <c r="C3394" s="1">
        <v>106</v>
      </c>
      <c r="D3394" s="1">
        <v>1</v>
      </c>
      <c r="E3394" s="1">
        <v>449.99</v>
      </c>
      <c r="F3394" s="1">
        <v>0.1</v>
      </c>
      <c r="G3394">
        <f t="shared" si="52"/>
        <v>449.89</v>
      </c>
      <c r="H3394" t="str">
        <f>VLOOKUP(C3394,[1]products!$A:$B,2,FALSE)</f>
        <v>Sun Bicycles Cruz 3 - 2017</v>
      </c>
      <c r="I3394">
        <f>VLOOKUP(C3394,[1]products!$A:$D,4,FALSE)</f>
        <v>2</v>
      </c>
      <c r="J3394" t="str">
        <f>VLOOKUP(I3394,[2]categories!$A$1:$B$8,2,FALSE)</f>
        <v>Comfort Bicycles</v>
      </c>
    </row>
    <row r="3395" customHeight="1" spans="1:10">
      <c r="A3395" s="1">
        <v>1175</v>
      </c>
      <c r="B3395" s="1">
        <v>1</v>
      </c>
      <c r="C3395" s="1">
        <v>58</v>
      </c>
      <c r="D3395" s="1">
        <v>2</v>
      </c>
      <c r="E3395" s="1">
        <v>4999.99</v>
      </c>
      <c r="F3395" s="1">
        <v>0.07</v>
      </c>
      <c r="G3395">
        <f t="shared" ref="G3395:G3458" si="53">(E3395*D3395)-F3395</f>
        <v>9999.91</v>
      </c>
      <c r="H3395" t="str">
        <f>VLOOKUP(C3395,[1]products!$A:$B,2,FALSE)</f>
        <v>Trek Madone 9.2 - 2017</v>
      </c>
      <c r="I3395">
        <f>VLOOKUP(C3395,[1]products!$A:$D,4,FALSE)</f>
        <v>7</v>
      </c>
      <c r="J3395" t="str">
        <f>VLOOKUP(I3395,[2]categories!$A$1:$B$8,2,FALSE)</f>
        <v>Road Bikes</v>
      </c>
    </row>
    <row r="3396" customHeight="1" spans="1:10">
      <c r="A3396" s="1">
        <v>1175</v>
      </c>
      <c r="B3396" s="1">
        <v>2</v>
      </c>
      <c r="C3396" s="1">
        <v>65</v>
      </c>
      <c r="D3396" s="1">
        <v>1</v>
      </c>
      <c r="E3396" s="1">
        <v>346.99</v>
      </c>
      <c r="F3396" s="1">
        <v>0.2</v>
      </c>
      <c r="G3396">
        <f t="shared" si="53"/>
        <v>346.79</v>
      </c>
      <c r="H3396" t="str">
        <f>VLOOKUP(C3396,[1]products!$A:$B,2,FALSE)</f>
        <v>Sun Bicycles Lil Bolt Type-R - 2017</v>
      </c>
      <c r="I3396">
        <f>VLOOKUP(C3396,[1]products!$A:$D,4,FALSE)</f>
        <v>3</v>
      </c>
      <c r="J3396" t="str">
        <f>VLOOKUP(I3396,[2]categories!$A$1:$B$8,2,FALSE)</f>
        <v>Cruisers Bicycles</v>
      </c>
    </row>
    <row r="3397" customHeight="1" spans="1:10">
      <c r="A3397" s="1">
        <v>1175</v>
      </c>
      <c r="B3397" s="1">
        <v>3</v>
      </c>
      <c r="C3397" s="1">
        <v>20</v>
      </c>
      <c r="D3397" s="1">
        <v>1</v>
      </c>
      <c r="E3397" s="1">
        <v>599.99</v>
      </c>
      <c r="F3397" s="1">
        <v>0.05</v>
      </c>
      <c r="G3397">
        <f t="shared" si="53"/>
        <v>599.94</v>
      </c>
      <c r="H3397" t="str">
        <f>VLOOKUP(C3397,[1]products!$A:$B,2,FALSE)</f>
        <v>Electra Townie Original 7D EQ - Women's - 2016</v>
      </c>
      <c r="I3397">
        <f>VLOOKUP(C3397,[1]products!$A:$D,4,FALSE)</f>
        <v>3</v>
      </c>
      <c r="J3397" t="str">
        <f>VLOOKUP(I3397,[2]categories!$A$1:$B$8,2,FALSE)</f>
        <v>Cruisers Bicycles</v>
      </c>
    </row>
    <row r="3398" customHeight="1" spans="1:10">
      <c r="A3398" s="1">
        <v>1175</v>
      </c>
      <c r="B3398" s="1">
        <v>4</v>
      </c>
      <c r="C3398" s="1">
        <v>3</v>
      </c>
      <c r="D3398" s="1">
        <v>1</v>
      </c>
      <c r="E3398" s="1">
        <v>999.99</v>
      </c>
      <c r="F3398" s="1">
        <v>0.05</v>
      </c>
      <c r="G3398">
        <f t="shared" si="53"/>
        <v>999.94</v>
      </c>
      <c r="H3398" t="str">
        <f>VLOOKUP(C3398,[1]products!$A:$B,2,FALSE)</f>
        <v>Surly Wednesday Frameset - 2016</v>
      </c>
      <c r="I3398">
        <f>VLOOKUP(C3398,[1]products!$A:$D,4,FALSE)</f>
        <v>6</v>
      </c>
      <c r="J3398" t="str">
        <f>VLOOKUP(I3398,[2]categories!$A$1:$B$8,2,FALSE)</f>
        <v>Mountain Bikes</v>
      </c>
    </row>
    <row r="3399" customHeight="1" spans="1:10">
      <c r="A3399" s="1">
        <v>1175</v>
      </c>
      <c r="B3399" s="1">
        <v>5</v>
      </c>
      <c r="C3399" s="1">
        <v>9</v>
      </c>
      <c r="D3399" s="1">
        <v>1</v>
      </c>
      <c r="E3399" s="1">
        <v>2999.99</v>
      </c>
      <c r="F3399" s="1">
        <v>0.05</v>
      </c>
      <c r="G3399">
        <f t="shared" si="53"/>
        <v>2999.94</v>
      </c>
      <c r="H3399" t="str">
        <f>VLOOKUP(C3399,[1]products!$A:$B,2,FALSE)</f>
        <v>Trek Conduit+ - 2016</v>
      </c>
      <c r="I3399">
        <f>VLOOKUP(C3399,[1]products!$A:$D,4,FALSE)</f>
        <v>5</v>
      </c>
      <c r="J3399" t="str">
        <f>VLOOKUP(I3399,[2]categories!$A$1:$B$8,2,FALSE)</f>
        <v>Electric Bikes</v>
      </c>
    </row>
    <row r="3400" customHeight="1" spans="1:10">
      <c r="A3400" s="1">
        <v>1176</v>
      </c>
      <c r="B3400" s="1">
        <v>1</v>
      </c>
      <c r="C3400" s="1">
        <v>87</v>
      </c>
      <c r="D3400" s="1">
        <v>1</v>
      </c>
      <c r="E3400" s="1">
        <v>189.99</v>
      </c>
      <c r="F3400" s="1">
        <v>0.1</v>
      </c>
      <c r="G3400">
        <f t="shared" si="53"/>
        <v>189.89</v>
      </c>
      <c r="H3400" t="str">
        <f>VLOOKUP(C3400,[1]products!$A:$B,2,FALSE)</f>
        <v>Trek Precaliber 12 Boys - 2017</v>
      </c>
      <c r="I3400">
        <f>VLOOKUP(C3400,[1]products!$A:$D,4,FALSE)</f>
        <v>1</v>
      </c>
      <c r="J3400" t="str">
        <f>VLOOKUP(I3400,[2]categories!$A$1:$B$8,2,FALSE)</f>
        <v>Children Bicycles</v>
      </c>
    </row>
    <row r="3401" customHeight="1" spans="1:10">
      <c r="A3401" s="1">
        <v>1177</v>
      </c>
      <c r="B3401" s="1">
        <v>1</v>
      </c>
      <c r="C3401" s="1">
        <v>62</v>
      </c>
      <c r="D3401" s="1">
        <v>2</v>
      </c>
      <c r="E3401" s="1">
        <v>3499.99</v>
      </c>
      <c r="F3401" s="1">
        <v>0.07</v>
      </c>
      <c r="G3401">
        <f t="shared" si="53"/>
        <v>6999.91</v>
      </c>
      <c r="H3401" t="str">
        <f>VLOOKUP(C3401,[1]products!$A:$B,2,FALSE)</f>
        <v>Trek Boone 7 - 2017</v>
      </c>
      <c r="I3401">
        <f>VLOOKUP(C3401,[1]products!$A:$D,4,FALSE)</f>
        <v>4</v>
      </c>
      <c r="J3401" t="str">
        <f>VLOOKUP(I3401,[2]categories!$A$1:$B$8,2,FALSE)</f>
        <v>Cyclocross Bicycles</v>
      </c>
    </row>
    <row r="3402" customHeight="1" spans="1:10">
      <c r="A3402" s="1">
        <v>1177</v>
      </c>
      <c r="B3402" s="1">
        <v>2</v>
      </c>
      <c r="C3402" s="1">
        <v>74</v>
      </c>
      <c r="D3402" s="1">
        <v>1</v>
      </c>
      <c r="E3402" s="1">
        <v>439.99</v>
      </c>
      <c r="F3402" s="1">
        <v>0.1</v>
      </c>
      <c r="G3402">
        <f t="shared" si="53"/>
        <v>439.89</v>
      </c>
      <c r="H3402" t="str">
        <f>VLOOKUP(C3402,[1]products!$A:$B,2,FALSE)</f>
        <v>Electra Cruiser Lux 1 - 2017</v>
      </c>
      <c r="I3402">
        <f>VLOOKUP(C3402,[1]products!$A:$D,4,FALSE)</f>
        <v>3</v>
      </c>
      <c r="J3402" t="str">
        <f>VLOOKUP(I3402,[2]categories!$A$1:$B$8,2,FALSE)</f>
        <v>Cruisers Bicycles</v>
      </c>
    </row>
    <row r="3403" customHeight="1" spans="1:10">
      <c r="A3403" s="1">
        <v>1178</v>
      </c>
      <c r="B3403" s="1">
        <v>1</v>
      </c>
      <c r="C3403" s="1">
        <v>46</v>
      </c>
      <c r="D3403" s="1">
        <v>1</v>
      </c>
      <c r="E3403" s="1">
        <v>1409.99</v>
      </c>
      <c r="F3403" s="1">
        <v>0.07</v>
      </c>
      <c r="G3403">
        <f t="shared" si="53"/>
        <v>1409.92</v>
      </c>
      <c r="H3403" t="str">
        <f>VLOOKUP(C3403,[1]products!$A:$B,2,FALSE)</f>
        <v>Haro SR 1.3 - 2017</v>
      </c>
      <c r="I3403">
        <f>VLOOKUP(C3403,[1]products!$A:$D,4,FALSE)</f>
        <v>6</v>
      </c>
      <c r="J3403" t="str">
        <f>VLOOKUP(I3403,[2]categories!$A$1:$B$8,2,FALSE)</f>
        <v>Mountain Bikes</v>
      </c>
    </row>
    <row r="3404" customHeight="1" spans="1:10">
      <c r="A3404" s="1">
        <v>1178</v>
      </c>
      <c r="B3404" s="1">
        <v>2</v>
      </c>
      <c r="C3404" s="1">
        <v>77</v>
      </c>
      <c r="D3404" s="1">
        <v>1</v>
      </c>
      <c r="E3404" s="1">
        <v>799.99</v>
      </c>
      <c r="F3404" s="1">
        <v>0.2</v>
      </c>
      <c r="G3404">
        <f t="shared" si="53"/>
        <v>799.79</v>
      </c>
      <c r="H3404" t="str">
        <f>VLOOKUP(C3404,[1]products!$A:$B,2,FALSE)</f>
        <v>Electra Glam Punk 3i Ladies' - 2017</v>
      </c>
      <c r="I3404">
        <f>VLOOKUP(C3404,[1]products!$A:$D,4,FALSE)</f>
        <v>3</v>
      </c>
      <c r="J3404" t="str">
        <f>VLOOKUP(I3404,[2]categories!$A$1:$B$8,2,FALSE)</f>
        <v>Cruisers Bicycles</v>
      </c>
    </row>
    <row r="3405" customHeight="1" spans="1:10">
      <c r="A3405" s="1">
        <v>1178</v>
      </c>
      <c r="B3405" s="1">
        <v>3</v>
      </c>
      <c r="C3405" s="1">
        <v>108</v>
      </c>
      <c r="D3405" s="1">
        <v>1</v>
      </c>
      <c r="E3405" s="1">
        <v>449.99</v>
      </c>
      <c r="F3405" s="1">
        <v>0.05</v>
      </c>
      <c r="G3405">
        <f t="shared" si="53"/>
        <v>449.94</v>
      </c>
      <c r="H3405" t="str">
        <f>VLOOKUP(C3405,[1]products!$A:$B,2,FALSE)</f>
        <v>Sun Bicycles Cruz 3 - Women's - 2017</v>
      </c>
      <c r="I3405">
        <f>VLOOKUP(C3405,[1]products!$A:$D,4,FALSE)</f>
        <v>2</v>
      </c>
      <c r="J3405" t="str">
        <f>VLOOKUP(I3405,[2]categories!$A$1:$B$8,2,FALSE)</f>
        <v>Comfort Bicycles</v>
      </c>
    </row>
    <row r="3406" customHeight="1" spans="1:10">
      <c r="A3406" s="1">
        <v>1178</v>
      </c>
      <c r="B3406" s="1">
        <v>4</v>
      </c>
      <c r="C3406" s="1">
        <v>13</v>
      </c>
      <c r="D3406" s="1">
        <v>2</v>
      </c>
      <c r="E3406" s="1">
        <v>269.99</v>
      </c>
      <c r="F3406" s="1">
        <v>0.05</v>
      </c>
      <c r="G3406">
        <f t="shared" si="53"/>
        <v>539.93</v>
      </c>
      <c r="H3406" t="str">
        <f>VLOOKUP(C3406,[1]products!$A:$B,2,FALSE)</f>
        <v>Electra Cruiser 1 (24-Inch) - 2016</v>
      </c>
      <c r="I3406">
        <f>VLOOKUP(C3406,[1]products!$A:$D,4,FALSE)</f>
        <v>3</v>
      </c>
      <c r="J3406" t="str">
        <f>VLOOKUP(I3406,[2]categories!$A$1:$B$8,2,FALSE)</f>
        <v>Cruisers Bicycles</v>
      </c>
    </row>
    <row r="3407" customHeight="1" spans="1:10">
      <c r="A3407" s="1">
        <v>1179</v>
      </c>
      <c r="B3407" s="1">
        <v>1</v>
      </c>
      <c r="C3407" s="1">
        <v>93</v>
      </c>
      <c r="D3407" s="1">
        <v>2</v>
      </c>
      <c r="E3407" s="1">
        <v>209.99</v>
      </c>
      <c r="F3407" s="1">
        <v>0.05</v>
      </c>
      <c r="G3407">
        <f t="shared" si="53"/>
        <v>419.93</v>
      </c>
      <c r="H3407" t="str">
        <f>VLOOKUP(C3407,[1]products!$A:$B,2,FALSE)</f>
        <v>Haro Shredder 20 Girls - 2017</v>
      </c>
      <c r="I3407">
        <f>VLOOKUP(C3407,[1]products!$A:$D,4,FALSE)</f>
        <v>1</v>
      </c>
      <c r="J3407" t="str">
        <f>VLOOKUP(I3407,[2]categories!$A$1:$B$8,2,FALSE)</f>
        <v>Children Bicycles</v>
      </c>
    </row>
    <row r="3408" customHeight="1" spans="1:10">
      <c r="A3408" s="1">
        <v>1179</v>
      </c>
      <c r="B3408" s="1">
        <v>2</v>
      </c>
      <c r="C3408" s="1">
        <v>88</v>
      </c>
      <c r="D3408" s="1">
        <v>2</v>
      </c>
      <c r="E3408" s="1">
        <v>189.99</v>
      </c>
      <c r="F3408" s="1">
        <v>0.05</v>
      </c>
      <c r="G3408">
        <f t="shared" si="53"/>
        <v>379.93</v>
      </c>
      <c r="H3408" t="str">
        <f>VLOOKUP(C3408,[1]products!$A:$B,2,FALSE)</f>
        <v>Trek Precaliber 12 Girls - 2017</v>
      </c>
      <c r="I3408">
        <f>VLOOKUP(C3408,[1]products!$A:$D,4,FALSE)</f>
        <v>1</v>
      </c>
      <c r="J3408" t="str">
        <f>VLOOKUP(I3408,[2]categories!$A$1:$B$8,2,FALSE)</f>
        <v>Children Bicycles</v>
      </c>
    </row>
    <row r="3409" customHeight="1" spans="1:10">
      <c r="A3409" s="1">
        <v>1179</v>
      </c>
      <c r="B3409" s="1">
        <v>3</v>
      </c>
      <c r="C3409" s="1">
        <v>33</v>
      </c>
      <c r="D3409" s="1">
        <v>2</v>
      </c>
      <c r="E3409" s="1">
        <v>469.99</v>
      </c>
      <c r="F3409" s="1">
        <v>0.2</v>
      </c>
      <c r="G3409">
        <f t="shared" si="53"/>
        <v>939.78</v>
      </c>
      <c r="H3409" t="str">
        <f>VLOOKUP(C3409,[1]products!$A:$B,2,FALSE)</f>
        <v>Surly Wednesday Frameset - 2017</v>
      </c>
      <c r="I3409">
        <f>VLOOKUP(C3409,[1]products!$A:$D,4,FALSE)</f>
        <v>6</v>
      </c>
      <c r="J3409" t="str">
        <f>VLOOKUP(I3409,[2]categories!$A$1:$B$8,2,FALSE)</f>
        <v>Mountain Bikes</v>
      </c>
    </row>
    <row r="3410" customHeight="1" spans="1:10">
      <c r="A3410" s="1">
        <v>1179</v>
      </c>
      <c r="B3410" s="1">
        <v>4</v>
      </c>
      <c r="C3410" s="1">
        <v>50</v>
      </c>
      <c r="D3410" s="1">
        <v>1</v>
      </c>
      <c r="E3410" s="1">
        <v>5999.99</v>
      </c>
      <c r="F3410" s="1">
        <v>0.07</v>
      </c>
      <c r="G3410">
        <f t="shared" si="53"/>
        <v>5999.92</v>
      </c>
      <c r="H3410" t="str">
        <f>VLOOKUP(C3410,[1]products!$A:$B,2,FALSE)</f>
        <v>Trek Silque SLR 7 Women's - 2017</v>
      </c>
      <c r="I3410">
        <f>VLOOKUP(C3410,[1]products!$A:$D,4,FALSE)</f>
        <v>7</v>
      </c>
      <c r="J3410" t="str">
        <f>VLOOKUP(I3410,[2]categories!$A$1:$B$8,2,FALSE)</f>
        <v>Road Bikes</v>
      </c>
    </row>
    <row r="3411" customHeight="1" spans="1:10">
      <c r="A3411" s="1">
        <v>1180</v>
      </c>
      <c r="B3411" s="1">
        <v>1</v>
      </c>
      <c r="C3411" s="1">
        <v>66</v>
      </c>
      <c r="D3411" s="1">
        <v>2</v>
      </c>
      <c r="E3411" s="1">
        <v>250.99</v>
      </c>
      <c r="F3411" s="1">
        <v>0.07</v>
      </c>
      <c r="G3411">
        <f t="shared" si="53"/>
        <v>501.91</v>
      </c>
      <c r="H3411" t="str">
        <f>VLOOKUP(C3411,[1]products!$A:$B,2,FALSE)</f>
        <v>Sun Bicycles Revolutions 24 - 2017</v>
      </c>
      <c r="I3411">
        <f>VLOOKUP(C3411,[1]products!$A:$D,4,FALSE)</f>
        <v>3</v>
      </c>
      <c r="J3411" t="str">
        <f>VLOOKUP(I3411,[2]categories!$A$1:$B$8,2,FALSE)</f>
        <v>Cruisers Bicycles</v>
      </c>
    </row>
    <row r="3412" customHeight="1" spans="1:10">
      <c r="A3412" s="1">
        <v>1181</v>
      </c>
      <c r="B3412" s="1">
        <v>1</v>
      </c>
      <c r="C3412" s="1">
        <v>98</v>
      </c>
      <c r="D3412" s="1">
        <v>1</v>
      </c>
      <c r="E3412" s="1">
        <v>489.99</v>
      </c>
      <c r="F3412" s="1">
        <v>0.1</v>
      </c>
      <c r="G3412">
        <f t="shared" si="53"/>
        <v>489.89</v>
      </c>
      <c r="H3412" t="str">
        <f>VLOOKUP(C3412,[1]products!$A:$B,2,FALSE)</f>
        <v>Electra Straight 8 3i (20-inch) - Boy's - 2017</v>
      </c>
      <c r="I3412">
        <f>VLOOKUP(C3412,[1]products!$A:$D,4,FALSE)</f>
        <v>1</v>
      </c>
      <c r="J3412" t="str">
        <f>VLOOKUP(I3412,[2]categories!$A$1:$B$8,2,FALSE)</f>
        <v>Children Bicycles</v>
      </c>
    </row>
    <row r="3413" customHeight="1" spans="1:10">
      <c r="A3413" s="1">
        <v>1182</v>
      </c>
      <c r="B3413" s="1">
        <v>1</v>
      </c>
      <c r="C3413" s="1">
        <v>35</v>
      </c>
      <c r="D3413" s="1">
        <v>1</v>
      </c>
      <c r="E3413" s="1">
        <v>832.99</v>
      </c>
      <c r="F3413" s="1">
        <v>0.1</v>
      </c>
      <c r="G3413">
        <f t="shared" si="53"/>
        <v>832.89</v>
      </c>
      <c r="H3413" t="str">
        <f>VLOOKUP(C3413,[1]products!$A:$B,2,FALSE)</f>
        <v>Sun Bicycles Spider 3i - 2017</v>
      </c>
      <c r="I3413">
        <f>VLOOKUP(C3413,[1]products!$A:$D,4,FALSE)</f>
        <v>6</v>
      </c>
      <c r="J3413" t="str">
        <f>VLOOKUP(I3413,[2]categories!$A$1:$B$8,2,FALSE)</f>
        <v>Mountain Bikes</v>
      </c>
    </row>
    <row r="3414" customHeight="1" spans="1:10">
      <c r="A3414" s="1">
        <v>1182</v>
      </c>
      <c r="B3414" s="1">
        <v>2</v>
      </c>
      <c r="C3414" s="1">
        <v>49</v>
      </c>
      <c r="D3414" s="1">
        <v>2</v>
      </c>
      <c r="E3414" s="1">
        <v>3499.99</v>
      </c>
      <c r="F3414" s="1">
        <v>0.1</v>
      </c>
      <c r="G3414">
        <f t="shared" si="53"/>
        <v>6999.88</v>
      </c>
      <c r="H3414" t="str">
        <f>VLOOKUP(C3414,[1]products!$A:$B,2,FALSE)</f>
        <v>Trek Domane SL 6 - 2017</v>
      </c>
      <c r="I3414">
        <f>VLOOKUP(C3414,[1]products!$A:$D,4,FALSE)</f>
        <v>7</v>
      </c>
      <c r="J3414" t="str">
        <f>VLOOKUP(I3414,[2]categories!$A$1:$B$8,2,FALSE)</f>
        <v>Road Bikes</v>
      </c>
    </row>
    <row r="3415" customHeight="1" spans="1:10">
      <c r="A3415" s="1">
        <v>1183</v>
      </c>
      <c r="B3415" s="1">
        <v>1</v>
      </c>
      <c r="C3415" s="1">
        <v>63</v>
      </c>
      <c r="D3415" s="1">
        <v>1</v>
      </c>
      <c r="E3415" s="1">
        <v>3499.99</v>
      </c>
      <c r="F3415" s="1">
        <v>0.2</v>
      </c>
      <c r="G3415">
        <f t="shared" si="53"/>
        <v>3499.79</v>
      </c>
      <c r="H3415" t="str">
        <f>VLOOKUP(C3415,[1]products!$A:$B,2,FALSE)</f>
        <v>Trek Boone Race Shop Limited - 2017</v>
      </c>
      <c r="I3415">
        <f>VLOOKUP(C3415,[1]products!$A:$D,4,FALSE)</f>
        <v>4</v>
      </c>
      <c r="J3415" t="str">
        <f>VLOOKUP(I3415,[2]categories!$A$1:$B$8,2,FALSE)</f>
        <v>Cyclocross Bicycles</v>
      </c>
    </row>
    <row r="3416" customHeight="1" spans="1:10">
      <c r="A3416" s="1">
        <v>1183</v>
      </c>
      <c r="B3416" s="1">
        <v>2</v>
      </c>
      <c r="C3416" s="1">
        <v>80</v>
      </c>
      <c r="D3416" s="1">
        <v>2</v>
      </c>
      <c r="E3416" s="1">
        <v>761.99</v>
      </c>
      <c r="F3416" s="1">
        <v>0.2</v>
      </c>
      <c r="G3416">
        <f t="shared" si="53"/>
        <v>1523.78</v>
      </c>
      <c r="H3416" t="str">
        <f>VLOOKUP(C3416,[1]products!$A:$B,2,FALSE)</f>
        <v>Sun Bicycles Brickell Tandem CB - 2017</v>
      </c>
      <c r="I3416">
        <f>VLOOKUP(C3416,[1]products!$A:$D,4,FALSE)</f>
        <v>3</v>
      </c>
      <c r="J3416" t="str">
        <f>VLOOKUP(I3416,[2]categories!$A$1:$B$8,2,FALSE)</f>
        <v>Cruisers Bicycles</v>
      </c>
    </row>
    <row r="3417" customHeight="1" spans="1:10">
      <c r="A3417" s="1">
        <v>1183</v>
      </c>
      <c r="B3417" s="1">
        <v>3</v>
      </c>
      <c r="C3417" s="1">
        <v>6</v>
      </c>
      <c r="D3417" s="1">
        <v>2</v>
      </c>
      <c r="E3417" s="1">
        <v>469.99</v>
      </c>
      <c r="F3417" s="1">
        <v>0.05</v>
      </c>
      <c r="G3417">
        <f t="shared" si="53"/>
        <v>939.93</v>
      </c>
      <c r="H3417" t="str">
        <f>VLOOKUP(C3417,[1]products!$A:$B,2,FALSE)</f>
        <v>Surly Ice Cream Truck Frameset - 2016</v>
      </c>
      <c r="I3417">
        <f>VLOOKUP(C3417,[1]products!$A:$D,4,FALSE)</f>
        <v>6</v>
      </c>
      <c r="J3417" t="str">
        <f>VLOOKUP(I3417,[2]categories!$A$1:$B$8,2,FALSE)</f>
        <v>Mountain Bikes</v>
      </c>
    </row>
    <row r="3418" customHeight="1" spans="1:10">
      <c r="A3418" s="1">
        <v>1184</v>
      </c>
      <c r="B3418" s="1">
        <v>1</v>
      </c>
      <c r="C3418" s="1">
        <v>16</v>
      </c>
      <c r="D3418" s="1">
        <v>2</v>
      </c>
      <c r="E3418" s="1">
        <v>599.99</v>
      </c>
      <c r="F3418" s="1">
        <v>0.05</v>
      </c>
      <c r="G3418">
        <f t="shared" si="53"/>
        <v>1199.93</v>
      </c>
      <c r="H3418" t="str">
        <f>VLOOKUP(C3418,[1]products!$A:$B,2,FALSE)</f>
        <v>Electra Townie Original 7D EQ - 2016</v>
      </c>
      <c r="I3418">
        <f>VLOOKUP(C3418,[1]products!$A:$D,4,FALSE)</f>
        <v>3</v>
      </c>
      <c r="J3418" t="str">
        <f>VLOOKUP(I3418,[2]categories!$A$1:$B$8,2,FALSE)</f>
        <v>Cruisers Bicycles</v>
      </c>
    </row>
    <row r="3419" customHeight="1" spans="1:10">
      <c r="A3419" s="1">
        <v>1184</v>
      </c>
      <c r="B3419" s="1">
        <v>2</v>
      </c>
      <c r="C3419" s="1">
        <v>71</v>
      </c>
      <c r="D3419" s="1">
        <v>1</v>
      </c>
      <c r="E3419" s="1">
        <v>416.99</v>
      </c>
      <c r="F3419" s="1">
        <v>0.05</v>
      </c>
      <c r="G3419">
        <f t="shared" si="53"/>
        <v>416.94</v>
      </c>
      <c r="H3419" t="str">
        <f>VLOOKUP(C3419,[1]products!$A:$B,2,FALSE)</f>
        <v>Sun Bicycles Atlas X-Type - 2017</v>
      </c>
      <c r="I3419">
        <f>VLOOKUP(C3419,[1]products!$A:$D,4,FALSE)</f>
        <v>3</v>
      </c>
      <c r="J3419" t="str">
        <f>VLOOKUP(I3419,[2]categories!$A$1:$B$8,2,FALSE)</f>
        <v>Cruisers Bicycles</v>
      </c>
    </row>
    <row r="3420" customHeight="1" spans="1:10">
      <c r="A3420" s="1">
        <v>1185</v>
      </c>
      <c r="B3420" s="1">
        <v>1</v>
      </c>
      <c r="C3420" s="1">
        <v>19</v>
      </c>
      <c r="D3420" s="1">
        <v>2</v>
      </c>
      <c r="E3420" s="1">
        <v>449</v>
      </c>
      <c r="F3420" s="1">
        <v>0.07</v>
      </c>
      <c r="G3420">
        <f t="shared" si="53"/>
        <v>897.93</v>
      </c>
      <c r="H3420" t="str">
        <f>VLOOKUP(C3420,[1]products!$A:$B,2,FALSE)</f>
        <v>Pure Cycles William 3-Speed - 2016</v>
      </c>
      <c r="I3420">
        <f>VLOOKUP(C3420,[1]products!$A:$D,4,FALSE)</f>
        <v>3</v>
      </c>
      <c r="J3420" t="str">
        <f>VLOOKUP(I3420,[2]categories!$A$1:$B$8,2,FALSE)</f>
        <v>Cruisers Bicycles</v>
      </c>
    </row>
    <row r="3421" customHeight="1" spans="1:10">
      <c r="A3421" s="1">
        <v>1185</v>
      </c>
      <c r="B3421" s="1">
        <v>2</v>
      </c>
      <c r="C3421" s="1">
        <v>21</v>
      </c>
      <c r="D3421" s="1">
        <v>1</v>
      </c>
      <c r="E3421" s="1">
        <v>269.99</v>
      </c>
      <c r="F3421" s="1">
        <v>0.07</v>
      </c>
      <c r="G3421">
        <f t="shared" si="53"/>
        <v>269.92</v>
      </c>
      <c r="H3421" t="str">
        <f>VLOOKUP(C3421,[1]products!$A:$B,2,FALSE)</f>
        <v>Electra Cruiser 1 (24-Inch) - 2016</v>
      </c>
      <c r="I3421">
        <f>VLOOKUP(C3421,[1]products!$A:$D,4,FALSE)</f>
        <v>1</v>
      </c>
      <c r="J3421" t="str">
        <f>VLOOKUP(I3421,[2]categories!$A$1:$B$8,2,FALSE)</f>
        <v>Children Bicycles</v>
      </c>
    </row>
    <row r="3422" customHeight="1" spans="1:10">
      <c r="A3422" s="1">
        <v>1185</v>
      </c>
      <c r="B3422" s="1">
        <v>3</v>
      </c>
      <c r="C3422" s="1">
        <v>63</v>
      </c>
      <c r="D3422" s="1">
        <v>2</v>
      </c>
      <c r="E3422" s="1">
        <v>3499.99</v>
      </c>
      <c r="F3422" s="1">
        <v>0.1</v>
      </c>
      <c r="G3422">
        <f t="shared" si="53"/>
        <v>6999.88</v>
      </c>
      <c r="H3422" t="str">
        <f>VLOOKUP(C3422,[1]products!$A:$B,2,FALSE)</f>
        <v>Trek Boone Race Shop Limited - 2017</v>
      </c>
      <c r="I3422">
        <f>VLOOKUP(C3422,[1]products!$A:$D,4,FALSE)</f>
        <v>4</v>
      </c>
      <c r="J3422" t="str">
        <f>VLOOKUP(I3422,[2]categories!$A$1:$B$8,2,FALSE)</f>
        <v>Cyclocross Bicycles</v>
      </c>
    </row>
    <row r="3423" customHeight="1" spans="1:10">
      <c r="A3423" s="1">
        <v>1185</v>
      </c>
      <c r="B3423" s="1">
        <v>4</v>
      </c>
      <c r="C3423" s="1">
        <v>80</v>
      </c>
      <c r="D3423" s="1">
        <v>1</v>
      </c>
      <c r="E3423" s="1">
        <v>761.99</v>
      </c>
      <c r="F3423" s="1">
        <v>0.2</v>
      </c>
      <c r="G3423">
        <f t="shared" si="53"/>
        <v>761.79</v>
      </c>
      <c r="H3423" t="str">
        <f>VLOOKUP(C3423,[1]products!$A:$B,2,FALSE)</f>
        <v>Sun Bicycles Brickell Tandem CB - 2017</v>
      </c>
      <c r="I3423">
        <f>VLOOKUP(C3423,[1]products!$A:$D,4,FALSE)</f>
        <v>3</v>
      </c>
      <c r="J3423" t="str">
        <f>VLOOKUP(I3423,[2]categories!$A$1:$B$8,2,FALSE)</f>
        <v>Cruisers Bicycles</v>
      </c>
    </row>
    <row r="3424" customHeight="1" spans="1:10">
      <c r="A3424" s="1">
        <v>1186</v>
      </c>
      <c r="B3424" s="1">
        <v>1</v>
      </c>
      <c r="C3424" s="1">
        <v>48</v>
      </c>
      <c r="D3424" s="1">
        <v>2</v>
      </c>
      <c r="E3424" s="1">
        <v>1499.99</v>
      </c>
      <c r="F3424" s="1">
        <v>0.1</v>
      </c>
      <c r="G3424">
        <f t="shared" si="53"/>
        <v>2999.88</v>
      </c>
      <c r="H3424" t="str">
        <f>VLOOKUP(C3424,[1]products!$A:$B,2,FALSE)</f>
        <v>Trek Emonda S 4 - 2017</v>
      </c>
      <c r="I3424">
        <f>VLOOKUP(C3424,[1]products!$A:$D,4,FALSE)</f>
        <v>7</v>
      </c>
      <c r="J3424" t="str">
        <f>VLOOKUP(I3424,[2]categories!$A$1:$B$8,2,FALSE)</f>
        <v>Road Bikes</v>
      </c>
    </row>
    <row r="3425" customHeight="1" spans="1:10">
      <c r="A3425" s="1">
        <v>1186</v>
      </c>
      <c r="B3425" s="1">
        <v>2</v>
      </c>
      <c r="C3425" s="1">
        <v>49</v>
      </c>
      <c r="D3425" s="1">
        <v>1</v>
      </c>
      <c r="E3425" s="1">
        <v>3499.99</v>
      </c>
      <c r="F3425" s="1">
        <v>0.07</v>
      </c>
      <c r="G3425">
        <f t="shared" si="53"/>
        <v>3499.92</v>
      </c>
      <c r="H3425" t="str">
        <f>VLOOKUP(C3425,[1]products!$A:$B,2,FALSE)</f>
        <v>Trek Domane SL 6 - 2017</v>
      </c>
      <c r="I3425">
        <f>VLOOKUP(C3425,[1]products!$A:$D,4,FALSE)</f>
        <v>7</v>
      </c>
      <c r="J3425" t="str">
        <f>VLOOKUP(I3425,[2]categories!$A$1:$B$8,2,FALSE)</f>
        <v>Road Bikes</v>
      </c>
    </row>
    <row r="3426" customHeight="1" spans="1:10">
      <c r="A3426" s="1">
        <v>1186</v>
      </c>
      <c r="B3426" s="1">
        <v>3</v>
      </c>
      <c r="C3426" s="1">
        <v>106</v>
      </c>
      <c r="D3426" s="1">
        <v>1</v>
      </c>
      <c r="E3426" s="1">
        <v>449.99</v>
      </c>
      <c r="F3426" s="1">
        <v>0.1</v>
      </c>
      <c r="G3426">
        <f t="shared" si="53"/>
        <v>449.89</v>
      </c>
      <c r="H3426" t="str">
        <f>VLOOKUP(C3426,[1]products!$A:$B,2,FALSE)</f>
        <v>Sun Bicycles Cruz 3 - 2017</v>
      </c>
      <c r="I3426">
        <f>VLOOKUP(C3426,[1]products!$A:$D,4,FALSE)</f>
        <v>2</v>
      </c>
      <c r="J3426" t="str">
        <f>VLOOKUP(I3426,[2]categories!$A$1:$B$8,2,FALSE)</f>
        <v>Comfort Bicycles</v>
      </c>
    </row>
    <row r="3427" customHeight="1" spans="1:10">
      <c r="A3427" s="1">
        <v>1186</v>
      </c>
      <c r="B3427" s="1">
        <v>4</v>
      </c>
      <c r="C3427" s="1">
        <v>27</v>
      </c>
      <c r="D3427" s="1">
        <v>1</v>
      </c>
      <c r="E3427" s="1">
        <v>999.99</v>
      </c>
      <c r="F3427" s="1">
        <v>0.2</v>
      </c>
      <c r="G3427">
        <f t="shared" si="53"/>
        <v>999.79</v>
      </c>
      <c r="H3427" t="str">
        <f>VLOOKUP(C3427,[1]products!$A:$B,2,FALSE)</f>
        <v>Surly Big Dummy Frameset - 2017</v>
      </c>
      <c r="I3427">
        <f>VLOOKUP(C3427,[1]products!$A:$D,4,FALSE)</f>
        <v>6</v>
      </c>
      <c r="J3427" t="str">
        <f>VLOOKUP(I3427,[2]categories!$A$1:$B$8,2,FALSE)</f>
        <v>Mountain Bikes</v>
      </c>
    </row>
    <row r="3428" customHeight="1" spans="1:10">
      <c r="A3428" s="1">
        <v>1187</v>
      </c>
      <c r="B3428" s="1">
        <v>1</v>
      </c>
      <c r="C3428" s="1">
        <v>36</v>
      </c>
      <c r="D3428" s="1">
        <v>2</v>
      </c>
      <c r="E3428" s="1">
        <v>832.99</v>
      </c>
      <c r="F3428" s="1">
        <v>0.1</v>
      </c>
      <c r="G3428">
        <f t="shared" si="53"/>
        <v>1665.88</v>
      </c>
      <c r="H3428" t="str">
        <f>VLOOKUP(C3428,[1]products!$A:$B,2,FALSE)</f>
        <v>Surly Troll Frameset - 2017</v>
      </c>
      <c r="I3428">
        <f>VLOOKUP(C3428,[1]products!$A:$D,4,FALSE)</f>
        <v>6</v>
      </c>
      <c r="J3428" t="str">
        <f>VLOOKUP(I3428,[2]categories!$A$1:$B$8,2,FALSE)</f>
        <v>Mountain Bikes</v>
      </c>
    </row>
    <row r="3429" customHeight="1" spans="1:10">
      <c r="A3429" s="1">
        <v>1187</v>
      </c>
      <c r="B3429" s="1">
        <v>2</v>
      </c>
      <c r="C3429" s="1">
        <v>79</v>
      </c>
      <c r="D3429" s="1">
        <v>1</v>
      </c>
      <c r="E3429" s="1">
        <v>402.99</v>
      </c>
      <c r="F3429" s="1">
        <v>0.07</v>
      </c>
      <c r="G3429">
        <f t="shared" si="53"/>
        <v>402.92</v>
      </c>
      <c r="H3429" t="str">
        <f>VLOOKUP(C3429,[1]products!$A:$B,2,FALSE)</f>
        <v>Sun Bicycles Boardwalk (24-inch Wheels) - 2017</v>
      </c>
      <c r="I3429">
        <f>VLOOKUP(C3429,[1]products!$A:$D,4,FALSE)</f>
        <v>3</v>
      </c>
      <c r="J3429" t="str">
        <f>VLOOKUP(I3429,[2]categories!$A$1:$B$8,2,FALSE)</f>
        <v>Cruisers Bicycles</v>
      </c>
    </row>
    <row r="3430" customHeight="1" spans="1:10">
      <c r="A3430" s="1">
        <v>1187</v>
      </c>
      <c r="B3430" s="1">
        <v>3</v>
      </c>
      <c r="C3430" s="1">
        <v>4</v>
      </c>
      <c r="D3430" s="1">
        <v>1</v>
      </c>
      <c r="E3430" s="1">
        <v>2899.99</v>
      </c>
      <c r="F3430" s="1">
        <v>0.1</v>
      </c>
      <c r="G3430">
        <f t="shared" si="53"/>
        <v>2899.89</v>
      </c>
      <c r="H3430" t="str">
        <f>VLOOKUP(C3430,[1]products!$A:$B,2,FALSE)</f>
        <v>Trek Fuel EX 8 29 - 2016</v>
      </c>
      <c r="I3430">
        <f>VLOOKUP(C3430,[1]products!$A:$D,4,FALSE)</f>
        <v>6</v>
      </c>
      <c r="J3430" t="str">
        <f>VLOOKUP(I3430,[2]categories!$A$1:$B$8,2,FALSE)</f>
        <v>Mountain Bikes</v>
      </c>
    </row>
    <row r="3431" customHeight="1" spans="1:10">
      <c r="A3431" s="1">
        <v>1187</v>
      </c>
      <c r="B3431" s="1">
        <v>4</v>
      </c>
      <c r="C3431" s="1">
        <v>53</v>
      </c>
      <c r="D3431" s="1">
        <v>2</v>
      </c>
      <c r="E3431" s="1">
        <v>749.99</v>
      </c>
      <c r="F3431" s="1">
        <v>0.1</v>
      </c>
      <c r="G3431">
        <f t="shared" si="53"/>
        <v>1499.88</v>
      </c>
      <c r="H3431" t="str">
        <f>VLOOKUP(C3431,[1]products!$A:$B,2,FALSE)</f>
        <v>Surly Ogre Frameset - 2017</v>
      </c>
      <c r="I3431">
        <f>VLOOKUP(C3431,[1]products!$A:$D,4,FALSE)</f>
        <v>7</v>
      </c>
      <c r="J3431" t="str">
        <f>VLOOKUP(I3431,[2]categories!$A$1:$B$8,2,FALSE)</f>
        <v>Road Bikes</v>
      </c>
    </row>
    <row r="3432" customHeight="1" spans="1:10">
      <c r="A3432" s="1">
        <v>1188</v>
      </c>
      <c r="B3432" s="1">
        <v>1</v>
      </c>
      <c r="C3432" s="1">
        <v>66</v>
      </c>
      <c r="D3432" s="1">
        <v>2</v>
      </c>
      <c r="E3432" s="1">
        <v>250.99</v>
      </c>
      <c r="F3432" s="1">
        <v>0.1</v>
      </c>
      <c r="G3432">
        <f t="shared" si="53"/>
        <v>501.88</v>
      </c>
      <c r="H3432" t="str">
        <f>VLOOKUP(C3432,[1]products!$A:$B,2,FALSE)</f>
        <v>Sun Bicycles Revolutions 24 - 2017</v>
      </c>
      <c r="I3432">
        <f>VLOOKUP(C3432,[1]products!$A:$D,4,FALSE)</f>
        <v>3</v>
      </c>
      <c r="J3432" t="str">
        <f>VLOOKUP(I3432,[2]categories!$A$1:$B$8,2,FALSE)</f>
        <v>Cruisers Bicycles</v>
      </c>
    </row>
    <row r="3433" customHeight="1" spans="1:10">
      <c r="A3433" s="1">
        <v>1188</v>
      </c>
      <c r="B3433" s="1">
        <v>2</v>
      </c>
      <c r="C3433" s="1">
        <v>91</v>
      </c>
      <c r="D3433" s="1">
        <v>2</v>
      </c>
      <c r="E3433" s="1">
        <v>349.99</v>
      </c>
      <c r="F3433" s="1">
        <v>0.2</v>
      </c>
      <c r="G3433">
        <f t="shared" si="53"/>
        <v>699.78</v>
      </c>
      <c r="H3433" t="str">
        <f>VLOOKUP(C3433,[1]products!$A:$B,2,FALSE)</f>
        <v>Trek Precaliber 24 (21-Speed) - Girls - 2017</v>
      </c>
      <c r="I3433">
        <f>VLOOKUP(C3433,[1]products!$A:$D,4,FALSE)</f>
        <v>1</v>
      </c>
      <c r="J3433" t="str">
        <f>VLOOKUP(I3433,[2]categories!$A$1:$B$8,2,FALSE)</f>
        <v>Children Bicycles</v>
      </c>
    </row>
    <row r="3434" customHeight="1" spans="1:10">
      <c r="A3434" s="1">
        <v>1188</v>
      </c>
      <c r="B3434" s="1">
        <v>3</v>
      </c>
      <c r="C3434" s="1">
        <v>87</v>
      </c>
      <c r="D3434" s="1">
        <v>2</v>
      </c>
      <c r="E3434" s="1">
        <v>189.99</v>
      </c>
      <c r="F3434" s="1">
        <v>0.1</v>
      </c>
      <c r="G3434">
        <f t="shared" si="53"/>
        <v>379.88</v>
      </c>
      <c r="H3434" t="str">
        <f>VLOOKUP(C3434,[1]products!$A:$B,2,FALSE)</f>
        <v>Trek Precaliber 12 Boys - 2017</v>
      </c>
      <c r="I3434">
        <f>VLOOKUP(C3434,[1]products!$A:$D,4,FALSE)</f>
        <v>1</v>
      </c>
      <c r="J3434" t="str">
        <f>VLOOKUP(I3434,[2]categories!$A$1:$B$8,2,FALSE)</f>
        <v>Children Bicycles</v>
      </c>
    </row>
    <row r="3435" customHeight="1" spans="1:10">
      <c r="A3435" s="1">
        <v>1189</v>
      </c>
      <c r="B3435" s="1">
        <v>1</v>
      </c>
      <c r="C3435" s="1">
        <v>55</v>
      </c>
      <c r="D3435" s="1">
        <v>1</v>
      </c>
      <c r="E3435" s="1">
        <v>2699.99</v>
      </c>
      <c r="F3435" s="1">
        <v>0.07</v>
      </c>
      <c r="G3435">
        <f t="shared" si="53"/>
        <v>2699.92</v>
      </c>
      <c r="H3435" t="str">
        <f>VLOOKUP(C3435,[1]products!$A:$B,2,FALSE)</f>
        <v>Trek Domane S 6 - 2017</v>
      </c>
      <c r="I3435">
        <f>VLOOKUP(C3435,[1]products!$A:$D,4,FALSE)</f>
        <v>7</v>
      </c>
      <c r="J3435" t="str">
        <f>VLOOKUP(I3435,[2]categories!$A$1:$B$8,2,FALSE)</f>
        <v>Road Bikes</v>
      </c>
    </row>
    <row r="3436" customHeight="1" spans="1:10">
      <c r="A3436" s="1">
        <v>1189</v>
      </c>
      <c r="B3436" s="1">
        <v>2</v>
      </c>
      <c r="C3436" s="1">
        <v>102</v>
      </c>
      <c r="D3436" s="1">
        <v>2</v>
      </c>
      <c r="E3436" s="1">
        <v>489.99</v>
      </c>
      <c r="F3436" s="1">
        <v>0.1</v>
      </c>
      <c r="G3436">
        <f t="shared" si="53"/>
        <v>979.88</v>
      </c>
      <c r="H3436" t="str">
        <f>VLOOKUP(C3436,[1]products!$A:$B,2,FALSE)</f>
        <v>Electra Townie Original 7D - 2017</v>
      </c>
      <c r="I3436">
        <f>VLOOKUP(C3436,[1]products!$A:$D,4,FALSE)</f>
        <v>2</v>
      </c>
      <c r="J3436" t="str">
        <f>VLOOKUP(I3436,[2]categories!$A$1:$B$8,2,FALSE)</f>
        <v>Comfort Bicycles</v>
      </c>
    </row>
    <row r="3437" customHeight="1" spans="1:10">
      <c r="A3437" s="1">
        <v>1189</v>
      </c>
      <c r="B3437" s="1">
        <v>3</v>
      </c>
      <c r="C3437" s="1">
        <v>40</v>
      </c>
      <c r="D3437" s="1">
        <v>2</v>
      </c>
      <c r="E3437" s="1">
        <v>4999.99</v>
      </c>
      <c r="F3437" s="1">
        <v>0.1</v>
      </c>
      <c r="G3437">
        <f t="shared" si="53"/>
        <v>9999.88</v>
      </c>
      <c r="H3437" t="str">
        <f>VLOOKUP(C3437,[1]products!$A:$B,2,FALSE)</f>
        <v>Trek Fuel EX 9.8 29 - 2017</v>
      </c>
      <c r="I3437">
        <f>VLOOKUP(C3437,[1]products!$A:$D,4,FALSE)</f>
        <v>6</v>
      </c>
      <c r="J3437" t="str">
        <f>VLOOKUP(I3437,[2]categories!$A$1:$B$8,2,FALSE)</f>
        <v>Mountain Bikes</v>
      </c>
    </row>
    <row r="3438" customHeight="1" spans="1:10">
      <c r="A3438" s="1">
        <v>1190</v>
      </c>
      <c r="B3438" s="1">
        <v>1</v>
      </c>
      <c r="C3438" s="1">
        <v>71</v>
      </c>
      <c r="D3438" s="1">
        <v>1</v>
      </c>
      <c r="E3438" s="1">
        <v>416.99</v>
      </c>
      <c r="F3438" s="1">
        <v>0.07</v>
      </c>
      <c r="G3438">
        <f t="shared" si="53"/>
        <v>416.92</v>
      </c>
      <c r="H3438" t="str">
        <f>VLOOKUP(C3438,[1]products!$A:$B,2,FALSE)</f>
        <v>Sun Bicycles Atlas X-Type - 2017</v>
      </c>
      <c r="I3438">
        <f>VLOOKUP(C3438,[1]products!$A:$D,4,FALSE)</f>
        <v>3</v>
      </c>
      <c r="J3438" t="str">
        <f>VLOOKUP(I3438,[2]categories!$A$1:$B$8,2,FALSE)</f>
        <v>Cruisers Bicycles</v>
      </c>
    </row>
    <row r="3439" customHeight="1" spans="1:10">
      <c r="A3439" s="1">
        <v>1191</v>
      </c>
      <c r="B3439" s="1">
        <v>1</v>
      </c>
      <c r="C3439" s="1">
        <v>40</v>
      </c>
      <c r="D3439" s="1">
        <v>2</v>
      </c>
      <c r="E3439" s="1">
        <v>4999.99</v>
      </c>
      <c r="F3439" s="1">
        <v>0.1</v>
      </c>
      <c r="G3439">
        <f t="shared" si="53"/>
        <v>9999.88</v>
      </c>
      <c r="H3439" t="str">
        <f>VLOOKUP(C3439,[1]products!$A:$B,2,FALSE)</f>
        <v>Trek Fuel EX 9.8 29 - 2017</v>
      </c>
      <c r="I3439">
        <f>VLOOKUP(C3439,[1]products!$A:$D,4,FALSE)</f>
        <v>6</v>
      </c>
      <c r="J3439" t="str">
        <f>VLOOKUP(I3439,[2]categories!$A$1:$B$8,2,FALSE)</f>
        <v>Mountain Bikes</v>
      </c>
    </row>
    <row r="3440" customHeight="1" spans="1:10">
      <c r="A3440" s="1">
        <v>1191</v>
      </c>
      <c r="B3440" s="1">
        <v>2</v>
      </c>
      <c r="C3440" s="1">
        <v>89</v>
      </c>
      <c r="D3440" s="1">
        <v>2</v>
      </c>
      <c r="E3440" s="1">
        <v>209.99</v>
      </c>
      <c r="F3440" s="1">
        <v>0.1</v>
      </c>
      <c r="G3440">
        <f t="shared" si="53"/>
        <v>419.88</v>
      </c>
      <c r="H3440" t="str">
        <f>VLOOKUP(C3440,[1]products!$A:$B,2,FALSE)</f>
        <v>Trek Precaliber 16 Boys - 2017</v>
      </c>
      <c r="I3440">
        <f>VLOOKUP(C3440,[1]products!$A:$D,4,FALSE)</f>
        <v>1</v>
      </c>
      <c r="J3440" t="str">
        <f>VLOOKUP(I3440,[2]categories!$A$1:$B$8,2,FALSE)</f>
        <v>Children Bicycles</v>
      </c>
    </row>
    <row r="3441" customHeight="1" spans="1:10">
      <c r="A3441" s="1">
        <v>1191</v>
      </c>
      <c r="B3441" s="1">
        <v>3</v>
      </c>
      <c r="C3441" s="1">
        <v>100</v>
      </c>
      <c r="D3441" s="1">
        <v>1</v>
      </c>
      <c r="E3441" s="1">
        <v>489.99</v>
      </c>
      <c r="F3441" s="1">
        <v>0.07</v>
      </c>
      <c r="G3441">
        <f t="shared" si="53"/>
        <v>489.92</v>
      </c>
      <c r="H3441" t="str">
        <f>VLOOKUP(C3441,[1]products!$A:$B,2,FALSE)</f>
        <v>Electra Townie 3i EQ (20-inch) - Boys' - 2017</v>
      </c>
      <c r="I3441">
        <f>VLOOKUP(C3441,[1]products!$A:$D,4,FALSE)</f>
        <v>1</v>
      </c>
      <c r="J3441" t="str">
        <f>VLOOKUP(I3441,[2]categories!$A$1:$B$8,2,FALSE)</f>
        <v>Children Bicycles</v>
      </c>
    </row>
    <row r="3442" customHeight="1" spans="1:10">
      <c r="A3442" s="1">
        <v>1192</v>
      </c>
      <c r="B3442" s="1">
        <v>1</v>
      </c>
      <c r="C3442" s="1">
        <v>24</v>
      </c>
      <c r="D3442" s="1">
        <v>2</v>
      </c>
      <c r="E3442" s="1">
        <v>549.99</v>
      </c>
      <c r="F3442" s="1">
        <v>0.1</v>
      </c>
      <c r="G3442">
        <f t="shared" si="53"/>
        <v>1099.88</v>
      </c>
      <c r="H3442" t="str">
        <f>VLOOKUP(C3442,[1]products!$A:$B,2,FALSE)</f>
        <v>Electra Townie Original 21D - 2016</v>
      </c>
      <c r="I3442">
        <f>VLOOKUP(C3442,[1]products!$A:$D,4,FALSE)</f>
        <v>2</v>
      </c>
      <c r="J3442" t="str">
        <f>VLOOKUP(I3442,[2]categories!$A$1:$B$8,2,FALSE)</f>
        <v>Comfort Bicycles</v>
      </c>
    </row>
    <row r="3443" customHeight="1" spans="1:10">
      <c r="A3443" s="1">
        <v>1192</v>
      </c>
      <c r="B3443" s="1">
        <v>2</v>
      </c>
      <c r="C3443" s="1">
        <v>88</v>
      </c>
      <c r="D3443" s="1">
        <v>2</v>
      </c>
      <c r="E3443" s="1">
        <v>189.99</v>
      </c>
      <c r="F3443" s="1">
        <v>0.07</v>
      </c>
      <c r="G3443">
        <f t="shared" si="53"/>
        <v>379.91</v>
      </c>
      <c r="H3443" t="str">
        <f>VLOOKUP(C3443,[1]products!$A:$B,2,FALSE)</f>
        <v>Trek Precaliber 12 Girls - 2017</v>
      </c>
      <c r="I3443">
        <f>VLOOKUP(C3443,[1]products!$A:$D,4,FALSE)</f>
        <v>1</v>
      </c>
      <c r="J3443" t="str">
        <f>VLOOKUP(I3443,[2]categories!$A$1:$B$8,2,FALSE)</f>
        <v>Children Bicycles</v>
      </c>
    </row>
    <row r="3444" customHeight="1" spans="1:10">
      <c r="A3444" s="1">
        <v>1192</v>
      </c>
      <c r="B3444" s="1">
        <v>3</v>
      </c>
      <c r="C3444" s="1">
        <v>37</v>
      </c>
      <c r="D3444" s="1">
        <v>2</v>
      </c>
      <c r="E3444" s="1">
        <v>379.99</v>
      </c>
      <c r="F3444" s="1">
        <v>0.2</v>
      </c>
      <c r="G3444">
        <f t="shared" si="53"/>
        <v>759.78</v>
      </c>
      <c r="H3444" t="str">
        <f>VLOOKUP(C3444,[1]products!$A:$B,2,FALSE)</f>
        <v>Haro Flightline One ST - 2017</v>
      </c>
      <c r="I3444">
        <f>VLOOKUP(C3444,[1]products!$A:$D,4,FALSE)</f>
        <v>6</v>
      </c>
      <c r="J3444" t="str">
        <f>VLOOKUP(I3444,[2]categories!$A$1:$B$8,2,FALSE)</f>
        <v>Mountain Bikes</v>
      </c>
    </row>
    <row r="3445" customHeight="1" spans="1:10">
      <c r="A3445" s="1">
        <v>1193</v>
      </c>
      <c r="B3445" s="1">
        <v>1</v>
      </c>
      <c r="C3445" s="1">
        <v>83</v>
      </c>
      <c r="D3445" s="1">
        <v>2</v>
      </c>
      <c r="E3445" s="1">
        <v>149.99</v>
      </c>
      <c r="F3445" s="1">
        <v>0.05</v>
      </c>
      <c r="G3445">
        <f t="shared" si="53"/>
        <v>299.93</v>
      </c>
      <c r="H3445" t="str">
        <f>VLOOKUP(C3445,[1]products!$A:$B,2,FALSE)</f>
        <v>Trek Boy's Kickster - 2015/2017</v>
      </c>
      <c r="I3445">
        <f>VLOOKUP(C3445,[1]products!$A:$D,4,FALSE)</f>
        <v>1</v>
      </c>
      <c r="J3445" t="str">
        <f>VLOOKUP(I3445,[2]categories!$A$1:$B$8,2,FALSE)</f>
        <v>Children Bicycles</v>
      </c>
    </row>
    <row r="3446" customHeight="1" spans="1:10">
      <c r="A3446" s="1">
        <v>1193</v>
      </c>
      <c r="B3446" s="1">
        <v>2</v>
      </c>
      <c r="C3446" s="1">
        <v>27</v>
      </c>
      <c r="D3446" s="1">
        <v>1</v>
      </c>
      <c r="E3446" s="1">
        <v>999.99</v>
      </c>
      <c r="F3446" s="1">
        <v>0.05</v>
      </c>
      <c r="G3446">
        <f t="shared" si="53"/>
        <v>999.94</v>
      </c>
      <c r="H3446" t="str">
        <f>VLOOKUP(C3446,[1]products!$A:$B,2,FALSE)</f>
        <v>Surly Big Dummy Frameset - 2017</v>
      </c>
      <c r="I3446">
        <f>VLOOKUP(C3446,[1]products!$A:$D,4,FALSE)</f>
        <v>6</v>
      </c>
      <c r="J3446" t="str">
        <f>VLOOKUP(I3446,[2]categories!$A$1:$B$8,2,FALSE)</f>
        <v>Mountain Bikes</v>
      </c>
    </row>
    <row r="3447" customHeight="1" spans="1:10">
      <c r="A3447" s="1">
        <v>1194</v>
      </c>
      <c r="B3447" s="1">
        <v>1</v>
      </c>
      <c r="C3447" s="1">
        <v>71</v>
      </c>
      <c r="D3447" s="1">
        <v>1</v>
      </c>
      <c r="E3447" s="1">
        <v>416.99</v>
      </c>
      <c r="F3447" s="1">
        <v>0.05</v>
      </c>
      <c r="G3447">
        <f t="shared" si="53"/>
        <v>416.94</v>
      </c>
      <c r="H3447" t="str">
        <f>VLOOKUP(C3447,[1]products!$A:$B,2,FALSE)</f>
        <v>Sun Bicycles Atlas X-Type - 2017</v>
      </c>
      <c r="I3447">
        <f>VLOOKUP(C3447,[1]products!$A:$D,4,FALSE)</f>
        <v>3</v>
      </c>
      <c r="J3447" t="str">
        <f>VLOOKUP(I3447,[2]categories!$A$1:$B$8,2,FALSE)</f>
        <v>Cruisers Bicycles</v>
      </c>
    </row>
    <row r="3448" customHeight="1" spans="1:10">
      <c r="A3448" s="1">
        <v>1194</v>
      </c>
      <c r="B3448" s="1">
        <v>2</v>
      </c>
      <c r="C3448" s="1">
        <v>7</v>
      </c>
      <c r="D3448" s="1">
        <v>2</v>
      </c>
      <c r="E3448" s="1">
        <v>3999.99</v>
      </c>
      <c r="F3448" s="1">
        <v>0.07</v>
      </c>
      <c r="G3448">
        <f t="shared" si="53"/>
        <v>7999.91</v>
      </c>
      <c r="H3448" t="str">
        <f>VLOOKUP(C3448,[1]products!$A:$B,2,FALSE)</f>
        <v>Trek Slash 8 27.5 - 2016</v>
      </c>
      <c r="I3448">
        <f>VLOOKUP(C3448,[1]products!$A:$D,4,FALSE)</f>
        <v>6</v>
      </c>
      <c r="J3448" t="str">
        <f>VLOOKUP(I3448,[2]categories!$A$1:$B$8,2,FALSE)</f>
        <v>Mountain Bikes</v>
      </c>
    </row>
    <row r="3449" customHeight="1" spans="1:10">
      <c r="A3449" s="1">
        <v>1194</v>
      </c>
      <c r="B3449" s="1">
        <v>3</v>
      </c>
      <c r="C3449" s="1">
        <v>105</v>
      </c>
      <c r="D3449" s="1">
        <v>2</v>
      </c>
      <c r="E3449" s="1">
        <v>533.99</v>
      </c>
      <c r="F3449" s="1">
        <v>0.1</v>
      </c>
      <c r="G3449">
        <f t="shared" si="53"/>
        <v>1067.88</v>
      </c>
      <c r="H3449" t="str">
        <f>VLOOKUP(C3449,[1]products!$A:$B,2,FALSE)</f>
        <v>Sun Bicycles Streamway 7 - 2017</v>
      </c>
      <c r="I3449">
        <f>VLOOKUP(C3449,[1]products!$A:$D,4,FALSE)</f>
        <v>2</v>
      </c>
      <c r="J3449" t="str">
        <f>VLOOKUP(I3449,[2]categories!$A$1:$B$8,2,FALSE)</f>
        <v>Comfort Bicycles</v>
      </c>
    </row>
    <row r="3450" customHeight="1" spans="1:10">
      <c r="A3450" s="1">
        <v>1194</v>
      </c>
      <c r="B3450" s="1">
        <v>4</v>
      </c>
      <c r="C3450" s="1">
        <v>84</v>
      </c>
      <c r="D3450" s="1">
        <v>1</v>
      </c>
      <c r="E3450" s="1">
        <v>109.99</v>
      </c>
      <c r="F3450" s="1">
        <v>0.05</v>
      </c>
      <c r="G3450">
        <f t="shared" si="53"/>
        <v>109.94</v>
      </c>
      <c r="H3450" t="str">
        <f>VLOOKUP(C3450,[1]products!$A:$B,2,FALSE)</f>
        <v>Sun Bicycles Lil Kitt'n - 2017</v>
      </c>
      <c r="I3450">
        <f>VLOOKUP(C3450,[1]products!$A:$D,4,FALSE)</f>
        <v>1</v>
      </c>
      <c r="J3450" t="str">
        <f>VLOOKUP(I3450,[2]categories!$A$1:$B$8,2,FALSE)</f>
        <v>Children Bicycles</v>
      </c>
    </row>
    <row r="3451" customHeight="1" spans="1:10">
      <c r="A3451" s="1">
        <v>1195</v>
      </c>
      <c r="B3451" s="1">
        <v>1</v>
      </c>
      <c r="C3451" s="1">
        <v>52</v>
      </c>
      <c r="D3451" s="1">
        <v>1</v>
      </c>
      <c r="E3451" s="1">
        <v>875.99</v>
      </c>
      <c r="F3451" s="1">
        <v>0.07</v>
      </c>
      <c r="G3451">
        <f t="shared" si="53"/>
        <v>875.92</v>
      </c>
      <c r="H3451" t="str">
        <f>VLOOKUP(C3451,[1]products!$A:$B,2,FALSE)</f>
        <v>Surly Steamroller - 2017</v>
      </c>
      <c r="I3451">
        <f>VLOOKUP(C3451,[1]products!$A:$D,4,FALSE)</f>
        <v>7</v>
      </c>
      <c r="J3451" t="str">
        <f>VLOOKUP(I3451,[2]categories!$A$1:$B$8,2,FALSE)</f>
        <v>Road Bikes</v>
      </c>
    </row>
    <row r="3452" customHeight="1" spans="1:10">
      <c r="A3452" s="1">
        <v>1196</v>
      </c>
      <c r="B3452" s="1">
        <v>1</v>
      </c>
      <c r="C3452" s="1">
        <v>53</v>
      </c>
      <c r="D3452" s="1">
        <v>1</v>
      </c>
      <c r="E3452" s="1">
        <v>749.99</v>
      </c>
      <c r="F3452" s="1">
        <v>0.07</v>
      </c>
      <c r="G3452">
        <f t="shared" si="53"/>
        <v>749.92</v>
      </c>
      <c r="H3452" t="str">
        <f>VLOOKUP(C3452,[1]products!$A:$B,2,FALSE)</f>
        <v>Surly Ogre Frameset - 2017</v>
      </c>
      <c r="I3452">
        <f>VLOOKUP(C3452,[1]products!$A:$D,4,FALSE)</f>
        <v>7</v>
      </c>
      <c r="J3452" t="str">
        <f>VLOOKUP(I3452,[2]categories!$A$1:$B$8,2,FALSE)</f>
        <v>Road Bikes</v>
      </c>
    </row>
    <row r="3453" customHeight="1" spans="1:10">
      <c r="A3453" s="1">
        <v>1197</v>
      </c>
      <c r="B3453" s="1">
        <v>1</v>
      </c>
      <c r="C3453" s="1">
        <v>13</v>
      </c>
      <c r="D3453" s="1">
        <v>1</v>
      </c>
      <c r="E3453" s="1">
        <v>269.99</v>
      </c>
      <c r="F3453" s="1">
        <v>0.07</v>
      </c>
      <c r="G3453">
        <f t="shared" si="53"/>
        <v>269.92</v>
      </c>
      <c r="H3453" t="str">
        <f>VLOOKUP(C3453,[1]products!$A:$B,2,FALSE)</f>
        <v>Electra Cruiser 1 (24-Inch) - 2016</v>
      </c>
      <c r="I3453">
        <f>VLOOKUP(C3453,[1]products!$A:$D,4,FALSE)</f>
        <v>3</v>
      </c>
      <c r="J3453" t="str">
        <f>VLOOKUP(I3453,[2]categories!$A$1:$B$8,2,FALSE)</f>
        <v>Cruisers Bicycles</v>
      </c>
    </row>
    <row r="3454" customHeight="1" spans="1:10">
      <c r="A3454" s="1">
        <v>1197</v>
      </c>
      <c r="B3454" s="1">
        <v>2</v>
      </c>
      <c r="C3454" s="1">
        <v>108</v>
      </c>
      <c r="D3454" s="1">
        <v>2</v>
      </c>
      <c r="E3454" s="1">
        <v>449.99</v>
      </c>
      <c r="F3454" s="1">
        <v>0.05</v>
      </c>
      <c r="G3454">
        <f t="shared" si="53"/>
        <v>899.93</v>
      </c>
      <c r="H3454" t="str">
        <f>VLOOKUP(C3454,[1]products!$A:$B,2,FALSE)</f>
        <v>Sun Bicycles Cruz 3 - Women's - 2017</v>
      </c>
      <c r="I3454">
        <f>VLOOKUP(C3454,[1]products!$A:$D,4,FALSE)</f>
        <v>2</v>
      </c>
      <c r="J3454" t="str">
        <f>VLOOKUP(I3454,[2]categories!$A$1:$B$8,2,FALSE)</f>
        <v>Comfort Bicycles</v>
      </c>
    </row>
    <row r="3455" customHeight="1" spans="1:10">
      <c r="A3455" s="1">
        <v>1197</v>
      </c>
      <c r="B3455" s="1">
        <v>3</v>
      </c>
      <c r="C3455" s="1">
        <v>9</v>
      </c>
      <c r="D3455" s="1">
        <v>2</v>
      </c>
      <c r="E3455" s="1">
        <v>2999.99</v>
      </c>
      <c r="F3455" s="1">
        <v>0.05</v>
      </c>
      <c r="G3455">
        <f t="shared" si="53"/>
        <v>5999.93</v>
      </c>
      <c r="H3455" t="str">
        <f>VLOOKUP(C3455,[1]products!$A:$B,2,FALSE)</f>
        <v>Trek Conduit+ - 2016</v>
      </c>
      <c r="I3455">
        <f>VLOOKUP(C3455,[1]products!$A:$D,4,FALSE)</f>
        <v>5</v>
      </c>
      <c r="J3455" t="str">
        <f>VLOOKUP(I3455,[2]categories!$A$1:$B$8,2,FALSE)</f>
        <v>Electric Bikes</v>
      </c>
    </row>
    <row r="3456" customHeight="1" spans="1:10">
      <c r="A3456" s="1">
        <v>1197</v>
      </c>
      <c r="B3456" s="1">
        <v>4</v>
      </c>
      <c r="C3456" s="1">
        <v>106</v>
      </c>
      <c r="D3456" s="1">
        <v>2</v>
      </c>
      <c r="E3456" s="1">
        <v>449.99</v>
      </c>
      <c r="F3456" s="1">
        <v>0.2</v>
      </c>
      <c r="G3456">
        <f t="shared" si="53"/>
        <v>899.78</v>
      </c>
      <c r="H3456" t="str">
        <f>VLOOKUP(C3456,[1]products!$A:$B,2,FALSE)</f>
        <v>Sun Bicycles Cruz 3 - 2017</v>
      </c>
      <c r="I3456">
        <f>VLOOKUP(C3456,[1]products!$A:$D,4,FALSE)</f>
        <v>2</v>
      </c>
      <c r="J3456" t="str">
        <f>VLOOKUP(I3456,[2]categories!$A$1:$B$8,2,FALSE)</f>
        <v>Comfort Bicycles</v>
      </c>
    </row>
    <row r="3457" customHeight="1" spans="1:10">
      <c r="A3457" s="1">
        <v>1198</v>
      </c>
      <c r="B3457" s="1">
        <v>1</v>
      </c>
      <c r="C3457" s="1">
        <v>105</v>
      </c>
      <c r="D3457" s="1">
        <v>1</v>
      </c>
      <c r="E3457" s="1">
        <v>533.99</v>
      </c>
      <c r="F3457" s="1">
        <v>0.05</v>
      </c>
      <c r="G3457">
        <f t="shared" si="53"/>
        <v>533.94</v>
      </c>
      <c r="H3457" t="str">
        <f>VLOOKUP(C3457,[1]products!$A:$B,2,FALSE)</f>
        <v>Sun Bicycles Streamway 7 - 2017</v>
      </c>
      <c r="I3457">
        <f>VLOOKUP(C3457,[1]products!$A:$D,4,FALSE)</f>
        <v>2</v>
      </c>
      <c r="J3457" t="str">
        <f>VLOOKUP(I3457,[2]categories!$A$1:$B$8,2,FALSE)</f>
        <v>Comfort Bicycles</v>
      </c>
    </row>
    <row r="3458" customHeight="1" spans="1:10">
      <c r="A3458" s="1">
        <v>1199</v>
      </c>
      <c r="B3458" s="1">
        <v>1</v>
      </c>
      <c r="C3458" s="1">
        <v>32</v>
      </c>
      <c r="D3458" s="1">
        <v>1</v>
      </c>
      <c r="E3458" s="1">
        <v>469.99</v>
      </c>
      <c r="F3458" s="1">
        <v>0.05</v>
      </c>
      <c r="G3458">
        <f t="shared" si="53"/>
        <v>469.94</v>
      </c>
      <c r="H3458" t="str">
        <f>VLOOKUP(C3458,[1]products!$A:$B,2,FALSE)</f>
        <v>Trek Farley Alloy Frameset - 2017</v>
      </c>
      <c r="I3458">
        <f>VLOOKUP(C3458,[1]products!$A:$D,4,FALSE)</f>
        <v>6</v>
      </c>
      <c r="J3458" t="str">
        <f>VLOOKUP(I3458,[2]categories!$A$1:$B$8,2,FALSE)</f>
        <v>Mountain Bikes</v>
      </c>
    </row>
    <row r="3459" customHeight="1" spans="1:10">
      <c r="A3459" s="1">
        <v>1199</v>
      </c>
      <c r="B3459" s="1">
        <v>2</v>
      </c>
      <c r="C3459" s="1">
        <v>94</v>
      </c>
      <c r="D3459" s="1">
        <v>2</v>
      </c>
      <c r="E3459" s="1">
        <v>249.99</v>
      </c>
      <c r="F3459" s="1">
        <v>0.07</v>
      </c>
      <c r="G3459">
        <f t="shared" ref="G3459:G3522" si="54">(E3459*D3459)-F3459</f>
        <v>499.91</v>
      </c>
      <c r="H3459" t="str">
        <f>VLOOKUP(C3459,[1]products!$A:$B,2,FALSE)</f>
        <v>Haro Shredder Pro 20 - 2017</v>
      </c>
      <c r="I3459">
        <f>VLOOKUP(C3459,[1]products!$A:$D,4,FALSE)</f>
        <v>1</v>
      </c>
      <c r="J3459" t="str">
        <f>VLOOKUP(I3459,[2]categories!$A$1:$B$8,2,FALSE)</f>
        <v>Children Bicycles</v>
      </c>
    </row>
    <row r="3460" customHeight="1" spans="1:10">
      <c r="A3460" s="1">
        <v>1199</v>
      </c>
      <c r="B3460" s="1">
        <v>3</v>
      </c>
      <c r="C3460" s="1">
        <v>109</v>
      </c>
      <c r="D3460" s="1">
        <v>2</v>
      </c>
      <c r="E3460" s="1">
        <v>416.99</v>
      </c>
      <c r="F3460" s="1">
        <v>0.1</v>
      </c>
      <c r="G3460">
        <f t="shared" si="54"/>
        <v>833.88</v>
      </c>
      <c r="H3460" t="str">
        <f>VLOOKUP(C3460,[1]products!$A:$B,2,FALSE)</f>
        <v>Sun Bicycles Cruz 7 - Women's - 2017</v>
      </c>
      <c r="I3460">
        <f>VLOOKUP(C3460,[1]products!$A:$D,4,FALSE)</f>
        <v>2</v>
      </c>
      <c r="J3460" t="str">
        <f>VLOOKUP(I3460,[2]categories!$A$1:$B$8,2,FALSE)</f>
        <v>Comfort Bicycles</v>
      </c>
    </row>
    <row r="3461" customHeight="1" spans="1:10">
      <c r="A3461" s="1">
        <v>1200</v>
      </c>
      <c r="B3461" s="1">
        <v>1</v>
      </c>
      <c r="C3461" s="1">
        <v>42</v>
      </c>
      <c r="D3461" s="1">
        <v>2</v>
      </c>
      <c r="E3461" s="1">
        <v>2299.99</v>
      </c>
      <c r="F3461" s="1">
        <v>0.2</v>
      </c>
      <c r="G3461">
        <f t="shared" si="54"/>
        <v>4599.78</v>
      </c>
      <c r="H3461" t="str">
        <f>VLOOKUP(C3461,[1]products!$A:$B,2,FALSE)</f>
        <v>Trek Fuel EX 5 27.5 Plus - 2017</v>
      </c>
      <c r="I3461">
        <f>VLOOKUP(C3461,[1]products!$A:$D,4,FALSE)</f>
        <v>6</v>
      </c>
      <c r="J3461" t="str">
        <f>VLOOKUP(I3461,[2]categories!$A$1:$B$8,2,FALSE)</f>
        <v>Mountain Bikes</v>
      </c>
    </row>
    <row r="3462" customHeight="1" spans="1:10">
      <c r="A3462" s="1">
        <v>1201</v>
      </c>
      <c r="B3462" s="1">
        <v>1</v>
      </c>
      <c r="C3462" s="1">
        <v>95</v>
      </c>
      <c r="D3462" s="1">
        <v>1</v>
      </c>
      <c r="E3462" s="1">
        <v>299.99</v>
      </c>
      <c r="F3462" s="1">
        <v>0.07</v>
      </c>
      <c r="G3462">
        <f t="shared" si="54"/>
        <v>299.92</v>
      </c>
      <c r="H3462" t="str">
        <f>VLOOKUP(C3462,[1]products!$A:$B,2,FALSE)</f>
        <v>Electra Girl's Hawaii 1 16" - 2017</v>
      </c>
      <c r="I3462">
        <f>VLOOKUP(C3462,[1]products!$A:$D,4,FALSE)</f>
        <v>1</v>
      </c>
      <c r="J3462" t="str">
        <f>VLOOKUP(I3462,[2]categories!$A$1:$B$8,2,FALSE)</f>
        <v>Children Bicycles</v>
      </c>
    </row>
    <row r="3463" customHeight="1" spans="1:10">
      <c r="A3463" s="1">
        <v>1201</v>
      </c>
      <c r="B3463" s="1">
        <v>2</v>
      </c>
      <c r="C3463" s="1">
        <v>13</v>
      </c>
      <c r="D3463" s="1">
        <v>1</v>
      </c>
      <c r="E3463" s="1">
        <v>269.99</v>
      </c>
      <c r="F3463" s="1">
        <v>0.05</v>
      </c>
      <c r="G3463">
        <f t="shared" si="54"/>
        <v>269.94</v>
      </c>
      <c r="H3463" t="str">
        <f>VLOOKUP(C3463,[1]products!$A:$B,2,FALSE)</f>
        <v>Electra Cruiser 1 (24-Inch) - 2016</v>
      </c>
      <c r="I3463">
        <f>VLOOKUP(C3463,[1]products!$A:$D,4,FALSE)</f>
        <v>3</v>
      </c>
      <c r="J3463" t="str">
        <f>VLOOKUP(I3463,[2]categories!$A$1:$B$8,2,FALSE)</f>
        <v>Cruisers Bicycles</v>
      </c>
    </row>
    <row r="3464" customHeight="1" spans="1:10">
      <c r="A3464" s="1">
        <v>1201</v>
      </c>
      <c r="B3464" s="1">
        <v>3</v>
      </c>
      <c r="C3464" s="1">
        <v>26</v>
      </c>
      <c r="D3464" s="1">
        <v>1</v>
      </c>
      <c r="E3464" s="1">
        <v>599.99</v>
      </c>
      <c r="F3464" s="1">
        <v>0.2</v>
      </c>
      <c r="G3464">
        <f t="shared" si="54"/>
        <v>599.79</v>
      </c>
      <c r="H3464" t="str">
        <f>VLOOKUP(C3464,[1]products!$A:$B,2,FALSE)</f>
        <v>Electra Townie Original 7D EQ - 2016</v>
      </c>
      <c r="I3464">
        <f>VLOOKUP(C3464,[1]products!$A:$D,4,FALSE)</f>
        <v>2</v>
      </c>
      <c r="J3464" t="str">
        <f>VLOOKUP(I3464,[2]categories!$A$1:$B$8,2,FALSE)</f>
        <v>Comfort Bicycles</v>
      </c>
    </row>
    <row r="3465" customHeight="1" spans="1:10">
      <c r="A3465" s="1">
        <v>1201</v>
      </c>
      <c r="B3465" s="1">
        <v>4</v>
      </c>
      <c r="C3465" s="1">
        <v>17</v>
      </c>
      <c r="D3465" s="1">
        <v>2</v>
      </c>
      <c r="E3465" s="1">
        <v>429</v>
      </c>
      <c r="F3465" s="1">
        <v>0.05</v>
      </c>
      <c r="G3465">
        <f t="shared" si="54"/>
        <v>857.95</v>
      </c>
      <c r="H3465" t="str">
        <f>VLOOKUP(C3465,[1]products!$A:$B,2,FALSE)</f>
        <v>Pure Cycles Vine 8-Speed - 2016</v>
      </c>
      <c r="I3465">
        <f>VLOOKUP(C3465,[1]products!$A:$D,4,FALSE)</f>
        <v>3</v>
      </c>
      <c r="J3465" t="str">
        <f>VLOOKUP(I3465,[2]categories!$A$1:$B$8,2,FALSE)</f>
        <v>Cruisers Bicycles</v>
      </c>
    </row>
    <row r="3466" customHeight="1" spans="1:10">
      <c r="A3466" s="1">
        <v>1201</v>
      </c>
      <c r="B3466" s="1">
        <v>5</v>
      </c>
      <c r="C3466" s="1">
        <v>19</v>
      </c>
      <c r="D3466" s="1">
        <v>2</v>
      </c>
      <c r="E3466" s="1">
        <v>449</v>
      </c>
      <c r="F3466" s="1">
        <v>0.2</v>
      </c>
      <c r="G3466">
        <f t="shared" si="54"/>
        <v>897.8</v>
      </c>
      <c r="H3466" t="str">
        <f>VLOOKUP(C3466,[1]products!$A:$B,2,FALSE)</f>
        <v>Pure Cycles William 3-Speed - 2016</v>
      </c>
      <c r="I3466">
        <f>VLOOKUP(C3466,[1]products!$A:$D,4,FALSE)</f>
        <v>3</v>
      </c>
      <c r="J3466" t="str">
        <f>VLOOKUP(I3466,[2]categories!$A$1:$B$8,2,FALSE)</f>
        <v>Cruisers Bicycles</v>
      </c>
    </row>
    <row r="3467" customHeight="1" spans="1:10">
      <c r="A3467" s="1">
        <v>1202</v>
      </c>
      <c r="B3467" s="1">
        <v>1</v>
      </c>
      <c r="C3467" s="1">
        <v>84</v>
      </c>
      <c r="D3467" s="1">
        <v>2</v>
      </c>
      <c r="E3467" s="1">
        <v>109.99</v>
      </c>
      <c r="F3467" s="1">
        <v>0.05</v>
      </c>
      <c r="G3467">
        <f t="shared" si="54"/>
        <v>219.93</v>
      </c>
      <c r="H3467" t="str">
        <f>VLOOKUP(C3467,[1]products!$A:$B,2,FALSE)</f>
        <v>Sun Bicycles Lil Kitt'n - 2017</v>
      </c>
      <c r="I3467">
        <f>VLOOKUP(C3467,[1]products!$A:$D,4,FALSE)</f>
        <v>1</v>
      </c>
      <c r="J3467" t="str">
        <f>VLOOKUP(I3467,[2]categories!$A$1:$B$8,2,FALSE)</f>
        <v>Children Bicycles</v>
      </c>
    </row>
    <row r="3468" customHeight="1" spans="1:10">
      <c r="A3468" s="1">
        <v>1203</v>
      </c>
      <c r="B3468" s="1">
        <v>1</v>
      </c>
      <c r="C3468" s="1">
        <v>6</v>
      </c>
      <c r="D3468" s="1">
        <v>2</v>
      </c>
      <c r="E3468" s="1">
        <v>469.99</v>
      </c>
      <c r="F3468" s="1">
        <v>0.07</v>
      </c>
      <c r="G3468">
        <f t="shared" si="54"/>
        <v>939.91</v>
      </c>
      <c r="H3468" t="str">
        <f>VLOOKUP(C3468,[1]products!$A:$B,2,FALSE)</f>
        <v>Surly Ice Cream Truck Frameset - 2016</v>
      </c>
      <c r="I3468">
        <f>VLOOKUP(C3468,[1]products!$A:$D,4,FALSE)</f>
        <v>6</v>
      </c>
      <c r="J3468" t="str">
        <f>VLOOKUP(I3468,[2]categories!$A$1:$B$8,2,FALSE)</f>
        <v>Mountain Bikes</v>
      </c>
    </row>
    <row r="3469" customHeight="1" spans="1:10">
      <c r="A3469" s="1">
        <v>1203</v>
      </c>
      <c r="B3469" s="1">
        <v>2</v>
      </c>
      <c r="C3469" s="1">
        <v>55</v>
      </c>
      <c r="D3469" s="1">
        <v>1</v>
      </c>
      <c r="E3469" s="1">
        <v>2699.99</v>
      </c>
      <c r="F3469" s="1">
        <v>0.05</v>
      </c>
      <c r="G3469">
        <f t="shared" si="54"/>
        <v>2699.94</v>
      </c>
      <c r="H3469" t="str">
        <f>VLOOKUP(C3469,[1]products!$A:$B,2,FALSE)</f>
        <v>Trek Domane S 6 - 2017</v>
      </c>
      <c r="I3469">
        <f>VLOOKUP(C3469,[1]products!$A:$D,4,FALSE)</f>
        <v>7</v>
      </c>
      <c r="J3469" t="str">
        <f>VLOOKUP(I3469,[2]categories!$A$1:$B$8,2,FALSE)</f>
        <v>Road Bikes</v>
      </c>
    </row>
    <row r="3470" customHeight="1" spans="1:10">
      <c r="A3470" s="1">
        <v>1204</v>
      </c>
      <c r="B3470" s="1">
        <v>1</v>
      </c>
      <c r="C3470" s="1">
        <v>37</v>
      </c>
      <c r="D3470" s="1">
        <v>2</v>
      </c>
      <c r="E3470" s="1">
        <v>379.99</v>
      </c>
      <c r="F3470" s="1">
        <v>0.07</v>
      </c>
      <c r="G3470">
        <f t="shared" si="54"/>
        <v>759.91</v>
      </c>
      <c r="H3470" t="str">
        <f>VLOOKUP(C3470,[1]products!$A:$B,2,FALSE)</f>
        <v>Haro Flightline One ST - 2017</v>
      </c>
      <c r="I3470">
        <f>VLOOKUP(C3470,[1]products!$A:$D,4,FALSE)</f>
        <v>6</v>
      </c>
      <c r="J3470" t="str">
        <f>VLOOKUP(I3470,[2]categories!$A$1:$B$8,2,FALSE)</f>
        <v>Mountain Bikes</v>
      </c>
    </row>
    <row r="3471" customHeight="1" spans="1:10">
      <c r="A3471" s="1">
        <v>1205</v>
      </c>
      <c r="B3471" s="1">
        <v>1</v>
      </c>
      <c r="C3471" s="1">
        <v>105</v>
      </c>
      <c r="D3471" s="1">
        <v>2</v>
      </c>
      <c r="E3471" s="1">
        <v>533.99</v>
      </c>
      <c r="F3471" s="1">
        <v>0.2</v>
      </c>
      <c r="G3471">
        <f t="shared" si="54"/>
        <v>1067.78</v>
      </c>
      <c r="H3471" t="str">
        <f>VLOOKUP(C3471,[1]products!$A:$B,2,FALSE)</f>
        <v>Sun Bicycles Streamway 7 - 2017</v>
      </c>
      <c r="I3471">
        <f>VLOOKUP(C3471,[1]products!$A:$D,4,FALSE)</f>
        <v>2</v>
      </c>
      <c r="J3471" t="str">
        <f>VLOOKUP(I3471,[2]categories!$A$1:$B$8,2,FALSE)</f>
        <v>Comfort Bicycles</v>
      </c>
    </row>
    <row r="3472" customHeight="1" spans="1:10">
      <c r="A3472" s="1">
        <v>1205</v>
      </c>
      <c r="B3472" s="1">
        <v>2</v>
      </c>
      <c r="C3472" s="1">
        <v>46</v>
      </c>
      <c r="D3472" s="1">
        <v>2</v>
      </c>
      <c r="E3472" s="1">
        <v>1409.99</v>
      </c>
      <c r="F3472" s="1">
        <v>0.2</v>
      </c>
      <c r="G3472">
        <f t="shared" si="54"/>
        <v>2819.78</v>
      </c>
      <c r="H3472" t="str">
        <f>VLOOKUP(C3472,[1]products!$A:$B,2,FALSE)</f>
        <v>Haro SR 1.3 - 2017</v>
      </c>
      <c r="I3472">
        <f>VLOOKUP(C3472,[1]products!$A:$D,4,FALSE)</f>
        <v>6</v>
      </c>
      <c r="J3472" t="str">
        <f>VLOOKUP(I3472,[2]categories!$A$1:$B$8,2,FALSE)</f>
        <v>Mountain Bikes</v>
      </c>
    </row>
    <row r="3473" customHeight="1" spans="1:10">
      <c r="A3473" s="1">
        <v>1205</v>
      </c>
      <c r="B3473" s="1">
        <v>3</v>
      </c>
      <c r="C3473" s="1">
        <v>71</v>
      </c>
      <c r="D3473" s="1">
        <v>1</v>
      </c>
      <c r="E3473" s="1">
        <v>416.99</v>
      </c>
      <c r="F3473" s="1">
        <v>0.05</v>
      </c>
      <c r="G3473">
        <f t="shared" si="54"/>
        <v>416.94</v>
      </c>
      <c r="H3473" t="str">
        <f>VLOOKUP(C3473,[1]products!$A:$B,2,FALSE)</f>
        <v>Sun Bicycles Atlas X-Type - 2017</v>
      </c>
      <c r="I3473">
        <f>VLOOKUP(C3473,[1]products!$A:$D,4,FALSE)</f>
        <v>3</v>
      </c>
      <c r="J3473" t="str">
        <f>VLOOKUP(I3473,[2]categories!$A$1:$B$8,2,FALSE)</f>
        <v>Cruisers Bicycles</v>
      </c>
    </row>
    <row r="3474" customHeight="1" spans="1:10">
      <c r="A3474" s="1">
        <v>1205</v>
      </c>
      <c r="B3474" s="1">
        <v>4</v>
      </c>
      <c r="C3474" s="1">
        <v>79</v>
      </c>
      <c r="D3474" s="1">
        <v>2</v>
      </c>
      <c r="E3474" s="1">
        <v>402.99</v>
      </c>
      <c r="F3474" s="1">
        <v>0.07</v>
      </c>
      <c r="G3474">
        <f t="shared" si="54"/>
        <v>805.91</v>
      </c>
      <c r="H3474" t="str">
        <f>VLOOKUP(C3474,[1]products!$A:$B,2,FALSE)</f>
        <v>Sun Bicycles Boardwalk (24-inch Wheels) - 2017</v>
      </c>
      <c r="I3474">
        <f>VLOOKUP(C3474,[1]products!$A:$D,4,FALSE)</f>
        <v>3</v>
      </c>
      <c r="J3474" t="str">
        <f>VLOOKUP(I3474,[2]categories!$A$1:$B$8,2,FALSE)</f>
        <v>Cruisers Bicycles</v>
      </c>
    </row>
    <row r="3475" customHeight="1" spans="1:10">
      <c r="A3475" s="1">
        <v>1205</v>
      </c>
      <c r="B3475" s="1">
        <v>5</v>
      </c>
      <c r="C3475" s="1">
        <v>92</v>
      </c>
      <c r="D3475" s="1">
        <v>1</v>
      </c>
      <c r="E3475" s="1">
        <v>209.99</v>
      </c>
      <c r="F3475" s="1">
        <v>0.1</v>
      </c>
      <c r="G3475">
        <f t="shared" si="54"/>
        <v>209.89</v>
      </c>
      <c r="H3475" t="str">
        <f>VLOOKUP(C3475,[1]products!$A:$B,2,FALSE)</f>
        <v>Haro Shredder 20 - 2017</v>
      </c>
      <c r="I3475">
        <f>VLOOKUP(C3475,[1]products!$A:$D,4,FALSE)</f>
        <v>1</v>
      </c>
      <c r="J3475" t="str">
        <f>VLOOKUP(I3475,[2]categories!$A$1:$B$8,2,FALSE)</f>
        <v>Children Bicycles</v>
      </c>
    </row>
    <row r="3476" customHeight="1" spans="1:10">
      <c r="A3476" s="1">
        <v>1206</v>
      </c>
      <c r="B3476" s="1">
        <v>1</v>
      </c>
      <c r="C3476" s="1">
        <v>73</v>
      </c>
      <c r="D3476" s="1">
        <v>1</v>
      </c>
      <c r="E3476" s="1">
        <v>749.99</v>
      </c>
      <c r="F3476" s="1">
        <v>0.07</v>
      </c>
      <c r="G3476">
        <f t="shared" si="54"/>
        <v>749.92</v>
      </c>
      <c r="H3476" t="str">
        <f>VLOOKUP(C3476,[1]products!$A:$B,2,FALSE)</f>
        <v>Sun Bicycles Brickell Tandem 7 - 2017</v>
      </c>
      <c r="I3476">
        <f>VLOOKUP(C3476,[1]products!$A:$D,4,FALSE)</f>
        <v>3</v>
      </c>
      <c r="J3476" t="str">
        <f>VLOOKUP(I3476,[2]categories!$A$1:$B$8,2,FALSE)</f>
        <v>Cruisers Bicycles</v>
      </c>
    </row>
    <row r="3477" customHeight="1" spans="1:10">
      <c r="A3477" s="1">
        <v>1206</v>
      </c>
      <c r="B3477" s="1">
        <v>2</v>
      </c>
      <c r="C3477" s="1">
        <v>29</v>
      </c>
      <c r="D3477" s="1">
        <v>1</v>
      </c>
      <c r="E3477" s="1">
        <v>999.99</v>
      </c>
      <c r="F3477" s="1">
        <v>0.2</v>
      </c>
      <c r="G3477">
        <f t="shared" si="54"/>
        <v>999.79</v>
      </c>
      <c r="H3477" t="str">
        <f>VLOOKUP(C3477,[1]products!$A:$B,2,FALSE)</f>
        <v>Trek X-Caliber 8 - 2017</v>
      </c>
      <c r="I3477">
        <f>VLOOKUP(C3477,[1]products!$A:$D,4,FALSE)</f>
        <v>6</v>
      </c>
      <c r="J3477" t="str">
        <f>VLOOKUP(I3477,[2]categories!$A$1:$B$8,2,FALSE)</f>
        <v>Mountain Bikes</v>
      </c>
    </row>
    <row r="3478" customHeight="1" spans="1:10">
      <c r="A3478" s="1">
        <v>1207</v>
      </c>
      <c r="B3478" s="1">
        <v>1</v>
      </c>
      <c r="C3478" s="1">
        <v>104</v>
      </c>
      <c r="D3478" s="1">
        <v>1</v>
      </c>
      <c r="E3478" s="1">
        <v>481.99</v>
      </c>
      <c r="F3478" s="1">
        <v>0.05</v>
      </c>
      <c r="G3478">
        <f t="shared" si="54"/>
        <v>481.94</v>
      </c>
      <c r="H3478" t="str">
        <f>VLOOKUP(C3478,[1]products!$A:$B,2,FALSE)</f>
        <v>Sun Bicycles Streamway - 2017</v>
      </c>
      <c r="I3478">
        <f>VLOOKUP(C3478,[1]products!$A:$D,4,FALSE)</f>
        <v>2</v>
      </c>
      <c r="J3478" t="str">
        <f>VLOOKUP(I3478,[2]categories!$A$1:$B$8,2,FALSE)</f>
        <v>Comfort Bicycles</v>
      </c>
    </row>
    <row r="3479" customHeight="1" spans="1:10">
      <c r="A3479" s="1">
        <v>1207</v>
      </c>
      <c r="B3479" s="1">
        <v>2</v>
      </c>
      <c r="C3479" s="1">
        <v>103</v>
      </c>
      <c r="D3479" s="1">
        <v>1</v>
      </c>
      <c r="E3479" s="1">
        <v>551.99</v>
      </c>
      <c r="F3479" s="1">
        <v>0.1</v>
      </c>
      <c r="G3479">
        <f t="shared" si="54"/>
        <v>551.89</v>
      </c>
      <c r="H3479" t="str">
        <f>VLOOKUP(C3479,[1]products!$A:$B,2,FALSE)</f>
        <v>Sun Bicycles Streamway 3 - 2017</v>
      </c>
      <c r="I3479">
        <f>VLOOKUP(C3479,[1]products!$A:$D,4,FALSE)</f>
        <v>2</v>
      </c>
      <c r="J3479" t="str">
        <f>VLOOKUP(I3479,[2]categories!$A$1:$B$8,2,FALSE)</f>
        <v>Comfort Bicycles</v>
      </c>
    </row>
    <row r="3480" customHeight="1" spans="1:10">
      <c r="A3480" s="1">
        <v>1207</v>
      </c>
      <c r="B3480" s="1">
        <v>3</v>
      </c>
      <c r="C3480" s="1">
        <v>23</v>
      </c>
      <c r="D3480" s="1">
        <v>1</v>
      </c>
      <c r="E3480" s="1">
        <v>299.99</v>
      </c>
      <c r="F3480" s="1">
        <v>0.07</v>
      </c>
      <c r="G3480">
        <f t="shared" si="54"/>
        <v>299.92</v>
      </c>
      <c r="H3480" t="str">
        <f>VLOOKUP(C3480,[1]products!$A:$B,2,FALSE)</f>
        <v>Electra Girl's Hawaii 1 (20-inch) - 2015/2016</v>
      </c>
      <c r="I3480">
        <f>VLOOKUP(C3480,[1]products!$A:$D,4,FALSE)</f>
        <v>1</v>
      </c>
      <c r="J3480" t="str">
        <f>VLOOKUP(I3480,[2]categories!$A$1:$B$8,2,FALSE)</f>
        <v>Children Bicycles</v>
      </c>
    </row>
    <row r="3481" customHeight="1" spans="1:10">
      <c r="A3481" s="1">
        <v>1208</v>
      </c>
      <c r="B3481" s="1">
        <v>1</v>
      </c>
      <c r="C3481" s="1">
        <v>12</v>
      </c>
      <c r="D3481" s="1">
        <v>1</v>
      </c>
      <c r="E3481" s="1">
        <v>549.99</v>
      </c>
      <c r="F3481" s="1">
        <v>0.2</v>
      </c>
      <c r="G3481">
        <f t="shared" si="54"/>
        <v>549.79</v>
      </c>
      <c r="H3481" t="str">
        <f>VLOOKUP(C3481,[1]products!$A:$B,2,FALSE)</f>
        <v>Electra Townie Original 21D - 2016</v>
      </c>
      <c r="I3481">
        <f>VLOOKUP(C3481,[1]products!$A:$D,4,FALSE)</f>
        <v>3</v>
      </c>
      <c r="J3481" t="str">
        <f>VLOOKUP(I3481,[2]categories!$A$1:$B$8,2,FALSE)</f>
        <v>Cruisers Bicycles</v>
      </c>
    </row>
    <row r="3482" customHeight="1" spans="1:10">
      <c r="A3482" s="1">
        <v>1208</v>
      </c>
      <c r="B3482" s="1">
        <v>2</v>
      </c>
      <c r="C3482" s="1">
        <v>65</v>
      </c>
      <c r="D3482" s="1">
        <v>2</v>
      </c>
      <c r="E3482" s="1">
        <v>346.99</v>
      </c>
      <c r="F3482" s="1">
        <v>0.07</v>
      </c>
      <c r="G3482">
        <f t="shared" si="54"/>
        <v>693.91</v>
      </c>
      <c r="H3482" t="str">
        <f>VLOOKUP(C3482,[1]products!$A:$B,2,FALSE)</f>
        <v>Sun Bicycles Lil Bolt Type-R - 2017</v>
      </c>
      <c r="I3482">
        <f>VLOOKUP(C3482,[1]products!$A:$D,4,FALSE)</f>
        <v>3</v>
      </c>
      <c r="J3482" t="str">
        <f>VLOOKUP(I3482,[2]categories!$A$1:$B$8,2,FALSE)</f>
        <v>Cruisers Bicycles</v>
      </c>
    </row>
    <row r="3483" customHeight="1" spans="1:10">
      <c r="A3483" s="1">
        <v>1208</v>
      </c>
      <c r="B3483" s="1">
        <v>3</v>
      </c>
      <c r="C3483" s="1">
        <v>86</v>
      </c>
      <c r="D3483" s="1">
        <v>2</v>
      </c>
      <c r="E3483" s="1">
        <v>149.99</v>
      </c>
      <c r="F3483" s="1">
        <v>0.2</v>
      </c>
      <c r="G3483">
        <f t="shared" si="54"/>
        <v>299.78</v>
      </c>
      <c r="H3483" t="str">
        <f>VLOOKUP(C3483,[1]products!$A:$B,2,FALSE)</f>
        <v>Trek Girl's Kickster - 2017</v>
      </c>
      <c r="I3483">
        <f>VLOOKUP(C3483,[1]products!$A:$D,4,FALSE)</f>
        <v>1</v>
      </c>
      <c r="J3483" t="str">
        <f>VLOOKUP(I3483,[2]categories!$A$1:$B$8,2,FALSE)</f>
        <v>Children Bicycles</v>
      </c>
    </row>
    <row r="3484" customHeight="1" spans="1:10">
      <c r="A3484" s="1">
        <v>1208</v>
      </c>
      <c r="B3484" s="1">
        <v>4</v>
      </c>
      <c r="C3484" s="1">
        <v>13</v>
      </c>
      <c r="D3484" s="1">
        <v>2</v>
      </c>
      <c r="E3484" s="1">
        <v>269.99</v>
      </c>
      <c r="F3484" s="1">
        <v>0.1</v>
      </c>
      <c r="G3484">
        <f t="shared" si="54"/>
        <v>539.88</v>
      </c>
      <c r="H3484" t="str">
        <f>VLOOKUP(C3484,[1]products!$A:$B,2,FALSE)</f>
        <v>Electra Cruiser 1 (24-Inch) - 2016</v>
      </c>
      <c r="I3484">
        <f>VLOOKUP(C3484,[1]products!$A:$D,4,FALSE)</f>
        <v>3</v>
      </c>
      <c r="J3484" t="str">
        <f>VLOOKUP(I3484,[2]categories!$A$1:$B$8,2,FALSE)</f>
        <v>Cruisers Bicycles</v>
      </c>
    </row>
    <row r="3485" customHeight="1" spans="1:10">
      <c r="A3485" s="1">
        <v>1208</v>
      </c>
      <c r="B3485" s="1">
        <v>5</v>
      </c>
      <c r="C3485" s="1">
        <v>87</v>
      </c>
      <c r="D3485" s="1">
        <v>1</v>
      </c>
      <c r="E3485" s="1">
        <v>189.99</v>
      </c>
      <c r="F3485" s="1">
        <v>0.07</v>
      </c>
      <c r="G3485">
        <f t="shared" si="54"/>
        <v>189.92</v>
      </c>
      <c r="H3485" t="str">
        <f>VLOOKUP(C3485,[1]products!$A:$B,2,FALSE)</f>
        <v>Trek Precaliber 12 Boys - 2017</v>
      </c>
      <c r="I3485">
        <f>VLOOKUP(C3485,[1]products!$A:$D,4,FALSE)</f>
        <v>1</v>
      </c>
      <c r="J3485" t="str">
        <f>VLOOKUP(I3485,[2]categories!$A$1:$B$8,2,FALSE)</f>
        <v>Children Bicycles</v>
      </c>
    </row>
    <row r="3486" customHeight="1" spans="1:10">
      <c r="A3486" s="1">
        <v>1209</v>
      </c>
      <c r="B3486" s="1">
        <v>1</v>
      </c>
      <c r="C3486" s="1">
        <v>89</v>
      </c>
      <c r="D3486" s="1">
        <v>1</v>
      </c>
      <c r="E3486" s="1">
        <v>209.99</v>
      </c>
      <c r="F3486" s="1">
        <v>0.07</v>
      </c>
      <c r="G3486">
        <f t="shared" si="54"/>
        <v>209.92</v>
      </c>
      <c r="H3486" t="str">
        <f>VLOOKUP(C3486,[1]products!$A:$B,2,FALSE)</f>
        <v>Trek Precaliber 16 Boys - 2017</v>
      </c>
      <c r="I3486">
        <f>VLOOKUP(C3486,[1]products!$A:$D,4,FALSE)</f>
        <v>1</v>
      </c>
      <c r="J3486" t="str">
        <f>VLOOKUP(I3486,[2]categories!$A$1:$B$8,2,FALSE)</f>
        <v>Children Bicycles</v>
      </c>
    </row>
    <row r="3487" customHeight="1" spans="1:10">
      <c r="A3487" s="1">
        <v>1209</v>
      </c>
      <c r="B3487" s="1">
        <v>2</v>
      </c>
      <c r="C3487" s="1">
        <v>97</v>
      </c>
      <c r="D3487" s="1">
        <v>1</v>
      </c>
      <c r="E3487" s="1">
        <v>349.99</v>
      </c>
      <c r="F3487" s="1">
        <v>0.05</v>
      </c>
      <c r="G3487">
        <f t="shared" si="54"/>
        <v>349.94</v>
      </c>
      <c r="H3487" t="str">
        <f>VLOOKUP(C3487,[1]products!$A:$B,2,FALSE)</f>
        <v>Electra Savannah 3i (20-inch) - Girl's - 2017</v>
      </c>
      <c r="I3487">
        <f>VLOOKUP(C3487,[1]products!$A:$D,4,FALSE)</f>
        <v>1</v>
      </c>
      <c r="J3487" t="str">
        <f>VLOOKUP(I3487,[2]categories!$A$1:$B$8,2,FALSE)</f>
        <v>Children Bicycles</v>
      </c>
    </row>
    <row r="3488" customHeight="1" spans="1:10">
      <c r="A3488" s="1">
        <v>1210</v>
      </c>
      <c r="B3488" s="1">
        <v>1</v>
      </c>
      <c r="C3488" s="1">
        <v>26</v>
      </c>
      <c r="D3488" s="1">
        <v>1</v>
      </c>
      <c r="E3488" s="1">
        <v>599.99</v>
      </c>
      <c r="F3488" s="1">
        <v>0.1</v>
      </c>
      <c r="G3488">
        <f t="shared" si="54"/>
        <v>599.89</v>
      </c>
      <c r="H3488" t="str">
        <f>VLOOKUP(C3488,[1]products!$A:$B,2,FALSE)</f>
        <v>Electra Townie Original 7D EQ - 2016</v>
      </c>
      <c r="I3488">
        <f>VLOOKUP(C3488,[1]products!$A:$D,4,FALSE)</f>
        <v>2</v>
      </c>
      <c r="J3488" t="str">
        <f>VLOOKUP(I3488,[2]categories!$A$1:$B$8,2,FALSE)</f>
        <v>Comfort Bicycles</v>
      </c>
    </row>
    <row r="3489" customHeight="1" spans="1:10">
      <c r="A3489" s="1">
        <v>1210</v>
      </c>
      <c r="B3489" s="1">
        <v>2</v>
      </c>
      <c r="C3489" s="1">
        <v>6</v>
      </c>
      <c r="D3489" s="1">
        <v>2</v>
      </c>
      <c r="E3489" s="1">
        <v>469.99</v>
      </c>
      <c r="F3489" s="1">
        <v>0.07</v>
      </c>
      <c r="G3489">
        <f t="shared" si="54"/>
        <v>939.91</v>
      </c>
      <c r="H3489" t="str">
        <f>VLOOKUP(C3489,[1]products!$A:$B,2,FALSE)</f>
        <v>Surly Ice Cream Truck Frameset - 2016</v>
      </c>
      <c r="I3489">
        <f>VLOOKUP(C3489,[1]products!$A:$D,4,FALSE)</f>
        <v>6</v>
      </c>
      <c r="J3489" t="str">
        <f>VLOOKUP(I3489,[2]categories!$A$1:$B$8,2,FALSE)</f>
        <v>Mountain Bikes</v>
      </c>
    </row>
    <row r="3490" customHeight="1" spans="1:10">
      <c r="A3490" s="1">
        <v>1210</v>
      </c>
      <c r="B3490" s="1">
        <v>3</v>
      </c>
      <c r="C3490" s="1">
        <v>78</v>
      </c>
      <c r="D3490" s="1">
        <v>2</v>
      </c>
      <c r="E3490" s="1">
        <v>647.99</v>
      </c>
      <c r="F3490" s="1">
        <v>0.05</v>
      </c>
      <c r="G3490">
        <f t="shared" si="54"/>
        <v>1295.93</v>
      </c>
      <c r="H3490" t="str">
        <f>VLOOKUP(C3490,[1]products!$A:$B,2,FALSE)</f>
        <v>Sun Bicycles Biscayne Tandem CB - 2017</v>
      </c>
      <c r="I3490">
        <f>VLOOKUP(C3490,[1]products!$A:$D,4,FALSE)</f>
        <v>3</v>
      </c>
      <c r="J3490" t="str">
        <f>VLOOKUP(I3490,[2]categories!$A$1:$B$8,2,FALSE)</f>
        <v>Cruisers Bicycles</v>
      </c>
    </row>
    <row r="3491" customHeight="1" spans="1:10">
      <c r="A3491" s="1">
        <v>1210</v>
      </c>
      <c r="B3491" s="1">
        <v>4</v>
      </c>
      <c r="C3491" s="1">
        <v>84</v>
      </c>
      <c r="D3491" s="1">
        <v>1</v>
      </c>
      <c r="E3491" s="1">
        <v>109.99</v>
      </c>
      <c r="F3491" s="1">
        <v>0.1</v>
      </c>
      <c r="G3491">
        <f t="shared" si="54"/>
        <v>109.89</v>
      </c>
      <c r="H3491" t="str">
        <f>VLOOKUP(C3491,[1]products!$A:$B,2,FALSE)</f>
        <v>Sun Bicycles Lil Kitt'n - 2017</v>
      </c>
      <c r="I3491">
        <f>VLOOKUP(C3491,[1]products!$A:$D,4,FALSE)</f>
        <v>1</v>
      </c>
      <c r="J3491" t="str">
        <f>VLOOKUP(I3491,[2]categories!$A$1:$B$8,2,FALSE)</f>
        <v>Children Bicycles</v>
      </c>
    </row>
    <row r="3492" customHeight="1" spans="1:10">
      <c r="A3492" s="1">
        <v>1210</v>
      </c>
      <c r="B3492" s="1">
        <v>5</v>
      </c>
      <c r="C3492" s="1">
        <v>35</v>
      </c>
      <c r="D3492" s="1">
        <v>2</v>
      </c>
      <c r="E3492" s="1">
        <v>832.99</v>
      </c>
      <c r="F3492" s="1">
        <v>0.05</v>
      </c>
      <c r="G3492">
        <f t="shared" si="54"/>
        <v>1665.93</v>
      </c>
      <c r="H3492" t="str">
        <f>VLOOKUP(C3492,[1]products!$A:$B,2,FALSE)</f>
        <v>Sun Bicycles Spider 3i - 2017</v>
      </c>
      <c r="I3492">
        <f>VLOOKUP(C3492,[1]products!$A:$D,4,FALSE)</f>
        <v>6</v>
      </c>
      <c r="J3492" t="str">
        <f>VLOOKUP(I3492,[2]categories!$A$1:$B$8,2,FALSE)</f>
        <v>Mountain Bikes</v>
      </c>
    </row>
    <row r="3493" customHeight="1" spans="1:10">
      <c r="A3493" s="1">
        <v>1211</v>
      </c>
      <c r="B3493" s="1">
        <v>1</v>
      </c>
      <c r="C3493" s="1">
        <v>15</v>
      </c>
      <c r="D3493" s="1">
        <v>2</v>
      </c>
      <c r="E3493" s="1">
        <v>529.99</v>
      </c>
      <c r="F3493" s="1">
        <v>0.2</v>
      </c>
      <c r="G3493">
        <f t="shared" si="54"/>
        <v>1059.78</v>
      </c>
      <c r="H3493" t="str">
        <f>VLOOKUP(C3493,[1]products!$A:$B,2,FALSE)</f>
        <v>Electra Moto 1 - 2016</v>
      </c>
      <c r="I3493">
        <f>VLOOKUP(C3493,[1]products!$A:$D,4,FALSE)</f>
        <v>3</v>
      </c>
      <c r="J3493" t="str">
        <f>VLOOKUP(I3493,[2]categories!$A$1:$B$8,2,FALSE)</f>
        <v>Cruisers Bicycles</v>
      </c>
    </row>
    <row r="3494" customHeight="1" spans="1:10">
      <c r="A3494" s="1">
        <v>1211</v>
      </c>
      <c r="B3494" s="1">
        <v>2</v>
      </c>
      <c r="C3494" s="1">
        <v>59</v>
      </c>
      <c r="D3494" s="1">
        <v>1</v>
      </c>
      <c r="E3494" s="1">
        <v>2599.99</v>
      </c>
      <c r="F3494" s="1">
        <v>0.05</v>
      </c>
      <c r="G3494">
        <f t="shared" si="54"/>
        <v>2599.94</v>
      </c>
      <c r="H3494" t="str">
        <f>VLOOKUP(C3494,[1]products!$A:$B,2,FALSE)</f>
        <v>Trek Domane S 5 Disc - 2017</v>
      </c>
      <c r="I3494">
        <f>VLOOKUP(C3494,[1]products!$A:$D,4,FALSE)</f>
        <v>7</v>
      </c>
      <c r="J3494" t="str">
        <f>VLOOKUP(I3494,[2]categories!$A$1:$B$8,2,FALSE)</f>
        <v>Road Bikes</v>
      </c>
    </row>
    <row r="3495" customHeight="1" spans="1:10">
      <c r="A3495" s="1">
        <v>1211</v>
      </c>
      <c r="B3495" s="1">
        <v>3</v>
      </c>
      <c r="C3495" s="1">
        <v>92</v>
      </c>
      <c r="D3495" s="1">
        <v>1</v>
      </c>
      <c r="E3495" s="1">
        <v>209.99</v>
      </c>
      <c r="F3495" s="1">
        <v>0.2</v>
      </c>
      <c r="G3495">
        <f t="shared" si="54"/>
        <v>209.79</v>
      </c>
      <c r="H3495" t="str">
        <f>VLOOKUP(C3495,[1]products!$A:$B,2,FALSE)</f>
        <v>Haro Shredder 20 - 2017</v>
      </c>
      <c r="I3495">
        <f>VLOOKUP(C3495,[1]products!$A:$D,4,FALSE)</f>
        <v>1</v>
      </c>
      <c r="J3495" t="str">
        <f>VLOOKUP(I3495,[2]categories!$A$1:$B$8,2,FALSE)</f>
        <v>Children Bicycles</v>
      </c>
    </row>
    <row r="3496" customHeight="1" spans="1:10">
      <c r="A3496" s="1">
        <v>1211</v>
      </c>
      <c r="B3496" s="1">
        <v>4</v>
      </c>
      <c r="C3496" s="1">
        <v>93</v>
      </c>
      <c r="D3496" s="1">
        <v>1</v>
      </c>
      <c r="E3496" s="1">
        <v>209.99</v>
      </c>
      <c r="F3496" s="1">
        <v>0.1</v>
      </c>
      <c r="G3496">
        <f t="shared" si="54"/>
        <v>209.89</v>
      </c>
      <c r="H3496" t="str">
        <f>VLOOKUP(C3496,[1]products!$A:$B,2,FALSE)</f>
        <v>Haro Shredder 20 Girls - 2017</v>
      </c>
      <c r="I3496">
        <f>VLOOKUP(C3496,[1]products!$A:$D,4,FALSE)</f>
        <v>1</v>
      </c>
      <c r="J3496" t="str">
        <f>VLOOKUP(I3496,[2]categories!$A$1:$B$8,2,FALSE)</f>
        <v>Children Bicycles</v>
      </c>
    </row>
    <row r="3497" customHeight="1" spans="1:10">
      <c r="A3497" s="1">
        <v>1211</v>
      </c>
      <c r="B3497" s="1">
        <v>5</v>
      </c>
      <c r="C3497" s="1">
        <v>108</v>
      </c>
      <c r="D3497" s="1">
        <v>2</v>
      </c>
      <c r="E3497" s="1">
        <v>449.99</v>
      </c>
      <c r="F3497" s="1">
        <v>0.2</v>
      </c>
      <c r="G3497">
        <f t="shared" si="54"/>
        <v>899.78</v>
      </c>
      <c r="H3497" t="str">
        <f>VLOOKUP(C3497,[1]products!$A:$B,2,FALSE)</f>
        <v>Sun Bicycles Cruz 3 - Women's - 2017</v>
      </c>
      <c r="I3497">
        <f>VLOOKUP(C3497,[1]products!$A:$D,4,FALSE)</f>
        <v>2</v>
      </c>
      <c r="J3497" t="str">
        <f>VLOOKUP(I3497,[2]categories!$A$1:$B$8,2,FALSE)</f>
        <v>Comfort Bicycles</v>
      </c>
    </row>
    <row r="3498" customHeight="1" spans="1:10">
      <c r="A3498" s="1">
        <v>1212</v>
      </c>
      <c r="B3498" s="1">
        <v>1</v>
      </c>
      <c r="C3498" s="1">
        <v>74</v>
      </c>
      <c r="D3498" s="1">
        <v>1</v>
      </c>
      <c r="E3498" s="1">
        <v>439.99</v>
      </c>
      <c r="F3498" s="1">
        <v>0.1</v>
      </c>
      <c r="G3498">
        <f t="shared" si="54"/>
        <v>439.89</v>
      </c>
      <c r="H3498" t="str">
        <f>VLOOKUP(C3498,[1]products!$A:$B,2,FALSE)</f>
        <v>Electra Cruiser Lux 1 - 2017</v>
      </c>
      <c r="I3498">
        <f>VLOOKUP(C3498,[1]products!$A:$D,4,FALSE)</f>
        <v>3</v>
      </c>
      <c r="J3498" t="str">
        <f>VLOOKUP(I3498,[2]categories!$A$1:$B$8,2,FALSE)</f>
        <v>Cruisers Bicycles</v>
      </c>
    </row>
    <row r="3499" customHeight="1" spans="1:10">
      <c r="A3499" s="1">
        <v>1212</v>
      </c>
      <c r="B3499" s="1">
        <v>2</v>
      </c>
      <c r="C3499" s="1">
        <v>37</v>
      </c>
      <c r="D3499" s="1">
        <v>2</v>
      </c>
      <c r="E3499" s="1">
        <v>379.99</v>
      </c>
      <c r="F3499" s="1">
        <v>0.07</v>
      </c>
      <c r="G3499">
        <f t="shared" si="54"/>
        <v>759.91</v>
      </c>
      <c r="H3499" t="str">
        <f>VLOOKUP(C3499,[1]products!$A:$B,2,FALSE)</f>
        <v>Haro Flightline One ST - 2017</v>
      </c>
      <c r="I3499">
        <f>VLOOKUP(C3499,[1]products!$A:$D,4,FALSE)</f>
        <v>6</v>
      </c>
      <c r="J3499" t="str">
        <f>VLOOKUP(I3499,[2]categories!$A$1:$B$8,2,FALSE)</f>
        <v>Mountain Bikes</v>
      </c>
    </row>
    <row r="3500" customHeight="1" spans="1:10">
      <c r="A3500" s="1">
        <v>1212</v>
      </c>
      <c r="B3500" s="1">
        <v>3</v>
      </c>
      <c r="C3500" s="1">
        <v>39</v>
      </c>
      <c r="D3500" s="1">
        <v>2</v>
      </c>
      <c r="E3500" s="1">
        <v>1499.99</v>
      </c>
      <c r="F3500" s="1">
        <v>0.05</v>
      </c>
      <c r="G3500">
        <f t="shared" si="54"/>
        <v>2999.93</v>
      </c>
      <c r="H3500" t="str">
        <f>VLOOKUP(C3500,[1]products!$A:$B,2,FALSE)</f>
        <v>Trek Stache 5 - 2017</v>
      </c>
      <c r="I3500">
        <f>VLOOKUP(C3500,[1]products!$A:$D,4,FALSE)</f>
        <v>6</v>
      </c>
      <c r="J3500" t="str">
        <f>VLOOKUP(I3500,[2]categories!$A$1:$B$8,2,FALSE)</f>
        <v>Mountain Bikes</v>
      </c>
    </row>
    <row r="3501" customHeight="1" spans="1:10">
      <c r="A3501" s="1">
        <v>1212</v>
      </c>
      <c r="B3501" s="1">
        <v>4</v>
      </c>
      <c r="C3501" s="1">
        <v>68</v>
      </c>
      <c r="D3501" s="1">
        <v>2</v>
      </c>
      <c r="E3501" s="1">
        <v>449.99</v>
      </c>
      <c r="F3501" s="1">
        <v>0.07</v>
      </c>
      <c r="G3501">
        <f t="shared" si="54"/>
        <v>899.91</v>
      </c>
      <c r="H3501" t="str">
        <f>VLOOKUP(C3501,[1]products!$A:$B,2,FALSE)</f>
        <v>Sun Bicycles Cruz 3 - 2017</v>
      </c>
      <c r="I3501">
        <f>VLOOKUP(C3501,[1]products!$A:$D,4,FALSE)</f>
        <v>3</v>
      </c>
      <c r="J3501" t="str">
        <f>VLOOKUP(I3501,[2]categories!$A$1:$B$8,2,FALSE)</f>
        <v>Cruisers Bicycles</v>
      </c>
    </row>
    <row r="3502" customHeight="1" spans="1:10">
      <c r="A3502" s="1">
        <v>1213</v>
      </c>
      <c r="B3502" s="1">
        <v>1</v>
      </c>
      <c r="C3502" s="1">
        <v>64</v>
      </c>
      <c r="D3502" s="1">
        <v>2</v>
      </c>
      <c r="E3502" s="1">
        <v>489.99</v>
      </c>
      <c r="F3502" s="1">
        <v>0.07</v>
      </c>
      <c r="G3502">
        <f t="shared" si="54"/>
        <v>979.91</v>
      </c>
      <c r="H3502" t="str">
        <f>VLOOKUP(C3502,[1]products!$A:$B,2,FALSE)</f>
        <v>Electra Townie Original 7D - 2017</v>
      </c>
      <c r="I3502">
        <f>VLOOKUP(C3502,[1]products!$A:$D,4,FALSE)</f>
        <v>3</v>
      </c>
      <c r="J3502" t="str">
        <f>VLOOKUP(I3502,[2]categories!$A$1:$B$8,2,FALSE)</f>
        <v>Cruisers Bicycles</v>
      </c>
    </row>
    <row r="3503" customHeight="1" spans="1:10">
      <c r="A3503" s="1">
        <v>1213</v>
      </c>
      <c r="B3503" s="1">
        <v>2</v>
      </c>
      <c r="C3503" s="1">
        <v>78</v>
      </c>
      <c r="D3503" s="1">
        <v>1</v>
      </c>
      <c r="E3503" s="1">
        <v>647.99</v>
      </c>
      <c r="F3503" s="1">
        <v>0.07</v>
      </c>
      <c r="G3503">
        <f t="shared" si="54"/>
        <v>647.92</v>
      </c>
      <c r="H3503" t="str">
        <f>VLOOKUP(C3503,[1]products!$A:$B,2,FALSE)</f>
        <v>Sun Bicycles Biscayne Tandem CB - 2017</v>
      </c>
      <c r="I3503">
        <f>VLOOKUP(C3503,[1]products!$A:$D,4,FALSE)</f>
        <v>3</v>
      </c>
      <c r="J3503" t="str">
        <f>VLOOKUP(I3503,[2]categories!$A$1:$B$8,2,FALSE)</f>
        <v>Cruisers Bicycles</v>
      </c>
    </row>
    <row r="3504" customHeight="1" spans="1:10">
      <c r="A3504" s="1">
        <v>1213</v>
      </c>
      <c r="B3504" s="1">
        <v>3</v>
      </c>
      <c r="C3504" s="1">
        <v>102</v>
      </c>
      <c r="D3504" s="1">
        <v>2</v>
      </c>
      <c r="E3504" s="1">
        <v>489.99</v>
      </c>
      <c r="F3504" s="1">
        <v>0.1</v>
      </c>
      <c r="G3504">
        <f t="shared" si="54"/>
        <v>979.88</v>
      </c>
      <c r="H3504" t="str">
        <f>VLOOKUP(C3504,[1]products!$A:$B,2,FALSE)</f>
        <v>Electra Townie Original 7D - 2017</v>
      </c>
      <c r="I3504">
        <f>VLOOKUP(C3504,[1]products!$A:$D,4,FALSE)</f>
        <v>2</v>
      </c>
      <c r="J3504" t="str">
        <f>VLOOKUP(I3504,[2]categories!$A$1:$B$8,2,FALSE)</f>
        <v>Comfort Bicycles</v>
      </c>
    </row>
    <row r="3505" customHeight="1" spans="1:10">
      <c r="A3505" s="1">
        <v>1213</v>
      </c>
      <c r="B3505" s="1">
        <v>4</v>
      </c>
      <c r="C3505" s="1">
        <v>15</v>
      </c>
      <c r="D3505" s="1">
        <v>1</v>
      </c>
      <c r="E3505" s="1">
        <v>529.99</v>
      </c>
      <c r="F3505" s="1">
        <v>0.05</v>
      </c>
      <c r="G3505">
        <f t="shared" si="54"/>
        <v>529.94</v>
      </c>
      <c r="H3505" t="str">
        <f>VLOOKUP(C3505,[1]products!$A:$B,2,FALSE)</f>
        <v>Electra Moto 1 - 2016</v>
      </c>
      <c r="I3505">
        <f>VLOOKUP(C3505,[1]products!$A:$D,4,FALSE)</f>
        <v>3</v>
      </c>
      <c r="J3505" t="str">
        <f>VLOOKUP(I3505,[2]categories!$A$1:$B$8,2,FALSE)</f>
        <v>Cruisers Bicycles</v>
      </c>
    </row>
    <row r="3506" customHeight="1" spans="1:10">
      <c r="A3506" s="1">
        <v>1214</v>
      </c>
      <c r="B3506" s="1">
        <v>1</v>
      </c>
      <c r="C3506" s="1">
        <v>9</v>
      </c>
      <c r="D3506" s="1">
        <v>2</v>
      </c>
      <c r="E3506" s="1">
        <v>2999.99</v>
      </c>
      <c r="F3506" s="1">
        <v>0.05</v>
      </c>
      <c r="G3506">
        <f t="shared" si="54"/>
        <v>5999.93</v>
      </c>
      <c r="H3506" t="str">
        <f>VLOOKUP(C3506,[1]products!$A:$B,2,FALSE)</f>
        <v>Trek Conduit+ - 2016</v>
      </c>
      <c r="I3506">
        <f>VLOOKUP(C3506,[1]products!$A:$D,4,FALSE)</f>
        <v>5</v>
      </c>
      <c r="J3506" t="str">
        <f>VLOOKUP(I3506,[2]categories!$A$1:$B$8,2,FALSE)</f>
        <v>Electric Bikes</v>
      </c>
    </row>
    <row r="3507" customHeight="1" spans="1:10">
      <c r="A3507" s="1">
        <v>1214</v>
      </c>
      <c r="B3507" s="1">
        <v>2</v>
      </c>
      <c r="C3507" s="1">
        <v>7</v>
      </c>
      <c r="D3507" s="1">
        <v>1</v>
      </c>
      <c r="E3507" s="1">
        <v>3999.99</v>
      </c>
      <c r="F3507" s="1">
        <v>0.2</v>
      </c>
      <c r="G3507">
        <f t="shared" si="54"/>
        <v>3999.79</v>
      </c>
      <c r="H3507" t="str">
        <f>VLOOKUP(C3507,[1]products!$A:$B,2,FALSE)</f>
        <v>Trek Slash 8 27.5 - 2016</v>
      </c>
      <c r="I3507">
        <f>VLOOKUP(C3507,[1]products!$A:$D,4,FALSE)</f>
        <v>6</v>
      </c>
      <c r="J3507" t="str">
        <f>VLOOKUP(I3507,[2]categories!$A$1:$B$8,2,FALSE)</f>
        <v>Mountain Bikes</v>
      </c>
    </row>
    <row r="3508" customHeight="1" spans="1:10">
      <c r="A3508" s="1">
        <v>1214</v>
      </c>
      <c r="B3508" s="1">
        <v>3</v>
      </c>
      <c r="C3508" s="1">
        <v>22</v>
      </c>
      <c r="D3508" s="1">
        <v>1</v>
      </c>
      <c r="E3508" s="1">
        <v>269.99</v>
      </c>
      <c r="F3508" s="1">
        <v>0.05</v>
      </c>
      <c r="G3508">
        <f t="shared" si="54"/>
        <v>269.94</v>
      </c>
      <c r="H3508" t="str">
        <f>VLOOKUP(C3508,[1]products!$A:$B,2,FALSE)</f>
        <v>Electra Girl's Hawaii 1 (16-inch) - 2015/2016</v>
      </c>
      <c r="I3508">
        <f>VLOOKUP(C3508,[1]products!$A:$D,4,FALSE)</f>
        <v>1</v>
      </c>
      <c r="J3508" t="str">
        <f>VLOOKUP(I3508,[2]categories!$A$1:$B$8,2,FALSE)</f>
        <v>Children Bicycles</v>
      </c>
    </row>
    <row r="3509" customHeight="1" spans="1:10">
      <c r="A3509" s="1">
        <v>1214</v>
      </c>
      <c r="B3509" s="1">
        <v>4</v>
      </c>
      <c r="C3509" s="1">
        <v>77</v>
      </c>
      <c r="D3509" s="1">
        <v>2</v>
      </c>
      <c r="E3509" s="1">
        <v>799.99</v>
      </c>
      <c r="F3509" s="1">
        <v>0.1</v>
      </c>
      <c r="G3509">
        <f t="shared" si="54"/>
        <v>1599.88</v>
      </c>
      <c r="H3509" t="str">
        <f>VLOOKUP(C3509,[1]products!$A:$B,2,FALSE)</f>
        <v>Electra Glam Punk 3i Ladies' - 2017</v>
      </c>
      <c r="I3509">
        <f>VLOOKUP(C3509,[1]products!$A:$D,4,FALSE)</f>
        <v>3</v>
      </c>
      <c r="J3509" t="str">
        <f>VLOOKUP(I3509,[2]categories!$A$1:$B$8,2,FALSE)</f>
        <v>Cruisers Bicycles</v>
      </c>
    </row>
    <row r="3510" customHeight="1" spans="1:10">
      <c r="A3510" s="1">
        <v>1214</v>
      </c>
      <c r="B3510" s="1">
        <v>5</v>
      </c>
      <c r="C3510" s="1">
        <v>67</v>
      </c>
      <c r="D3510" s="1">
        <v>2</v>
      </c>
      <c r="E3510" s="1">
        <v>250.99</v>
      </c>
      <c r="F3510" s="1">
        <v>0.2</v>
      </c>
      <c r="G3510">
        <f t="shared" si="54"/>
        <v>501.78</v>
      </c>
      <c r="H3510" t="str">
        <f>VLOOKUP(C3510,[1]products!$A:$B,2,FALSE)</f>
        <v>Sun Bicycles Revolutions 24 - Girl's - 2017</v>
      </c>
      <c r="I3510">
        <f>VLOOKUP(C3510,[1]products!$A:$D,4,FALSE)</f>
        <v>3</v>
      </c>
      <c r="J3510" t="str">
        <f>VLOOKUP(I3510,[2]categories!$A$1:$B$8,2,FALSE)</f>
        <v>Cruisers Bicycles</v>
      </c>
    </row>
    <row r="3511" customHeight="1" spans="1:10">
      <c r="A3511" s="1">
        <v>1215</v>
      </c>
      <c r="B3511" s="1">
        <v>1</v>
      </c>
      <c r="C3511" s="1">
        <v>73</v>
      </c>
      <c r="D3511" s="1">
        <v>2</v>
      </c>
      <c r="E3511" s="1">
        <v>749.99</v>
      </c>
      <c r="F3511" s="1">
        <v>0.1</v>
      </c>
      <c r="G3511">
        <f t="shared" si="54"/>
        <v>1499.88</v>
      </c>
      <c r="H3511" t="str">
        <f>VLOOKUP(C3511,[1]products!$A:$B,2,FALSE)</f>
        <v>Sun Bicycles Brickell Tandem 7 - 2017</v>
      </c>
      <c r="I3511">
        <f>VLOOKUP(C3511,[1]products!$A:$D,4,FALSE)</f>
        <v>3</v>
      </c>
      <c r="J3511" t="str">
        <f>VLOOKUP(I3511,[2]categories!$A$1:$B$8,2,FALSE)</f>
        <v>Cruisers Bicycles</v>
      </c>
    </row>
    <row r="3512" customHeight="1" spans="1:10">
      <c r="A3512" s="1">
        <v>1215</v>
      </c>
      <c r="B3512" s="1">
        <v>2</v>
      </c>
      <c r="C3512" s="1">
        <v>10</v>
      </c>
      <c r="D3512" s="1">
        <v>2</v>
      </c>
      <c r="E3512" s="1">
        <v>1549</v>
      </c>
      <c r="F3512" s="1">
        <v>0.07</v>
      </c>
      <c r="G3512">
        <f t="shared" si="54"/>
        <v>3097.93</v>
      </c>
      <c r="H3512" t="str">
        <f>VLOOKUP(C3512,[1]products!$A:$B,2,FALSE)</f>
        <v>Surly Straggler - 2016</v>
      </c>
      <c r="I3512">
        <f>VLOOKUP(C3512,[1]products!$A:$D,4,FALSE)</f>
        <v>4</v>
      </c>
      <c r="J3512" t="str">
        <f>VLOOKUP(I3512,[2]categories!$A$1:$B$8,2,FALSE)</f>
        <v>Cyclocross Bicycles</v>
      </c>
    </row>
    <row r="3513" customHeight="1" spans="1:10">
      <c r="A3513" s="1">
        <v>1216</v>
      </c>
      <c r="B3513" s="1">
        <v>1</v>
      </c>
      <c r="C3513" s="1">
        <v>64</v>
      </c>
      <c r="D3513" s="1">
        <v>2</v>
      </c>
      <c r="E3513" s="1">
        <v>489.99</v>
      </c>
      <c r="F3513" s="1">
        <v>0.1</v>
      </c>
      <c r="G3513">
        <f t="shared" si="54"/>
        <v>979.88</v>
      </c>
      <c r="H3513" t="str">
        <f>VLOOKUP(C3513,[1]products!$A:$B,2,FALSE)</f>
        <v>Electra Townie Original 7D - 2017</v>
      </c>
      <c r="I3513">
        <f>VLOOKUP(C3513,[1]products!$A:$D,4,FALSE)</f>
        <v>3</v>
      </c>
      <c r="J3513" t="str">
        <f>VLOOKUP(I3513,[2]categories!$A$1:$B$8,2,FALSE)</f>
        <v>Cruisers Bicycles</v>
      </c>
    </row>
    <row r="3514" customHeight="1" spans="1:10">
      <c r="A3514" s="1">
        <v>1216</v>
      </c>
      <c r="B3514" s="1">
        <v>2</v>
      </c>
      <c r="C3514" s="1">
        <v>54</v>
      </c>
      <c r="D3514" s="1">
        <v>1</v>
      </c>
      <c r="E3514" s="1">
        <v>3199.99</v>
      </c>
      <c r="F3514" s="1">
        <v>0.05</v>
      </c>
      <c r="G3514">
        <f t="shared" si="54"/>
        <v>3199.94</v>
      </c>
      <c r="H3514" t="str">
        <f>VLOOKUP(C3514,[1]products!$A:$B,2,FALSE)</f>
        <v>Trek Domane SL Disc Frameset - 2017</v>
      </c>
      <c r="I3514">
        <f>VLOOKUP(C3514,[1]products!$A:$D,4,FALSE)</f>
        <v>7</v>
      </c>
      <c r="J3514" t="str">
        <f>VLOOKUP(I3514,[2]categories!$A$1:$B$8,2,FALSE)</f>
        <v>Road Bikes</v>
      </c>
    </row>
    <row r="3515" customHeight="1" spans="1:10">
      <c r="A3515" s="1">
        <v>1216</v>
      </c>
      <c r="B3515" s="1">
        <v>3</v>
      </c>
      <c r="C3515" s="1">
        <v>19</v>
      </c>
      <c r="D3515" s="1">
        <v>1</v>
      </c>
      <c r="E3515" s="1">
        <v>449</v>
      </c>
      <c r="F3515" s="1">
        <v>0.2</v>
      </c>
      <c r="G3515">
        <f t="shared" si="54"/>
        <v>448.8</v>
      </c>
      <c r="H3515" t="str">
        <f>VLOOKUP(C3515,[1]products!$A:$B,2,FALSE)</f>
        <v>Pure Cycles William 3-Speed - 2016</v>
      </c>
      <c r="I3515">
        <f>VLOOKUP(C3515,[1]products!$A:$D,4,FALSE)</f>
        <v>3</v>
      </c>
      <c r="J3515" t="str">
        <f>VLOOKUP(I3515,[2]categories!$A$1:$B$8,2,FALSE)</f>
        <v>Cruisers Bicycles</v>
      </c>
    </row>
    <row r="3516" customHeight="1" spans="1:10">
      <c r="A3516" s="1">
        <v>1216</v>
      </c>
      <c r="B3516" s="1">
        <v>4</v>
      </c>
      <c r="C3516" s="1">
        <v>110</v>
      </c>
      <c r="D3516" s="1">
        <v>2</v>
      </c>
      <c r="E3516" s="1">
        <v>470.99</v>
      </c>
      <c r="F3516" s="1">
        <v>0.07</v>
      </c>
      <c r="G3516">
        <f t="shared" si="54"/>
        <v>941.91</v>
      </c>
      <c r="H3516" t="str">
        <f>VLOOKUP(C3516,[1]products!$A:$B,2,FALSE)</f>
        <v>Sun Bicycles Drifter 7 - 2017</v>
      </c>
      <c r="I3516">
        <f>VLOOKUP(C3516,[1]products!$A:$D,4,FALSE)</f>
        <v>2</v>
      </c>
      <c r="J3516" t="str">
        <f>VLOOKUP(I3516,[2]categories!$A$1:$B$8,2,FALSE)</f>
        <v>Comfort Bicycles</v>
      </c>
    </row>
    <row r="3517" customHeight="1" spans="1:10">
      <c r="A3517" s="1">
        <v>1216</v>
      </c>
      <c r="B3517" s="1">
        <v>5</v>
      </c>
      <c r="C3517" s="1">
        <v>43</v>
      </c>
      <c r="D3517" s="1">
        <v>1</v>
      </c>
      <c r="E3517" s="1">
        <v>5299.99</v>
      </c>
      <c r="F3517" s="1">
        <v>0.1</v>
      </c>
      <c r="G3517">
        <f t="shared" si="54"/>
        <v>5299.89</v>
      </c>
      <c r="H3517" t="str">
        <f>VLOOKUP(C3517,[1]products!$A:$B,2,FALSE)</f>
        <v>Trek Fuel EX 9.8 27.5 Plus - 2017</v>
      </c>
      <c r="I3517">
        <f>VLOOKUP(C3517,[1]products!$A:$D,4,FALSE)</f>
        <v>6</v>
      </c>
      <c r="J3517" t="str">
        <f>VLOOKUP(I3517,[2]categories!$A$1:$B$8,2,FALSE)</f>
        <v>Mountain Bikes</v>
      </c>
    </row>
    <row r="3518" customHeight="1" spans="1:10">
      <c r="A3518" s="1">
        <v>1217</v>
      </c>
      <c r="B3518" s="1">
        <v>1</v>
      </c>
      <c r="C3518" s="1">
        <v>73</v>
      </c>
      <c r="D3518" s="1">
        <v>1</v>
      </c>
      <c r="E3518" s="1">
        <v>749.99</v>
      </c>
      <c r="F3518" s="1">
        <v>0.05</v>
      </c>
      <c r="G3518">
        <f t="shared" si="54"/>
        <v>749.94</v>
      </c>
      <c r="H3518" t="str">
        <f>VLOOKUP(C3518,[1]products!$A:$B,2,FALSE)</f>
        <v>Sun Bicycles Brickell Tandem 7 - 2017</v>
      </c>
      <c r="I3518">
        <f>VLOOKUP(C3518,[1]products!$A:$D,4,FALSE)</f>
        <v>3</v>
      </c>
      <c r="J3518" t="str">
        <f>VLOOKUP(I3518,[2]categories!$A$1:$B$8,2,FALSE)</f>
        <v>Cruisers Bicycles</v>
      </c>
    </row>
    <row r="3519" customHeight="1" spans="1:10">
      <c r="A3519" s="1">
        <v>1217</v>
      </c>
      <c r="B3519" s="1">
        <v>2</v>
      </c>
      <c r="C3519" s="1">
        <v>106</v>
      </c>
      <c r="D3519" s="1">
        <v>2</v>
      </c>
      <c r="E3519" s="1">
        <v>449.99</v>
      </c>
      <c r="F3519" s="1">
        <v>0.05</v>
      </c>
      <c r="G3519">
        <f t="shared" si="54"/>
        <v>899.93</v>
      </c>
      <c r="H3519" t="str">
        <f>VLOOKUP(C3519,[1]products!$A:$B,2,FALSE)</f>
        <v>Sun Bicycles Cruz 3 - 2017</v>
      </c>
      <c r="I3519">
        <f>VLOOKUP(C3519,[1]products!$A:$D,4,FALSE)</f>
        <v>2</v>
      </c>
      <c r="J3519" t="str">
        <f>VLOOKUP(I3519,[2]categories!$A$1:$B$8,2,FALSE)</f>
        <v>Comfort Bicycles</v>
      </c>
    </row>
    <row r="3520" customHeight="1" spans="1:10">
      <c r="A3520" s="1">
        <v>1218</v>
      </c>
      <c r="B3520" s="1">
        <v>1</v>
      </c>
      <c r="C3520" s="1">
        <v>32</v>
      </c>
      <c r="D3520" s="1">
        <v>1</v>
      </c>
      <c r="E3520" s="1">
        <v>469.99</v>
      </c>
      <c r="F3520" s="1">
        <v>0.07</v>
      </c>
      <c r="G3520">
        <f t="shared" si="54"/>
        <v>469.92</v>
      </c>
      <c r="H3520" t="str">
        <f>VLOOKUP(C3520,[1]products!$A:$B,2,FALSE)</f>
        <v>Trek Farley Alloy Frameset - 2017</v>
      </c>
      <c r="I3520">
        <f>VLOOKUP(C3520,[1]products!$A:$D,4,FALSE)</f>
        <v>6</v>
      </c>
      <c r="J3520" t="str">
        <f>VLOOKUP(I3520,[2]categories!$A$1:$B$8,2,FALSE)</f>
        <v>Mountain Bikes</v>
      </c>
    </row>
    <row r="3521" customHeight="1" spans="1:10">
      <c r="A3521" s="1">
        <v>1218</v>
      </c>
      <c r="B3521" s="1">
        <v>2</v>
      </c>
      <c r="C3521" s="1">
        <v>102</v>
      </c>
      <c r="D3521" s="1">
        <v>2</v>
      </c>
      <c r="E3521" s="1">
        <v>489.99</v>
      </c>
      <c r="F3521" s="1">
        <v>0.05</v>
      </c>
      <c r="G3521">
        <f t="shared" si="54"/>
        <v>979.93</v>
      </c>
      <c r="H3521" t="str">
        <f>VLOOKUP(C3521,[1]products!$A:$B,2,FALSE)</f>
        <v>Electra Townie Original 7D - 2017</v>
      </c>
      <c r="I3521">
        <f>VLOOKUP(C3521,[1]products!$A:$D,4,FALSE)</f>
        <v>2</v>
      </c>
      <c r="J3521" t="str">
        <f>VLOOKUP(I3521,[2]categories!$A$1:$B$8,2,FALSE)</f>
        <v>Comfort Bicycles</v>
      </c>
    </row>
    <row r="3522" customHeight="1" spans="1:10">
      <c r="A3522" s="1">
        <v>1219</v>
      </c>
      <c r="B3522" s="1">
        <v>1</v>
      </c>
      <c r="C3522" s="1">
        <v>17</v>
      </c>
      <c r="D3522" s="1">
        <v>2</v>
      </c>
      <c r="E3522" s="1">
        <v>429</v>
      </c>
      <c r="F3522" s="1">
        <v>0.07</v>
      </c>
      <c r="G3522">
        <f t="shared" si="54"/>
        <v>857.93</v>
      </c>
      <c r="H3522" t="str">
        <f>VLOOKUP(C3522,[1]products!$A:$B,2,FALSE)</f>
        <v>Pure Cycles Vine 8-Speed - 2016</v>
      </c>
      <c r="I3522">
        <f>VLOOKUP(C3522,[1]products!$A:$D,4,FALSE)</f>
        <v>3</v>
      </c>
      <c r="J3522" t="str">
        <f>VLOOKUP(I3522,[2]categories!$A$1:$B$8,2,FALSE)</f>
        <v>Cruisers Bicycles</v>
      </c>
    </row>
    <row r="3523" customHeight="1" spans="1:10">
      <c r="A3523" s="1">
        <v>1219</v>
      </c>
      <c r="B3523" s="1">
        <v>2</v>
      </c>
      <c r="C3523" s="1">
        <v>62</v>
      </c>
      <c r="D3523" s="1">
        <v>2</v>
      </c>
      <c r="E3523" s="1">
        <v>3499.99</v>
      </c>
      <c r="F3523" s="1">
        <v>0.1</v>
      </c>
      <c r="G3523">
        <f t="shared" ref="G3523:G3586" si="55">(E3523*D3523)-F3523</f>
        <v>6999.88</v>
      </c>
      <c r="H3523" t="str">
        <f>VLOOKUP(C3523,[1]products!$A:$B,2,FALSE)</f>
        <v>Trek Boone 7 - 2017</v>
      </c>
      <c r="I3523">
        <f>VLOOKUP(C3523,[1]products!$A:$D,4,FALSE)</f>
        <v>4</v>
      </c>
      <c r="J3523" t="str">
        <f>VLOOKUP(I3523,[2]categories!$A$1:$B$8,2,FALSE)</f>
        <v>Cyclocross Bicycles</v>
      </c>
    </row>
    <row r="3524" customHeight="1" spans="1:10">
      <c r="A3524" s="1">
        <v>1219</v>
      </c>
      <c r="B3524" s="1">
        <v>3</v>
      </c>
      <c r="C3524" s="1">
        <v>40</v>
      </c>
      <c r="D3524" s="1">
        <v>2</v>
      </c>
      <c r="E3524" s="1">
        <v>4999.99</v>
      </c>
      <c r="F3524" s="1">
        <v>0.2</v>
      </c>
      <c r="G3524">
        <f t="shared" si="55"/>
        <v>9999.78</v>
      </c>
      <c r="H3524" t="str">
        <f>VLOOKUP(C3524,[1]products!$A:$B,2,FALSE)</f>
        <v>Trek Fuel EX 9.8 29 - 2017</v>
      </c>
      <c r="I3524">
        <f>VLOOKUP(C3524,[1]products!$A:$D,4,FALSE)</f>
        <v>6</v>
      </c>
      <c r="J3524" t="str">
        <f>VLOOKUP(I3524,[2]categories!$A$1:$B$8,2,FALSE)</f>
        <v>Mountain Bikes</v>
      </c>
    </row>
    <row r="3525" customHeight="1" spans="1:10">
      <c r="A3525" s="1">
        <v>1220</v>
      </c>
      <c r="B3525" s="1">
        <v>1</v>
      </c>
      <c r="C3525" s="1">
        <v>47</v>
      </c>
      <c r="D3525" s="1">
        <v>2</v>
      </c>
      <c r="E3525" s="1">
        <v>5299.99</v>
      </c>
      <c r="F3525" s="1">
        <v>0.1</v>
      </c>
      <c r="G3525">
        <f t="shared" si="55"/>
        <v>10599.88</v>
      </c>
      <c r="H3525" t="str">
        <f>VLOOKUP(C3525,[1]products!$A:$B,2,FALSE)</f>
        <v>Trek Remedy 9.8 - 2017</v>
      </c>
      <c r="I3525">
        <f>VLOOKUP(C3525,[1]products!$A:$D,4,FALSE)</f>
        <v>6</v>
      </c>
      <c r="J3525" t="str">
        <f>VLOOKUP(I3525,[2]categories!$A$1:$B$8,2,FALSE)</f>
        <v>Mountain Bikes</v>
      </c>
    </row>
    <row r="3526" customHeight="1" spans="1:10">
      <c r="A3526" s="1">
        <v>1220</v>
      </c>
      <c r="B3526" s="1">
        <v>2</v>
      </c>
      <c r="C3526" s="1">
        <v>49</v>
      </c>
      <c r="D3526" s="1">
        <v>1</v>
      </c>
      <c r="E3526" s="1">
        <v>3499.99</v>
      </c>
      <c r="F3526" s="1">
        <v>0.2</v>
      </c>
      <c r="G3526">
        <f t="shared" si="55"/>
        <v>3499.79</v>
      </c>
      <c r="H3526" t="str">
        <f>VLOOKUP(C3526,[1]products!$A:$B,2,FALSE)</f>
        <v>Trek Domane SL 6 - 2017</v>
      </c>
      <c r="I3526">
        <f>VLOOKUP(C3526,[1]products!$A:$D,4,FALSE)</f>
        <v>7</v>
      </c>
      <c r="J3526" t="str">
        <f>VLOOKUP(I3526,[2]categories!$A$1:$B$8,2,FALSE)</f>
        <v>Road Bikes</v>
      </c>
    </row>
    <row r="3527" customHeight="1" spans="1:10">
      <c r="A3527" s="1">
        <v>1220</v>
      </c>
      <c r="B3527" s="1">
        <v>3</v>
      </c>
      <c r="C3527" s="1">
        <v>85</v>
      </c>
      <c r="D3527" s="1">
        <v>2</v>
      </c>
      <c r="E3527" s="1">
        <v>329.99</v>
      </c>
      <c r="F3527" s="1">
        <v>0.2</v>
      </c>
      <c r="G3527">
        <f t="shared" si="55"/>
        <v>659.78</v>
      </c>
      <c r="H3527" t="str">
        <f>VLOOKUP(C3527,[1]products!$A:$B,2,FALSE)</f>
        <v>Haro Downtown 16 - 2017</v>
      </c>
      <c r="I3527">
        <f>VLOOKUP(C3527,[1]products!$A:$D,4,FALSE)</f>
        <v>1</v>
      </c>
      <c r="J3527" t="str">
        <f>VLOOKUP(I3527,[2]categories!$A$1:$B$8,2,FALSE)</f>
        <v>Children Bicycles</v>
      </c>
    </row>
    <row r="3528" customHeight="1" spans="1:10">
      <c r="A3528" s="1">
        <v>1221</v>
      </c>
      <c r="B3528" s="1">
        <v>1</v>
      </c>
      <c r="C3528" s="1">
        <v>100</v>
      </c>
      <c r="D3528" s="1">
        <v>1</v>
      </c>
      <c r="E3528" s="1">
        <v>489.99</v>
      </c>
      <c r="F3528" s="1">
        <v>0.05</v>
      </c>
      <c r="G3528">
        <f t="shared" si="55"/>
        <v>489.94</v>
      </c>
      <c r="H3528" t="str">
        <f>VLOOKUP(C3528,[1]products!$A:$B,2,FALSE)</f>
        <v>Electra Townie 3i EQ (20-inch) - Boys' - 2017</v>
      </c>
      <c r="I3528">
        <f>VLOOKUP(C3528,[1]products!$A:$D,4,FALSE)</f>
        <v>1</v>
      </c>
      <c r="J3528" t="str">
        <f>VLOOKUP(I3528,[2]categories!$A$1:$B$8,2,FALSE)</f>
        <v>Children Bicycles</v>
      </c>
    </row>
    <row r="3529" customHeight="1" spans="1:10">
      <c r="A3529" s="1">
        <v>1221</v>
      </c>
      <c r="B3529" s="1">
        <v>2</v>
      </c>
      <c r="C3529" s="1">
        <v>81</v>
      </c>
      <c r="D3529" s="1">
        <v>2</v>
      </c>
      <c r="E3529" s="1">
        <v>1099.99</v>
      </c>
      <c r="F3529" s="1">
        <v>0.05</v>
      </c>
      <c r="G3529">
        <f t="shared" si="55"/>
        <v>2199.93</v>
      </c>
      <c r="H3529" t="str">
        <f>VLOOKUP(C3529,[1]products!$A:$B,2,FALSE)</f>
        <v>Electra Amsterdam Fashion 7i Ladies' - 2017</v>
      </c>
      <c r="I3529">
        <f>VLOOKUP(C3529,[1]products!$A:$D,4,FALSE)</f>
        <v>3</v>
      </c>
      <c r="J3529" t="str">
        <f>VLOOKUP(I3529,[2]categories!$A$1:$B$8,2,FALSE)</f>
        <v>Cruisers Bicycles</v>
      </c>
    </row>
    <row r="3530" customHeight="1" spans="1:10">
      <c r="A3530" s="1">
        <v>1221</v>
      </c>
      <c r="B3530" s="1">
        <v>3</v>
      </c>
      <c r="C3530" s="1">
        <v>42</v>
      </c>
      <c r="D3530" s="1">
        <v>2</v>
      </c>
      <c r="E3530" s="1">
        <v>2299.99</v>
      </c>
      <c r="F3530" s="1">
        <v>0.1</v>
      </c>
      <c r="G3530">
        <f t="shared" si="55"/>
        <v>4599.88</v>
      </c>
      <c r="H3530" t="str">
        <f>VLOOKUP(C3530,[1]products!$A:$B,2,FALSE)</f>
        <v>Trek Fuel EX 5 27.5 Plus - 2017</v>
      </c>
      <c r="I3530">
        <f>VLOOKUP(C3530,[1]products!$A:$D,4,FALSE)</f>
        <v>6</v>
      </c>
      <c r="J3530" t="str">
        <f>VLOOKUP(I3530,[2]categories!$A$1:$B$8,2,FALSE)</f>
        <v>Mountain Bikes</v>
      </c>
    </row>
    <row r="3531" customHeight="1" spans="1:10">
      <c r="A3531" s="1">
        <v>1221</v>
      </c>
      <c r="B3531" s="1">
        <v>4</v>
      </c>
      <c r="C3531" s="1">
        <v>38</v>
      </c>
      <c r="D3531" s="1">
        <v>2</v>
      </c>
      <c r="E3531" s="1">
        <v>549.99</v>
      </c>
      <c r="F3531" s="1">
        <v>0.1</v>
      </c>
      <c r="G3531">
        <f t="shared" si="55"/>
        <v>1099.88</v>
      </c>
      <c r="H3531" t="str">
        <f>VLOOKUP(C3531,[1]products!$A:$B,2,FALSE)</f>
        <v>Haro Flightline Two 26 Plus - 2017</v>
      </c>
      <c r="I3531">
        <f>VLOOKUP(C3531,[1]products!$A:$D,4,FALSE)</f>
        <v>6</v>
      </c>
      <c r="J3531" t="str">
        <f>VLOOKUP(I3531,[2]categories!$A$1:$B$8,2,FALSE)</f>
        <v>Mountain Bikes</v>
      </c>
    </row>
    <row r="3532" customHeight="1" spans="1:10">
      <c r="A3532" s="1">
        <v>1221</v>
      </c>
      <c r="B3532" s="1">
        <v>5</v>
      </c>
      <c r="C3532" s="1">
        <v>97</v>
      </c>
      <c r="D3532" s="1">
        <v>2</v>
      </c>
      <c r="E3532" s="1">
        <v>349.99</v>
      </c>
      <c r="F3532" s="1">
        <v>0.07</v>
      </c>
      <c r="G3532">
        <f t="shared" si="55"/>
        <v>699.91</v>
      </c>
      <c r="H3532" t="str">
        <f>VLOOKUP(C3532,[1]products!$A:$B,2,FALSE)</f>
        <v>Electra Savannah 3i (20-inch) - Girl's - 2017</v>
      </c>
      <c r="I3532">
        <f>VLOOKUP(C3532,[1]products!$A:$D,4,FALSE)</f>
        <v>1</v>
      </c>
      <c r="J3532" t="str">
        <f>VLOOKUP(I3532,[2]categories!$A$1:$B$8,2,FALSE)</f>
        <v>Children Bicycles</v>
      </c>
    </row>
    <row r="3533" customHeight="1" spans="1:10">
      <c r="A3533" s="1">
        <v>1222</v>
      </c>
      <c r="B3533" s="1">
        <v>1</v>
      </c>
      <c r="C3533" s="1">
        <v>97</v>
      </c>
      <c r="D3533" s="1">
        <v>1</v>
      </c>
      <c r="E3533" s="1">
        <v>349.99</v>
      </c>
      <c r="F3533" s="1">
        <v>0.2</v>
      </c>
      <c r="G3533">
        <f t="shared" si="55"/>
        <v>349.79</v>
      </c>
      <c r="H3533" t="str">
        <f>VLOOKUP(C3533,[1]products!$A:$B,2,FALSE)</f>
        <v>Electra Savannah 3i (20-inch) - Girl's - 2017</v>
      </c>
      <c r="I3533">
        <f>VLOOKUP(C3533,[1]products!$A:$D,4,FALSE)</f>
        <v>1</v>
      </c>
      <c r="J3533" t="str">
        <f>VLOOKUP(I3533,[2]categories!$A$1:$B$8,2,FALSE)</f>
        <v>Children Bicycles</v>
      </c>
    </row>
    <row r="3534" customHeight="1" spans="1:10">
      <c r="A3534" s="1">
        <v>1223</v>
      </c>
      <c r="B3534" s="1">
        <v>1</v>
      </c>
      <c r="C3534" s="1">
        <v>103</v>
      </c>
      <c r="D3534" s="1">
        <v>1</v>
      </c>
      <c r="E3534" s="1">
        <v>551.99</v>
      </c>
      <c r="F3534" s="1">
        <v>0.05</v>
      </c>
      <c r="G3534">
        <f t="shared" si="55"/>
        <v>551.94</v>
      </c>
      <c r="H3534" t="str">
        <f>VLOOKUP(C3534,[1]products!$A:$B,2,FALSE)</f>
        <v>Sun Bicycles Streamway 3 - 2017</v>
      </c>
      <c r="I3534">
        <f>VLOOKUP(C3534,[1]products!$A:$D,4,FALSE)</f>
        <v>2</v>
      </c>
      <c r="J3534" t="str">
        <f>VLOOKUP(I3534,[2]categories!$A$1:$B$8,2,FALSE)</f>
        <v>Comfort Bicycles</v>
      </c>
    </row>
    <row r="3535" customHeight="1" spans="1:10">
      <c r="A3535" s="1">
        <v>1224</v>
      </c>
      <c r="B3535" s="1">
        <v>1</v>
      </c>
      <c r="C3535" s="1">
        <v>62</v>
      </c>
      <c r="D3535" s="1">
        <v>1</v>
      </c>
      <c r="E3535" s="1">
        <v>3499.99</v>
      </c>
      <c r="F3535" s="1">
        <v>0.07</v>
      </c>
      <c r="G3535">
        <f t="shared" si="55"/>
        <v>3499.92</v>
      </c>
      <c r="H3535" t="str">
        <f>VLOOKUP(C3535,[1]products!$A:$B,2,FALSE)</f>
        <v>Trek Boone 7 - 2017</v>
      </c>
      <c r="I3535">
        <f>VLOOKUP(C3535,[1]products!$A:$D,4,FALSE)</f>
        <v>4</v>
      </c>
      <c r="J3535" t="str">
        <f>VLOOKUP(I3535,[2]categories!$A$1:$B$8,2,FALSE)</f>
        <v>Cyclocross Bicycles</v>
      </c>
    </row>
    <row r="3536" customHeight="1" spans="1:10">
      <c r="A3536" s="1">
        <v>1224</v>
      </c>
      <c r="B3536" s="1">
        <v>2</v>
      </c>
      <c r="C3536" s="1">
        <v>51</v>
      </c>
      <c r="D3536" s="1">
        <v>1</v>
      </c>
      <c r="E3536" s="1">
        <v>6499.99</v>
      </c>
      <c r="F3536" s="1">
        <v>0.1</v>
      </c>
      <c r="G3536">
        <f t="shared" si="55"/>
        <v>6499.89</v>
      </c>
      <c r="H3536" t="str">
        <f>VLOOKUP(C3536,[1]products!$A:$B,2,FALSE)</f>
        <v>Trek Silque SLR 8 Women's - 2017</v>
      </c>
      <c r="I3536">
        <f>VLOOKUP(C3536,[1]products!$A:$D,4,FALSE)</f>
        <v>7</v>
      </c>
      <c r="J3536" t="str">
        <f>VLOOKUP(I3536,[2]categories!$A$1:$B$8,2,FALSE)</f>
        <v>Road Bikes</v>
      </c>
    </row>
    <row r="3537" customHeight="1" spans="1:10">
      <c r="A3537" s="1">
        <v>1224</v>
      </c>
      <c r="B3537" s="1">
        <v>3</v>
      </c>
      <c r="C3537" s="1">
        <v>108</v>
      </c>
      <c r="D3537" s="1">
        <v>1</v>
      </c>
      <c r="E3537" s="1">
        <v>449.99</v>
      </c>
      <c r="F3537" s="1">
        <v>0.05</v>
      </c>
      <c r="G3537">
        <f t="shared" si="55"/>
        <v>449.94</v>
      </c>
      <c r="H3537" t="str">
        <f>VLOOKUP(C3537,[1]products!$A:$B,2,FALSE)</f>
        <v>Sun Bicycles Cruz 3 - Women's - 2017</v>
      </c>
      <c r="I3537">
        <f>VLOOKUP(C3537,[1]products!$A:$D,4,FALSE)</f>
        <v>2</v>
      </c>
      <c r="J3537" t="str">
        <f>VLOOKUP(I3537,[2]categories!$A$1:$B$8,2,FALSE)</f>
        <v>Comfort Bicycles</v>
      </c>
    </row>
    <row r="3538" customHeight="1" spans="1:10">
      <c r="A3538" s="1">
        <v>1224</v>
      </c>
      <c r="B3538" s="1">
        <v>4</v>
      </c>
      <c r="C3538" s="1">
        <v>32</v>
      </c>
      <c r="D3538" s="1">
        <v>1</v>
      </c>
      <c r="E3538" s="1">
        <v>469.99</v>
      </c>
      <c r="F3538" s="1">
        <v>0.2</v>
      </c>
      <c r="G3538">
        <f t="shared" si="55"/>
        <v>469.79</v>
      </c>
      <c r="H3538" t="str">
        <f>VLOOKUP(C3538,[1]products!$A:$B,2,FALSE)</f>
        <v>Trek Farley Alloy Frameset - 2017</v>
      </c>
      <c r="I3538">
        <f>VLOOKUP(C3538,[1]products!$A:$D,4,FALSE)</f>
        <v>6</v>
      </c>
      <c r="J3538" t="str">
        <f>VLOOKUP(I3538,[2]categories!$A$1:$B$8,2,FALSE)</f>
        <v>Mountain Bikes</v>
      </c>
    </row>
    <row r="3539" customHeight="1" spans="1:10">
      <c r="A3539" s="1">
        <v>1225</v>
      </c>
      <c r="B3539" s="1">
        <v>1</v>
      </c>
      <c r="C3539" s="1">
        <v>81</v>
      </c>
      <c r="D3539" s="1">
        <v>1</v>
      </c>
      <c r="E3539" s="1">
        <v>1099.99</v>
      </c>
      <c r="F3539" s="1">
        <v>0.1</v>
      </c>
      <c r="G3539">
        <f t="shared" si="55"/>
        <v>1099.89</v>
      </c>
      <c r="H3539" t="str">
        <f>VLOOKUP(C3539,[1]products!$A:$B,2,FALSE)</f>
        <v>Electra Amsterdam Fashion 7i Ladies' - 2017</v>
      </c>
      <c r="I3539">
        <f>VLOOKUP(C3539,[1]products!$A:$D,4,FALSE)</f>
        <v>3</v>
      </c>
      <c r="J3539" t="str">
        <f>VLOOKUP(I3539,[2]categories!$A$1:$B$8,2,FALSE)</f>
        <v>Cruisers Bicycles</v>
      </c>
    </row>
    <row r="3540" customHeight="1" spans="1:10">
      <c r="A3540" s="1">
        <v>1225</v>
      </c>
      <c r="B3540" s="1">
        <v>2</v>
      </c>
      <c r="C3540" s="1">
        <v>59</v>
      </c>
      <c r="D3540" s="1">
        <v>2</v>
      </c>
      <c r="E3540" s="1">
        <v>2599.99</v>
      </c>
      <c r="F3540" s="1">
        <v>0.1</v>
      </c>
      <c r="G3540">
        <f t="shared" si="55"/>
        <v>5199.88</v>
      </c>
      <c r="H3540" t="str">
        <f>VLOOKUP(C3540,[1]products!$A:$B,2,FALSE)</f>
        <v>Trek Domane S 5 Disc - 2017</v>
      </c>
      <c r="I3540">
        <f>VLOOKUP(C3540,[1]products!$A:$D,4,FALSE)</f>
        <v>7</v>
      </c>
      <c r="J3540" t="str">
        <f>VLOOKUP(I3540,[2]categories!$A$1:$B$8,2,FALSE)</f>
        <v>Road Bikes</v>
      </c>
    </row>
    <row r="3541" customHeight="1" spans="1:10">
      <c r="A3541" s="1">
        <v>1225</v>
      </c>
      <c r="B3541" s="1">
        <v>3</v>
      </c>
      <c r="C3541" s="1">
        <v>6</v>
      </c>
      <c r="D3541" s="1">
        <v>2</v>
      </c>
      <c r="E3541" s="1">
        <v>469.99</v>
      </c>
      <c r="F3541" s="1">
        <v>0.1</v>
      </c>
      <c r="G3541">
        <f t="shared" si="55"/>
        <v>939.88</v>
      </c>
      <c r="H3541" t="str">
        <f>VLOOKUP(C3541,[1]products!$A:$B,2,FALSE)</f>
        <v>Surly Ice Cream Truck Frameset - 2016</v>
      </c>
      <c r="I3541">
        <f>VLOOKUP(C3541,[1]products!$A:$D,4,FALSE)</f>
        <v>6</v>
      </c>
      <c r="J3541" t="str">
        <f>VLOOKUP(I3541,[2]categories!$A$1:$B$8,2,FALSE)</f>
        <v>Mountain Bikes</v>
      </c>
    </row>
    <row r="3542" customHeight="1" spans="1:10">
      <c r="A3542" s="1">
        <v>1226</v>
      </c>
      <c r="B3542" s="1">
        <v>1</v>
      </c>
      <c r="C3542" s="1">
        <v>77</v>
      </c>
      <c r="D3542" s="1">
        <v>2</v>
      </c>
      <c r="E3542" s="1">
        <v>799.99</v>
      </c>
      <c r="F3542" s="1">
        <v>0.05</v>
      </c>
      <c r="G3542">
        <f t="shared" si="55"/>
        <v>1599.93</v>
      </c>
      <c r="H3542" t="str">
        <f>VLOOKUP(C3542,[1]products!$A:$B,2,FALSE)</f>
        <v>Electra Glam Punk 3i Ladies' - 2017</v>
      </c>
      <c r="I3542">
        <f>VLOOKUP(C3542,[1]products!$A:$D,4,FALSE)</f>
        <v>3</v>
      </c>
      <c r="J3542" t="str">
        <f>VLOOKUP(I3542,[2]categories!$A$1:$B$8,2,FALSE)</f>
        <v>Cruisers Bicycles</v>
      </c>
    </row>
    <row r="3543" customHeight="1" spans="1:10">
      <c r="A3543" s="1">
        <v>1226</v>
      </c>
      <c r="B3543" s="1">
        <v>2</v>
      </c>
      <c r="C3543" s="1">
        <v>101</v>
      </c>
      <c r="D3543" s="1">
        <v>1</v>
      </c>
      <c r="E3543" s="1">
        <v>339.99</v>
      </c>
      <c r="F3543" s="1">
        <v>0.2</v>
      </c>
      <c r="G3543">
        <f t="shared" si="55"/>
        <v>339.79</v>
      </c>
      <c r="H3543" t="str">
        <f>VLOOKUP(C3543,[1]products!$A:$B,2,FALSE)</f>
        <v>Electra Townie 7D (20-inch) - Boys' - 2017</v>
      </c>
      <c r="I3543">
        <f>VLOOKUP(C3543,[1]products!$A:$D,4,FALSE)</f>
        <v>1</v>
      </c>
      <c r="J3543" t="str">
        <f>VLOOKUP(I3543,[2]categories!$A$1:$B$8,2,FALSE)</f>
        <v>Children Bicycles</v>
      </c>
    </row>
    <row r="3544" customHeight="1" spans="1:10">
      <c r="A3544" s="1">
        <v>1226</v>
      </c>
      <c r="B3544" s="1">
        <v>3</v>
      </c>
      <c r="C3544" s="1">
        <v>11</v>
      </c>
      <c r="D3544" s="1">
        <v>2</v>
      </c>
      <c r="E3544" s="1">
        <v>1680.99</v>
      </c>
      <c r="F3544" s="1">
        <v>0.07</v>
      </c>
      <c r="G3544">
        <f t="shared" si="55"/>
        <v>3361.91</v>
      </c>
      <c r="H3544" t="str">
        <f>VLOOKUP(C3544,[1]products!$A:$B,2,FALSE)</f>
        <v>Surly Straggler 650b - 2016</v>
      </c>
      <c r="I3544">
        <f>VLOOKUP(C3544,[1]products!$A:$D,4,FALSE)</f>
        <v>4</v>
      </c>
      <c r="J3544" t="str">
        <f>VLOOKUP(I3544,[2]categories!$A$1:$B$8,2,FALSE)</f>
        <v>Cyclocross Bicycles</v>
      </c>
    </row>
    <row r="3545" customHeight="1" spans="1:10">
      <c r="A3545" s="1">
        <v>1226</v>
      </c>
      <c r="B3545" s="1">
        <v>4</v>
      </c>
      <c r="C3545" s="1">
        <v>51</v>
      </c>
      <c r="D3545" s="1">
        <v>1</v>
      </c>
      <c r="E3545" s="1">
        <v>6499.99</v>
      </c>
      <c r="F3545" s="1">
        <v>0.07</v>
      </c>
      <c r="G3545">
        <f t="shared" si="55"/>
        <v>6499.92</v>
      </c>
      <c r="H3545" t="str">
        <f>VLOOKUP(C3545,[1]products!$A:$B,2,FALSE)</f>
        <v>Trek Silque SLR 8 Women's - 2017</v>
      </c>
      <c r="I3545">
        <f>VLOOKUP(C3545,[1]products!$A:$D,4,FALSE)</f>
        <v>7</v>
      </c>
      <c r="J3545" t="str">
        <f>VLOOKUP(I3545,[2]categories!$A$1:$B$8,2,FALSE)</f>
        <v>Road Bikes</v>
      </c>
    </row>
    <row r="3546" customHeight="1" spans="1:10">
      <c r="A3546" s="1">
        <v>1226</v>
      </c>
      <c r="B3546" s="1">
        <v>5</v>
      </c>
      <c r="C3546" s="1">
        <v>42</v>
      </c>
      <c r="D3546" s="1">
        <v>1</v>
      </c>
      <c r="E3546" s="1">
        <v>2299.99</v>
      </c>
      <c r="F3546" s="1">
        <v>0.1</v>
      </c>
      <c r="G3546">
        <f t="shared" si="55"/>
        <v>2299.89</v>
      </c>
      <c r="H3546" t="str">
        <f>VLOOKUP(C3546,[1]products!$A:$B,2,FALSE)</f>
        <v>Trek Fuel EX 5 27.5 Plus - 2017</v>
      </c>
      <c r="I3546">
        <f>VLOOKUP(C3546,[1]products!$A:$D,4,FALSE)</f>
        <v>6</v>
      </c>
      <c r="J3546" t="str">
        <f>VLOOKUP(I3546,[2]categories!$A$1:$B$8,2,FALSE)</f>
        <v>Mountain Bikes</v>
      </c>
    </row>
    <row r="3547" customHeight="1" spans="1:10">
      <c r="A3547" s="1">
        <v>1227</v>
      </c>
      <c r="B3547" s="1">
        <v>1</v>
      </c>
      <c r="C3547" s="1">
        <v>90</v>
      </c>
      <c r="D3547" s="1">
        <v>2</v>
      </c>
      <c r="E3547" s="1">
        <v>209.99</v>
      </c>
      <c r="F3547" s="1">
        <v>0.2</v>
      </c>
      <c r="G3547">
        <f t="shared" si="55"/>
        <v>419.78</v>
      </c>
      <c r="H3547" t="str">
        <f>VLOOKUP(C3547,[1]products!$A:$B,2,FALSE)</f>
        <v>Trek Precaliber 16 Girls - 2017</v>
      </c>
      <c r="I3547">
        <f>VLOOKUP(C3547,[1]products!$A:$D,4,FALSE)</f>
        <v>1</v>
      </c>
      <c r="J3547" t="str">
        <f>VLOOKUP(I3547,[2]categories!$A$1:$B$8,2,FALSE)</f>
        <v>Children Bicycles</v>
      </c>
    </row>
    <row r="3548" customHeight="1" spans="1:10">
      <c r="A3548" s="1">
        <v>1227</v>
      </c>
      <c r="B3548" s="1">
        <v>2</v>
      </c>
      <c r="C3548" s="1">
        <v>44</v>
      </c>
      <c r="D3548" s="1">
        <v>1</v>
      </c>
      <c r="E3548" s="1">
        <v>539.99</v>
      </c>
      <c r="F3548" s="1">
        <v>0.07</v>
      </c>
      <c r="G3548">
        <f t="shared" si="55"/>
        <v>539.92</v>
      </c>
      <c r="H3548" t="str">
        <f>VLOOKUP(C3548,[1]products!$A:$B,2,FALSE)</f>
        <v>Haro SR 1.1 - 2017</v>
      </c>
      <c r="I3548">
        <f>VLOOKUP(C3548,[1]products!$A:$D,4,FALSE)</f>
        <v>6</v>
      </c>
      <c r="J3548" t="str">
        <f>VLOOKUP(I3548,[2]categories!$A$1:$B$8,2,FALSE)</f>
        <v>Mountain Bikes</v>
      </c>
    </row>
    <row r="3549" customHeight="1" spans="1:10">
      <c r="A3549" s="1">
        <v>1227</v>
      </c>
      <c r="B3549" s="1">
        <v>3</v>
      </c>
      <c r="C3549" s="1">
        <v>26</v>
      </c>
      <c r="D3549" s="1">
        <v>1</v>
      </c>
      <c r="E3549" s="1">
        <v>599.99</v>
      </c>
      <c r="F3549" s="1">
        <v>0.05</v>
      </c>
      <c r="G3549">
        <f t="shared" si="55"/>
        <v>599.94</v>
      </c>
      <c r="H3549" t="str">
        <f>VLOOKUP(C3549,[1]products!$A:$B,2,FALSE)</f>
        <v>Electra Townie Original 7D EQ - 2016</v>
      </c>
      <c r="I3549">
        <f>VLOOKUP(C3549,[1]products!$A:$D,4,FALSE)</f>
        <v>2</v>
      </c>
      <c r="J3549" t="str">
        <f>VLOOKUP(I3549,[2]categories!$A$1:$B$8,2,FALSE)</f>
        <v>Comfort Bicycles</v>
      </c>
    </row>
    <row r="3550" customHeight="1" spans="1:10">
      <c r="A3550" s="1">
        <v>1227</v>
      </c>
      <c r="B3550" s="1">
        <v>4</v>
      </c>
      <c r="C3550" s="1">
        <v>8</v>
      </c>
      <c r="D3550" s="1">
        <v>1</v>
      </c>
      <c r="E3550" s="1">
        <v>1799.99</v>
      </c>
      <c r="F3550" s="1">
        <v>0.07</v>
      </c>
      <c r="G3550">
        <f t="shared" si="55"/>
        <v>1799.92</v>
      </c>
      <c r="H3550" t="str">
        <f>VLOOKUP(C3550,[1]products!$A:$B,2,FALSE)</f>
        <v>Trek Remedy 29 Carbon Frameset - 2016</v>
      </c>
      <c r="I3550">
        <f>VLOOKUP(C3550,[1]products!$A:$D,4,FALSE)</f>
        <v>6</v>
      </c>
      <c r="J3550" t="str">
        <f>VLOOKUP(I3550,[2]categories!$A$1:$B$8,2,FALSE)</f>
        <v>Mountain Bikes</v>
      </c>
    </row>
    <row r="3551" customHeight="1" spans="1:10">
      <c r="A3551" s="1">
        <v>1227</v>
      </c>
      <c r="B3551" s="1">
        <v>5</v>
      </c>
      <c r="C3551" s="1">
        <v>42</v>
      </c>
      <c r="D3551" s="1">
        <v>2</v>
      </c>
      <c r="E3551" s="1">
        <v>2299.99</v>
      </c>
      <c r="F3551" s="1">
        <v>0.2</v>
      </c>
      <c r="G3551">
        <f t="shared" si="55"/>
        <v>4599.78</v>
      </c>
      <c r="H3551" t="str">
        <f>VLOOKUP(C3551,[1]products!$A:$B,2,FALSE)</f>
        <v>Trek Fuel EX 5 27.5 Plus - 2017</v>
      </c>
      <c r="I3551">
        <f>VLOOKUP(C3551,[1]products!$A:$D,4,FALSE)</f>
        <v>6</v>
      </c>
      <c r="J3551" t="str">
        <f>VLOOKUP(I3551,[2]categories!$A$1:$B$8,2,FALSE)</f>
        <v>Mountain Bikes</v>
      </c>
    </row>
    <row r="3552" customHeight="1" spans="1:10">
      <c r="A3552" s="1">
        <v>1228</v>
      </c>
      <c r="B3552" s="1">
        <v>1</v>
      </c>
      <c r="C3552" s="1">
        <v>92</v>
      </c>
      <c r="D3552" s="1">
        <v>1</v>
      </c>
      <c r="E3552" s="1">
        <v>209.99</v>
      </c>
      <c r="F3552" s="1">
        <v>0.2</v>
      </c>
      <c r="G3552">
        <f t="shared" si="55"/>
        <v>209.79</v>
      </c>
      <c r="H3552" t="str">
        <f>VLOOKUP(C3552,[1]products!$A:$B,2,FALSE)</f>
        <v>Haro Shredder 20 - 2017</v>
      </c>
      <c r="I3552">
        <f>VLOOKUP(C3552,[1]products!$A:$D,4,FALSE)</f>
        <v>1</v>
      </c>
      <c r="J3552" t="str">
        <f>VLOOKUP(I3552,[2]categories!$A$1:$B$8,2,FALSE)</f>
        <v>Children Bicycles</v>
      </c>
    </row>
    <row r="3553" customHeight="1" spans="1:10">
      <c r="A3553" s="1">
        <v>1228</v>
      </c>
      <c r="B3553" s="1">
        <v>2</v>
      </c>
      <c r="C3553" s="1">
        <v>55</v>
      </c>
      <c r="D3553" s="1">
        <v>2</v>
      </c>
      <c r="E3553" s="1">
        <v>2699.99</v>
      </c>
      <c r="F3553" s="1">
        <v>0.2</v>
      </c>
      <c r="G3553">
        <f t="shared" si="55"/>
        <v>5399.78</v>
      </c>
      <c r="H3553" t="str">
        <f>VLOOKUP(C3553,[1]products!$A:$B,2,FALSE)</f>
        <v>Trek Domane S 6 - 2017</v>
      </c>
      <c r="I3553">
        <f>VLOOKUP(C3553,[1]products!$A:$D,4,FALSE)</f>
        <v>7</v>
      </c>
      <c r="J3553" t="str">
        <f>VLOOKUP(I3553,[2]categories!$A$1:$B$8,2,FALSE)</f>
        <v>Road Bikes</v>
      </c>
    </row>
    <row r="3554" customHeight="1" spans="1:10">
      <c r="A3554" s="1">
        <v>1228</v>
      </c>
      <c r="B3554" s="1">
        <v>3</v>
      </c>
      <c r="C3554" s="1">
        <v>20</v>
      </c>
      <c r="D3554" s="1">
        <v>2</v>
      </c>
      <c r="E3554" s="1">
        <v>599.99</v>
      </c>
      <c r="F3554" s="1">
        <v>0.05</v>
      </c>
      <c r="G3554">
        <f t="shared" si="55"/>
        <v>1199.93</v>
      </c>
      <c r="H3554" t="str">
        <f>VLOOKUP(C3554,[1]products!$A:$B,2,FALSE)</f>
        <v>Electra Townie Original 7D EQ - Women's - 2016</v>
      </c>
      <c r="I3554">
        <f>VLOOKUP(C3554,[1]products!$A:$D,4,FALSE)</f>
        <v>3</v>
      </c>
      <c r="J3554" t="str">
        <f>VLOOKUP(I3554,[2]categories!$A$1:$B$8,2,FALSE)</f>
        <v>Cruisers Bicycles</v>
      </c>
    </row>
    <row r="3555" customHeight="1" spans="1:10">
      <c r="A3555" s="1">
        <v>1229</v>
      </c>
      <c r="B3555" s="1">
        <v>1</v>
      </c>
      <c r="C3555" s="1">
        <v>36</v>
      </c>
      <c r="D3555" s="1">
        <v>2</v>
      </c>
      <c r="E3555" s="1">
        <v>832.99</v>
      </c>
      <c r="F3555" s="1">
        <v>0.07</v>
      </c>
      <c r="G3555">
        <f t="shared" si="55"/>
        <v>1665.91</v>
      </c>
      <c r="H3555" t="str">
        <f>VLOOKUP(C3555,[1]products!$A:$B,2,FALSE)</f>
        <v>Surly Troll Frameset - 2017</v>
      </c>
      <c r="I3555">
        <f>VLOOKUP(C3555,[1]products!$A:$D,4,FALSE)</f>
        <v>6</v>
      </c>
      <c r="J3555" t="str">
        <f>VLOOKUP(I3555,[2]categories!$A$1:$B$8,2,FALSE)</f>
        <v>Mountain Bikes</v>
      </c>
    </row>
    <row r="3556" customHeight="1" spans="1:10">
      <c r="A3556" s="1">
        <v>1229</v>
      </c>
      <c r="B3556" s="1">
        <v>2</v>
      </c>
      <c r="C3556" s="1">
        <v>61</v>
      </c>
      <c r="D3556" s="1">
        <v>2</v>
      </c>
      <c r="E3556" s="1">
        <v>4999.99</v>
      </c>
      <c r="F3556" s="1">
        <v>0.1</v>
      </c>
      <c r="G3556">
        <f t="shared" si="55"/>
        <v>9999.88</v>
      </c>
      <c r="H3556" t="str">
        <f>VLOOKUP(C3556,[1]products!$A:$B,2,FALSE)</f>
        <v>Trek Powerfly 8 FS Plus - 2017</v>
      </c>
      <c r="I3556">
        <f>VLOOKUP(C3556,[1]products!$A:$D,4,FALSE)</f>
        <v>5</v>
      </c>
      <c r="J3556" t="str">
        <f>VLOOKUP(I3556,[2]categories!$A$1:$B$8,2,FALSE)</f>
        <v>Electric Bikes</v>
      </c>
    </row>
    <row r="3557" customHeight="1" spans="1:10">
      <c r="A3557" s="1">
        <v>1230</v>
      </c>
      <c r="B3557" s="1">
        <v>1</v>
      </c>
      <c r="C3557" s="1">
        <v>32</v>
      </c>
      <c r="D3557" s="1">
        <v>2</v>
      </c>
      <c r="E3557" s="1">
        <v>469.99</v>
      </c>
      <c r="F3557" s="1">
        <v>0.1</v>
      </c>
      <c r="G3557">
        <f t="shared" si="55"/>
        <v>939.88</v>
      </c>
      <c r="H3557" t="str">
        <f>VLOOKUP(C3557,[1]products!$A:$B,2,FALSE)</f>
        <v>Trek Farley Alloy Frameset - 2017</v>
      </c>
      <c r="I3557">
        <f>VLOOKUP(C3557,[1]products!$A:$D,4,FALSE)</f>
        <v>6</v>
      </c>
      <c r="J3557" t="str">
        <f>VLOOKUP(I3557,[2]categories!$A$1:$B$8,2,FALSE)</f>
        <v>Mountain Bikes</v>
      </c>
    </row>
    <row r="3558" customHeight="1" spans="1:10">
      <c r="A3558" s="1">
        <v>1230</v>
      </c>
      <c r="B3558" s="1">
        <v>2</v>
      </c>
      <c r="C3558" s="1">
        <v>38</v>
      </c>
      <c r="D3558" s="1">
        <v>2</v>
      </c>
      <c r="E3558" s="1">
        <v>549.99</v>
      </c>
      <c r="F3558" s="1">
        <v>0.07</v>
      </c>
      <c r="G3558">
        <f t="shared" si="55"/>
        <v>1099.91</v>
      </c>
      <c r="H3558" t="str">
        <f>VLOOKUP(C3558,[1]products!$A:$B,2,FALSE)</f>
        <v>Haro Flightline Two 26 Plus - 2017</v>
      </c>
      <c r="I3558">
        <f>VLOOKUP(C3558,[1]products!$A:$D,4,FALSE)</f>
        <v>6</v>
      </c>
      <c r="J3558" t="str">
        <f>VLOOKUP(I3558,[2]categories!$A$1:$B$8,2,FALSE)</f>
        <v>Mountain Bikes</v>
      </c>
    </row>
    <row r="3559" customHeight="1" spans="1:10">
      <c r="A3559" s="1">
        <v>1231</v>
      </c>
      <c r="B3559" s="1">
        <v>1</v>
      </c>
      <c r="C3559" s="1">
        <v>75</v>
      </c>
      <c r="D3559" s="1">
        <v>2</v>
      </c>
      <c r="E3559" s="1">
        <v>599.99</v>
      </c>
      <c r="F3559" s="1">
        <v>0.05</v>
      </c>
      <c r="G3559">
        <f t="shared" si="55"/>
        <v>1199.93</v>
      </c>
      <c r="H3559" t="str">
        <f>VLOOKUP(C3559,[1]products!$A:$B,2,FALSE)</f>
        <v>Electra Cruiser Lux Fat Tire 1 Ladies - 2017</v>
      </c>
      <c r="I3559">
        <f>VLOOKUP(C3559,[1]products!$A:$D,4,FALSE)</f>
        <v>3</v>
      </c>
      <c r="J3559" t="str">
        <f>VLOOKUP(I3559,[2]categories!$A$1:$B$8,2,FALSE)</f>
        <v>Cruisers Bicycles</v>
      </c>
    </row>
    <row r="3560" customHeight="1" spans="1:10">
      <c r="A3560" s="1">
        <v>1231</v>
      </c>
      <c r="B3560" s="1">
        <v>2</v>
      </c>
      <c r="C3560" s="1">
        <v>70</v>
      </c>
      <c r="D3560" s="1">
        <v>1</v>
      </c>
      <c r="E3560" s="1">
        <v>659.99</v>
      </c>
      <c r="F3560" s="1">
        <v>0.07</v>
      </c>
      <c r="G3560">
        <f t="shared" si="55"/>
        <v>659.92</v>
      </c>
      <c r="H3560" t="str">
        <f>VLOOKUP(C3560,[1]products!$A:$B,2,FALSE)</f>
        <v>Electra Amsterdam Original 3i - 2015/2017</v>
      </c>
      <c r="I3560">
        <f>VLOOKUP(C3560,[1]products!$A:$D,4,FALSE)</f>
        <v>3</v>
      </c>
      <c r="J3560" t="str">
        <f>VLOOKUP(I3560,[2]categories!$A$1:$B$8,2,FALSE)</f>
        <v>Cruisers Bicycles</v>
      </c>
    </row>
    <row r="3561" customHeight="1" spans="1:10">
      <c r="A3561" s="1">
        <v>1232</v>
      </c>
      <c r="B3561" s="1">
        <v>1</v>
      </c>
      <c r="C3561" s="1">
        <v>4</v>
      </c>
      <c r="D3561" s="1">
        <v>2</v>
      </c>
      <c r="E3561" s="1">
        <v>2899.99</v>
      </c>
      <c r="F3561" s="1">
        <v>0.07</v>
      </c>
      <c r="G3561">
        <f t="shared" si="55"/>
        <v>5799.91</v>
      </c>
      <c r="H3561" t="str">
        <f>VLOOKUP(C3561,[1]products!$A:$B,2,FALSE)</f>
        <v>Trek Fuel EX 8 29 - 2016</v>
      </c>
      <c r="I3561">
        <f>VLOOKUP(C3561,[1]products!$A:$D,4,FALSE)</f>
        <v>6</v>
      </c>
      <c r="J3561" t="str">
        <f>VLOOKUP(I3561,[2]categories!$A$1:$B$8,2,FALSE)</f>
        <v>Mountain Bikes</v>
      </c>
    </row>
    <row r="3562" customHeight="1" spans="1:10">
      <c r="A3562" s="1">
        <v>1232</v>
      </c>
      <c r="B3562" s="1">
        <v>2</v>
      </c>
      <c r="C3562" s="1">
        <v>110</v>
      </c>
      <c r="D3562" s="1">
        <v>2</v>
      </c>
      <c r="E3562" s="1">
        <v>470.99</v>
      </c>
      <c r="F3562" s="1">
        <v>0.05</v>
      </c>
      <c r="G3562">
        <f t="shared" si="55"/>
        <v>941.93</v>
      </c>
      <c r="H3562" t="str">
        <f>VLOOKUP(C3562,[1]products!$A:$B,2,FALSE)</f>
        <v>Sun Bicycles Drifter 7 - 2017</v>
      </c>
      <c r="I3562">
        <f>VLOOKUP(C3562,[1]products!$A:$D,4,FALSE)</f>
        <v>2</v>
      </c>
      <c r="J3562" t="str">
        <f>VLOOKUP(I3562,[2]categories!$A$1:$B$8,2,FALSE)</f>
        <v>Comfort Bicycles</v>
      </c>
    </row>
    <row r="3563" customHeight="1" spans="1:10">
      <c r="A3563" s="1">
        <v>1232</v>
      </c>
      <c r="B3563" s="1">
        <v>3</v>
      </c>
      <c r="C3563" s="1">
        <v>6</v>
      </c>
      <c r="D3563" s="1">
        <v>2</v>
      </c>
      <c r="E3563" s="1">
        <v>469.99</v>
      </c>
      <c r="F3563" s="1">
        <v>0.2</v>
      </c>
      <c r="G3563">
        <f t="shared" si="55"/>
        <v>939.78</v>
      </c>
      <c r="H3563" t="str">
        <f>VLOOKUP(C3563,[1]products!$A:$B,2,FALSE)</f>
        <v>Surly Ice Cream Truck Frameset - 2016</v>
      </c>
      <c r="I3563">
        <f>VLOOKUP(C3563,[1]products!$A:$D,4,FALSE)</f>
        <v>6</v>
      </c>
      <c r="J3563" t="str">
        <f>VLOOKUP(I3563,[2]categories!$A$1:$B$8,2,FALSE)</f>
        <v>Mountain Bikes</v>
      </c>
    </row>
    <row r="3564" customHeight="1" spans="1:10">
      <c r="A3564" s="1">
        <v>1233</v>
      </c>
      <c r="B3564" s="1">
        <v>1</v>
      </c>
      <c r="C3564" s="1">
        <v>87</v>
      </c>
      <c r="D3564" s="1">
        <v>2</v>
      </c>
      <c r="E3564" s="1">
        <v>189.99</v>
      </c>
      <c r="F3564" s="1">
        <v>0.2</v>
      </c>
      <c r="G3564">
        <f t="shared" si="55"/>
        <v>379.78</v>
      </c>
      <c r="H3564" t="str">
        <f>VLOOKUP(C3564,[1]products!$A:$B,2,FALSE)</f>
        <v>Trek Precaliber 12 Boys - 2017</v>
      </c>
      <c r="I3564">
        <f>VLOOKUP(C3564,[1]products!$A:$D,4,FALSE)</f>
        <v>1</v>
      </c>
      <c r="J3564" t="str">
        <f>VLOOKUP(I3564,[2]categories!$A$1:$B$8,2,FALSE)</f>
        <v>Children Bicycles</v>
      </c>
    </row>
    <row r="3565" customHeight="1" spans="1:10">
      <c r="A3565" s="1">
        <v>1233</v>
      </c>
      <c r="B3565" s="1">
        <v>2</v>
      </c>
      <c r="C3565" s="1">
        <v>61</v>
      </c>
      <c r="D3565" s="1">
        <v>2</v>
      </c>
      <c r="E3565" s="1">
        <v>4999.99</v>
      </c>
      <c r="F3565" s="1">
        <v>0.1</v>
      </c>
      <c r="G3565">
        <f t="shared" si="55"/>
        <v>9999.88</v>
      </c>
      <c r="H3565" t="str">
        <f>VLOOKUP(C3565,[1]products!$A:$B,2,FALSE)</f>
        <v>Trek Powerfly 8 FS Plus - 2017</v>
      </c>
      <c r="I3565">
        <f>VLOOKUP(C3565,[1]products!$A:$D,4,FALSE)</f>
        <v>5</v>
      </c>
      <c r="J3565" t="str">
        <f>VLOOKUP(I3565,[2]categories!$A$1:$B$8,2,FALSE)</f>
        <v>Electric Bikes</v>
      </c>
    </row>
    <row r="3566" customHeight="1" spans="1:10">
      <c r="A3566" s="1">
        <v>1233</v>
      </c>
      <c r="B3566" s="1">
        <v>3</v>
      </c>
      <c r="C3566" s="1">
        <v>55</v>
      </c>
      <c r="D3566" s="1">
        <v>1</v>
      </c>
      <c r="E3566" s="1">
        <v>2699.99</v>
      </c>
      <c r="F3566" s="1">
        <v>0.2</v>
      </c>
      <c r="G3566">
        <f t="shared" si="55"/>
        <v>2699.79</v>
      </c>
      <c r="H3566" t="str">
        <f>VLOOKUP(C3566,[1]products!$A:$B,2,FALSE)</f>
        <v>Trek Domane S 6 - 2017</v>
      </c>
      <c r="I3566">
        <f>VLOOKUP(C3566,[1]products!$A:$D,4,FALSE)</f>
        <v>7</v>
      </c>
      <c r="J3566" t="str">
        <f>VLOOKUP(I3566,[2]categories!$A$1:$B$8,2,FALSE)</f>
        <v>Road Bikes</v>
      </c>
    </row>
    <row r="3567" customHeight="1" spans="1:10">
      <c r="A3567" s="1">
        <v>1234</v>
      </c>
      <c r="B3567" s="1">
        <v>1</v>
      </c>
      <c r="C3567" s="1">
        <v>56</v>
      </c>
      <c r="D3567" s="1">
        <v>2</v>
      </c>
      <c r="E3567" s="1">
        <v>5499.99</v>
      </c>
      <c r="F3567" s="1">
        <v>0.07</v>
      </c>
      <c r="G3567">
        <f t="shared" si="55"/>
        <v>10999.91</v>
      </c>
      <c r="H3567" t="str">
        <f>VLOOKUP(C3567,[1]products!$A:$B,2,FALSE)</f>
        <v>Trek Domane SLR 6 Disc - 2017</v>
      </c>
      <c r="I3567">
        <f>VLOOKUP(C3567,[1]products!$A:$D,4,FALSE)</f>
        <v>7</v>
      </c>
      <c r="J3567" t="str">
        <f>VLOOKUP(I3567,[2]categories!$A$1:$B$8,2,FALSE)</f>
        <v>Road Bikes</v>
      </c>
    </row>
    <row r="3568" customHeight="1" spans="1:10">
      <c r="A3568" s="1">
        <v>1234</v>
      </c>
      <c r="B3568" s="1">
        <v>2</v>
      </c>
      <c r="C3568" s="1">
        <v>71</v>
      </c>
      <c r="D3568" s="1">
        <v>2</v>
      </c>
      <c r="E3568" s="1">
        <v>416.99</v>
      </c>
      <c r="F3568" s="1">
        <v>0.07</v>
      </c>
      <c r="G3568">
        <f t="shared" si="55"/>
        <v>833.91</v>
      </c>
      <c r="H3568" t="str">
        <f>VLOOKUP(C3568,[1]products!$A:$B,2,FALSE)</f>
        <v>Sun Bicycles Atlas X-Type - 2017</v>
      </c>
      <c r="I3568">
        <f>VLOOKUP(C3568,[1]products!$A:$D,4,FALSE)</f>
        <v>3</v>
      </c>
      <c r="J3568" t="str">
        <f>VLOOKUP(I3568,[2]categories!$A$1:$B$8,2,FALSE)</f>
        <v>Cruisers Bicycles</v>
      </c>
    </row>
    <row r="3569" customHeight="1" spans="1:10">
      <c r="A3569" s="1">
        <v>1235</v>
      </c>
      <c r="B3569" s="1">
        <v>1</v>
      </c>
      <c r="C3569" s="1">
        <v>7</v>
      </c>
      <c r="D3569" s="1">
        <v>1</v>
      </c>
      <c r="E3569" s="1">
        <v>3999.99</v>
      </c>
      <c r="F3569" s="1">
        <v>0.1</v>
      </c>
      <c r="G3569">
        <f t="shared" si="55"/>
        <v>3999.89</v>
      </c>
      <c r="H3569" t="str">
        <f>VLOOKUP(C3569,[1]products!$A:$B,2,FALSE)</f>
        <v>Trek Slash 8 27.5 - 2016</v>
      </c>
      <c r="I3569">
        <f>VLOOKUP(C3569,[1]products!$A:$D,4,FALSE)</f>
        <v>6</v>
      </c>
      <c r="J3569" t="str">
        <f>VLOOKUP(I3569,[2]categories!$A$1:$B$8,2,FALSE)</f>
        <v>Mountain Bikes</v>
      </c>
    </row>
    <row r="3570" customHeight="1" spans="1:10">
      <c r="A3570" s="1">
        <v>1236</v>
      </c>
      <c r="B3570" s="1">
        <v>1</v>
      </c>
      <c r="C3570" s="1">
        <v>60</v>
      </c>
      <c r="D3570" s="1">
        <v>1</v>
      </c>
      <c r="E3570" s="1">
        <v>1559.99</v>
      </c>
      <c r="F3570" s="1">
        <v>0.07</v>
      </c>
      <c r="G3570">
        <f t="shared" si="55"/>
        <v>1559.92</v>
      </c>
      <c r="H3570" t="str">
        <f>VLOOKUP(C3570,[1]products!$A:$B,2,FALSE)</f>
        <v>Sun Bicycles ElectroLite - 2017</v>
      </c>
      <c r="I3570">
        <f>VLOOKUP(C3570,[1]products!$A:$D,4,FALSE)</f>
        <v>5</v>
      </c>
      <c r="J3570" t="str">
        <f>VLOOKUP(I3570,[2]categories!$A$1:$B$8,2,FALSE)</f>
        <v>Electric Bikes</v>
      </c>
    </row>
    <row r="3571" customHeight="1" spans="1:10">
      <c r="A3571" s="1">
        <v>1236</v>
      </c>
      <c r="B3571" s="1">
        <v>2</v>
      </c>
      <c r="C3571" s="1">
        <v>32</v>
      </c>
      <c r="D3571" s="1">
        <v>2</v>
      </c>
      <c r="E3571" s="1">
        <v>469.99</v>
      </c>
      <c r="F3571" s="1">
        <v>0.05</v>
      </c>
      <c r="G3571">
        <f t="shared" si="55"/>
        <v>939.93</v>
      </c>
      <c r="H3571" t="str">
        <f>VLOOKUP(C3571,[1]products!$A:$B,2,FALSE)</f>
        <v>Trek Farley Alloy Frameset - 2017</v>
      </c>
      <c r="I3571">
        <f>VLOOKUP(C3571,[1]products!$A:$D,4,FALSE)</f>
        <v>6</v>
      </c>
      <c r="J3571" t="str">
        <f>VLOOKUP(I3571,[2]categories!$A$1:$B$8,2,FALSE)</f>
        <v>Mountain Bikes</v>
      </c>
    </row>
    <row r="3572" customHeight="1" spans="1:10">
      <c r="A3572" s="1">
        <v>1236</v>
      </c>
      <c r="B3572" s="1">
        <v>3</v>
      </c>
      <c r="C3572" s="1">
        <v>91</v>
      </c>
      <c r="D3572" s="1">
        <v>1</v>
      </c>
      <c r="E3572" s="1">
        <v>349.99</v>
      </c>
      <c r="F3572" s="1">
        <v>0.1</v>
      </c>
      <c r="G3572">
        <f t="shared" si="55"/>
        <v>349.89</v>
      </c>
      <c r="H3572" t="str">
        <f>VLOOKUP(C3572,[1]products!$A:$B,2,FALSE)</f>
        <v>Trek Precaliber 24 (21-Speed) - Girls - 2017</v>
      </c>
      <c r="I3572">
        <f>VLOOKUP(C3572,[1]products!$A:$D,4,FALSE)</f>
        <v>1</v>
      </c>
      <c r="J3572" t="str">
        <f>VLOOKUP(I3572,[2]categories!$A$1:$B$8,2,FALSE)</f>
        <v>Children Bicycles</v>
      </c>
    </row>
    <row r="3573" customHeight="1" spans="1:10">
      <c r="A3573" s="1">
        <v>1237</v>
      </c>
      <c r="B3573" s="1">
        <v>1</v>
      </c>
      <c r="C3573" s="1">
        <v>23</v>
      </c>
      <c r="D3573" s="1">
        <v>1</v>
      </c>
      <c r="E3573" s="1">
        <v>299.99</v>
      </c>
      <c r="F3573" s="1">
        <v>0.1</v>
      </c>
      <c r="G3573">
        <f t="shared" si="55"/>
        <v>299.89</v>
      </c>
      <c r="H3573" t="str">
        <f>VLOOKUP(C3573,[1]products!$A:$B,2,FALSE)</f>
        <v>Electra Girl's Hawaii 1 (20-inch) - 2015/2016</v>
      </c>
      <c r="I3573">
        <f>VLOOKUP(C3573,[1]products!$A:$D,4,FALSE)</f>
        <v>1</v>
      </c>
      <c r="J3573" t="str">
        <f>VLOOKUP(I3573,[2]categories!$A$1:$B$8,2,FALSE)</f>
        <v>Children Bicycles</v>
      </c>
    </row>
    <row r="3574" customHeight="1" spans="1:10">
      <c r="A3574" s="1">
        <v>1237</v>
      </c>
      <c r="B3574" s="1">
        <v>2</v>
      </c>
      <c r="C3574" s="1">
        <v>87</v>
      </c>
      <c r="D3574" s="1">
        <v>2</v>
      </c>
      <c r="E3574" s="1">
        <v>189.99</v>
      </c>
      <c r="F3574" s="1">
        <v>0.1</v>
      </c>
      <c r="G3574">
        <f t="shared" si="55"/>
        <v>379.88</v>
      </c>
      <c r="H3574" t="str">
        <f>VLOOKUP(C3574,[1]products!$A:$B,2,FALSE)</f>
        <v>Trek Precaliber 12 Boys - 2017</v>
      </c>
      <c r="I3574">
        <f>VLOOKUP(C3574,[1]products!$A:$D,4,FALSE)</f>
        <v>1</v>
      </c>
      <c r="J3574" t="str">
        <f>VLOOKUP(I3574,[2]categories!$A$1:$B$8,2,FALSE)</f>
        <v>Children Bicycles</v>
      </c>
    </row>
    <row r="3575" customHeight="1" spans="1:10">
      <c r="A3575" s="1">
        <v>1237</v>
      </c>
      <c r="B3575" s="1">
        <v>3</v>
      </c>
      <c r="C3575" s="1">
        <v>95</v>
      </c>
      <c r="D3575" s="1">
        <v>2</v>
      </c>
      <c r="E3575" s="1">
        <v>299.99</v>
      </c>
      <c r="F3575" s="1">
        <v>0.2</v>
      </c>
      <c r="G3575">
        <f t="shared" si="55"/>
        <v>599.78</v>
      </c>
      <c r="H3575" t="str">
        <f>VLOOKUP(C3575,[1]products!$A:$B,2,FALSE)</f>
        <v>Electra Girl's Hawaii 1 16" - 2017</v>
      </c>
      <c r="I3575">
        <f>VLOOKUP(C3575,[1]products!$A:$D,4,FALSE)</f>
        <v>1</v>
      </c>
      <c r="J3575" t="str">
        <f>VLOOKUP(I3575,[2]categories!$A$1:$B$8,2,FALSE)</f>
        <v>Children Bicycles</v>
      </c>
    </row>
    <row r="3576" customHeight="1" spans="1:10">
      <c r="A3576" s="1">
        <v>1237</v>
      </c>
      <c r="B3576" s="1">
        <v>4</v>
      </c>
      <c r="C3576" s="1">
        <v>55</v>
      </c>
      <c r="D3576" s="1">
        <v>2</v>
      </c>
      <c r="E3576" s="1">
        <v>2699.99</v>
      </c>
      <c r="F3576" s="1">
        <v>0.07</v>
      </c>
      <c r="G3576">
        <f t="shared" si="55"/>
        <v>5399.91</v>
      </c>
      <c r="H3576" t="str">
        <f>VLOOKUP(C3576,[1]products!$A:$B,2,FALSE)</f>
        <v>Trek Domane S 6 - 2017</v>
      </c>
      <c r="I3576">
        <f>VLOOKUP(C3576,[1]products!$A:$D,4,FALSE)</f>
        <v>7</v>
      </c>
      <c r="J3576" t="str">
        <f>VLOOKUP(I3576,[2]categories!$A$1:$B$8,2,FALSE)</f>
        <v>Road Bikes</v>
      </c>
    </row>
    <row r="3577" customHeight="1" spans="1:10">
      <c r="A3577" s="1">
        <v>1237</v>
      </c>
      <c r="B3577" s="1">
        <v>5</v>
      </c>
      <c r="C3577" s="1">
        <v>25</v>
      </c>
      <c r="D3577" s="1">
        <v>1</v>
      </c>
      <c r="E3577" s="1">
        <v>499.99</v>
      </c>
      <c r="F3577" s="1">
        <v>0.07</v>
      </c>
      <c r="G3577">
        <f t="shared" si="55"/>
        <v>499.92</v>
      </c>
      <c r="H3577" t="str">
        <f>VLOOKUP(C3577,[1]products!$A:$B,2,FALSE)</f>
        <v>Electra Townie Original 7D - 2015/2016</v>
      </c>
      <c r="I3577">
        <f>VLOOKUP(C3577,[1]products!$A:$D,4,FALSE)</f>
        <v>2</v>
      </c>
      <c r="J3577" t="str">
        <f>VLOOKUP(I3577,[2]categories!$A$1:$B$8,2,FALSE)</f>
        <v>Comfort Bicycles</v>
      </c>
    </row>
    <row r="3578" customHeight="1" spans="1:10">
      <c r="A3578" s="1">
        <v>1238</v>
      </c>
      <c r="B3578" s="1">
        <v>1</v>
      </c>
      <c r="C3578" s="1">
        <v>40</v>
      </c>
      <c r="D3578" s="1">
        <v>1</v>
      </c>
      <c r="E3578" s="1">
        <v>4999.99</v>
      </c>
      <c r="F3578" s="1">
        <v>0.1</v>
      </c>
      <c r="G3578">
        <f t="shared" si="55"/>
        <v>4999.89</v>
      </c>
      <c r="H3578" t="str">
        <f>VLOOKUP(C3578,[1]products!$A:$B,2,FALSE)</f>
        <v>Trek Fuel EX 9.8 29 - 2017</v>
      </c>
      <c r="I3578">
        <f>VLOOKUP(C3578,[1]products!$A:$D,4,FALSE)</f>
        <v>6</v>
      </c>
      <c r="J3578" t="str">
        <f>VLOOKUP(I3578,[2]categories!$A$1:$B$8,2,FALSE)</f>
        <v>Mountain Bikes</v>
      </c>
    </row>
    <row r="3579" customHeight="1" spans="1:10">
      <c r="A3579" s="1">
        <v>1238</v>
      </c>
      <c r="B3579" s="1">
        <v>2</v>
      </c>
      <c r="C3579" s="1">
        <v>14</v>
      </c>
      <c r="D3579" s="1">
        <v>1</v>
      </c>
      <c r="E3579" s="1">
        <v>269.99</v>
      </c>
      <c r="F3579" s="1">
        <v>0.1</v>
      </c>
      <c r="G3579">
        <f t="shared" si="55"/>
        <v>269.89</v>
      </c>
      <c r="H3579" t="str">
        <f>VLOOKUP(C3579,[1]products!$A:$B,2,FALSE)</f>
        <v>Electra Girl's Hawaii 1 (16-inch) - 2015/2016</v>
      </c>
      <c r="I3579">
        <f>VLOOKUP(C3579,[1]products!$A:$D,4,FALSE)</f>
        <v>3</v>
      </c>
      <c r="J3579" t="str">
        <f>VLOOKUP(I3579,[2]categories!$A$1:$B$8,2,FALSE)</f>
        <v>Cruisers Bicycles</v>
      </c>
    </row>
    <row r="3580" customHeight="1" spans="1:10">
      <c r="A3580" s="1">
        <v>1238</v>
      </c>
      <c r="B3580" s="1">
        <v>3</v>
      </c>
      <c r="C3580" s="1">
        <v>99</v>
      </c>
      <c r="D3580" s="1">
        <v>2</v>
      </c>
      <c r="E3580" s="1">
        <v>299.99</v>
      </c>
      <c r="F3580" s="1">
        <v>0.2</v>
      </c>
      <c r="G3580">
        <f t="shared" si="55"/>
        <v>599.78</v>
      </c>
      <c r="H3580" t="str">
        <f>VLOOKUP(C3580,[1]products!$A:$B,2,FALSE)</f>
        <v>Electra Sugar Skulls 1 (20-inch) - Girl's - 2017</v>
      </c>
      <c r="I3580">
        <f>VLOOKUP(C3580,[1]products!$A:$D,4,FALSE)</f>
        <v>1</v>
      </c>
      <c r="J3580" t="str">
        <f>VLOOKUP(I3580,[2]categories!$A$1:$B$8,2,FALSE)</f>
        <v>Children Bicycles</v>
      </c>
    </row>
    <row r="3581" customHeight="1" spans="1:10">
      <c r="A3581" s="1">
        <v>1238</v>
      </c>
      <c r="B3581" s="1">
        <v>4</v>
      </c>
      <c r="C3581" s="1">
        <v>101</v>
      </c>
      <c r="D3581" s="1">
        <v>1</v>
      </c>
      <c r="E3581" s="1">
        <v>339.99</v>
      </c>
      <c r="F3581" s="1">
        <v>0.1</v>
      </c>
      <c r="G3581">
        <f t="shared" si="55"/>
        <v>339.89</v>
      </c>
      <c r="H3581" t="str">
        <f>VLOOKUP(C3581,[1]products!$A:$B,2,FALSE)</f>
        <v>Electra Townie 7D (20-inch) - Boys' - 2017</v>
      </c>
      <c r="I3581">
        <f>VLOOKUP(C3581,[1]products!$A:$D,4,FALSE)</f>
        <v>1</v>
      </c>
      <c r="J3581" t="str">
        <f>VLOOKUP(I3581,[2]categories!$A$1:$B$8,2,FALSE)</f>
        <v>Children Bicycles</v>
      </c>
    </row>
    <row r="3582" customHeight="1" spans="1:10">
      <c r="A3582" s="1">
        <v>1239</v>
      </c>
      <c r="B3582" s="1">
        <v>1</v>
      </c>
      <c r="C3582" s="1">
        <v>15</v>
      </c>
      <c r="D3582" s="1">
        <v>2</v>
      </c>
      <c r="E3582" s="1">
        <v>529.99</v>
      </c>
      <c r="F3582" s="1">
        <v>0.2</v>
      </c>
      <c r="G3582">
        <f t="shared" si="55"/>
        <v>1059.78</v>
      </c>
      <c r="H3582" t="str">
        <f>VLOOKUP(C3582,[1]products!$A:$B,2,FALSE)</f>
        <v>Electra Moto 1 - 2016</v>
      </c>
      <c r="I3582">
        <f>VLOOKUP(C3582,[1]products!$A:$D,4,FALSE)</f>
        <v>3</v>
      </c>
      <c r="J3582" t="str">
        <f>VLOOKUP(I3582,[2]categories!$A$1:$B$8,2,FALSE)</f>
        <v>Cruisers Bicycles</v>
      </c>
    </row>
    <row r="3583" customHeight="1" spans="1:10">
      <c r="A3583" s="1">
        <v>1239</v>
      </c>
      <c r="B3583" s="1">
        <v>2</v>
      </c>
      <c r="C3583" s="1">
        <v>91</v>
      </c>
      <c r="D3583" s="1">
        <v>1</v>
      </c>
      <c r="E3583" s="1">
        <v>349.99</v>
      </c>
      <c r="F3583" s="1">
        <v>0.1</v>
      </c>
      <c r="G3583">
        <f t="shared" si="55"/>
        <v>349.89</v>
      </c>
      <c r="H3583" t="str">
        <f>VLOOKUP(C3583,[1]products!$A:$B,2,FALSE)</f>
        <v>Trek Precaliber 24 (21-Speed) - Girls - 2017</v>
      </c>
      <c r="I3583">
        <f>VLOOKUP(C3583,[1]products!$A:$D,4,FALSE)</f>
        <v>1</v>
      </c>
      <c r="J3583" t="str">
        <f>VLOOKUP(I3583,[2]categories!$A$1:$B$8,2,FALSE)</f>
        <v>Children Bicycles</v>
      </c>
    </row>
    <row r="3584" customHeight="1" spans="1:10">
      <c r="A3584" s="1">
        <v>1239</v>
      </c>
      <c r="B3584" s="1">
        <v>3</v>
      </c>
      <c r="C3584" s="1">
        <v>34</v>
      </c>
      <c r="D3584" s="1">
        <v>2</v>
      </c>
      <c r="E3584" s="1">
        <v>469.99</v>
      </c>
      <c r="F3584" s="1">
        <v>0.1</v>
      </c>
      <c r="G3584">
        <f t="shared" si="55"/>
        <v>939.88</v>
      </c>
      <c r="H3584" t="str">
        <f>VLOOKUP(C3584,[1]products!$A:$B,2,FALSE)</f>
        <v>Trek Session DH 27.5 Carbon Frameset - 2017</v>
      </c>
      <c r="I3584">
        <f>VLOOKUP(C3584,[1]products!$A:$D,4,FALSE)</f>
        <v>6</v>
      </c>
      <c r="J3584" t="str">
        <f>VLOOKUP(I3584,[2]categories!$A$1:$B$8,2,FALSE)</f>
        <v>Mountain Bikes</v>
      </c>
    </row>
    <row r="3585" customHeight="1" spans="1:10">
      <c r="A3585" s="1">
        <v>1239</v>
      </c>
      <c r="B3585" s="1">
        <v>4</v>
      </c>
      <c r="C3585" s="1">
        <v>36</v>
      </c>
      <c r="D3585" s="1">
        <v>1</v>
      </c>
      <c r="E3585" s="1">
        <v>832.99</v>
      </c>
      <c r="F3585" s="1">
        <v>0.05</v>
      </c>
      <c r="G3585">
        <f t="shared" si="55"/>
        <v>832.94</v>
      </c>
      <c r="H3585" t="str">
        <f>VLOOKUP(C3585,[1]products!$A:$B,2,FALSE)</f>
        <v>Surly Troll Frameset - 2017</v>
      </c>
      <c r="I3585">
        <f>VLOOKUP(C3585,[1]products!$A:$D,4,FALSE)</f>
        <v>6</v>
      </c>
      <c r="J3585" t="str">
        <f>VLOOKUP(I3585,[2]categories!$A$1:$B$8,2,FALSE)</f>
        <v>Mountain Bikes</v>
      </c>
    </row>
    <row r="3586" customHeight="1" spans="1:10">
      <c r="A3586" s="1">
        <v>1240</v>
      </c>
      <c r="B3586" s="1">
        <v>1</v>
      </c>
      <c r="C3586" s="1">
        <v>107</v>
      </c>
      <c r="D3586" s="1">
        <v>2</v>
      </c>
      <c r="E3586" s="1">
        <v>416.99</v>
      </c>
      <c r="F3586" s="1">
        <v>0.1</v>
      </c>
      <c r="G3586">
        <f t="shared" si="55"/>
        <v>833.88</v>
      </c>
      <c r="H3586" t="str">
        <f>VLOOKUP(C3586,[1]products!$A:$B,2,FALSE)</f>
        <v>Sun Bicycles Cruz 7 - 2017</v>
      </c>
      <c r="I3586">
        <f>VLOOKUP(C3586,[1]products!$A:$D,4,FALSE)</f>
        <v>2</v>
      </c>
      <c r="J3586" t="str">
        <f>VLOOKUP(I3586,[2]categories!$A$1:$B$8,2,FALSE)</f>
        <v>Comfort Bicycles</v>
      </c>
    </row>
    <row r="3587" customHeight="1" spans="1:10">
      <c r="A3587" s="1">
        <v>1240</v>
      </c>
      <c r="B3587" s="1">
        <v>2</v>
      </c>
      <c r="C3587" s="1">
        <v>23</v>
      </c>
      <c r="D3587" s="1">
        <v>2</v>
      </c>
      <c r="E3587" s="1">
        <v>299.99</v>
      </c>
      <c r="F3587" s="1">
        <v>0.05</v>
      </c>
      <c r="G3587">
        <f t="shared" ref="G3587:G3650" si="56">(E3587*D3587)-F3587</f>
        <v>599.93</v>
      </c>
      <c r="H3587" t="str">
        <f>VLOOKUP(C3587,[1]products!$A:$B,2,FALSE)</f>
        <v>Electra Girl's Hawaii 1 (20-inch) - 2015/2016</v>
      </c>
      <c r="I3587">
        <f>VLOOKUP(C3587,[1]products!$A:$D,4,FALSE)</f>
        <v>1</v>
      </c>
      <c r="J3587" t="str">
        <f>VLOOKUP(I3587,[2]categories!$A$1:$B$8,2,FALSE)</f>
        <v>Children Bicycles</v>
      </c>
    </row>
    <row r="3588" customHeight="1" spans="1:10">
      <c r="A3588" s="1">
        <v>1240</v>
      </c>
      <c r="B3588" s="1">
        <v>3</v>
      </c>
      <c r="C3588" s="1">
        <v>15</v>
      </c>
      <c r="D3588" s="1">
        <v>2</v>
      </c>
      <c r="E3588" s="1">
        <v>529.99</v>
      </c>
      <c r="F3588" s="1">
        <v>0.2</v>
      </c>
      <c r="G3588">
        <f t="shared" si="56"/>
        <v>1059.78</v>
      </c>
      <c r="H3588" t="str">
        <f>VLOOKUP(C3588,[1]products!$A:$B,2,FALSE)</f>
        <v>Electra Moto 1 - 2016</v>
      </c>
      <c r="I3588">
        <f>VLOOKUP(C3588,[1]products!$A:$D,4,FALSE)</f>
        <v>3</v>
      </c>
      <c r="J3588" t="str">
        <f>VLOOKUP(I3588,[2]categories!$A$1:$B$8,2,FALSE)</f>
        <v>Cruisers Bicycles</v>
      </c>
    </row>
    <row r="3589" customHeight="1" spans="1:10">
      <c r="A3589" s="1">
        <v>1240</v>
      </c>
      <c r="B3589" s="1">
        <v>4</v>
      </c>
      <c r="C3589" s="1">
        <v>77</v>
      </c>
      <c r="D3589" s="1">
        <v>2</v>
      </c>
      <c r="E3589" s="1">
        <v>799.99</v>
      </c>
      <c r="F3589" s="1">
        <v>0.05</v>
      </c>
      <c r="G3589">
        <f t="shared" si="56"/>
        <v>1599.93</v>
      </c>
      <c r="H3589" t="str">
        <f>VLOOKUP(C3589,[1]products!$A:$B,2,FALSE)</f>
        <v>Electra Glam Punk 3i Ladies' - 2017</v>
      </c>
      <c r="I3589">
        <f>VLOOKUP(C3589,[1]products!$A:$D,4,FALSE)</f>
        <v>3</v>
      </c>
      <c r="J3589" t="str">
        <f>VLOOKUP(I3589,[2]categories!$A$1:$B$8,2,FALSE)</f>
        <v>Cruisers Bicycles</v>
      </c>
    </row>
    <row r="3590" customHeight="1" spans="1:10">
      <c r="A3590" s="1">
        <v>1240</v>
      </c>
      <c r="B3590" s="1">
        <v>5</v>
      </c>
      <c r="C3590" s="1">
        <v>57</v>
      </c>
      <c r="D3590" s="1">
        <v>1</v>
      </c>
      <c r="E3590" s="1">
        <v>1999.99</v>
      </c>
      <c r="F3590" s="1">
        <v>0.05</v>
      </c>
      <c r="G3590">
        <f t="shared" si="56"/>
        <v>1999.94</v>
      </c>
      <c r="H3590" t="str">
        <f>VLOOKUP(C3590,[1]products!$A:$B,2,FALSE)</f>
        <v>Trek Emonda S 5 - 2017</v>
      </c>
      <c r="I3590">
        <f>VLOOKUP(C3590,[1]products!$A:$D,4,FALSE)</f>
        <v>7</v>
      </c>
      <c r="J3590" t="str">
        <f>VLOOKUP(I3590,[2]categories!$A$1:$B$8,2,FALSE)</f>
        <v>Road Bikes</v>
      </c>
    </row>
    <row r="3591" customHeight="1" spans="1:10">
      <c r="A3591" s="1">
        <v>1241</v>
      </c>
      <c r="B3591" s="1">
        <v>1</v>
      </c>
      <c r="C3591" s="1">
        <v>74</v>
      </c>
      <c r="D3591" s="1">
        <v>1</v>
      </c>
      <c r="E3591" s="1">
        <v>439.99</v>
      </c>
      <c r="F3591" s="1">
        <v>0.05</v>
      </c>
      <c r="G3591">
        <f t="shared" si="56"/>
        <v>439.94</v>
      </c>
      <c r="H3591" t="str">
        <f>VLOOKUP(C3591,[1]products!$A:$B,2,FALSE)</f>
        <v>Electra Cruiser Lux 1 - 2017</v>
      </c>
      <c r="I3591">
        <f>VLOOKUP(C3591,[1]products!$A:$D,4,FALSE)</f>
        <v>3</v>
      </c>
      <c r="J3591" t="str">
        <f>VLOOKUP(I3591,[2]categories!$A$1:$B$8,2,FALSE)</f>
        <v>Cruisers Bicycles</v>
      </c>
    </row>
    <row r="3592" customHeight="1" spans="1:10">
      <c r="A3592" s="1">
        <v>1241</v>
      </c>
      <c r="B3592" s="1">
        <v>2</v>
      </c>
      <c r="C3592" s="1">
        <v>71</v>
      </c>
      <c r="D3592" s="1">
        <v>2</v>
      </c>
      <c r="E3592" s="1">
        <v>416.99</v>
      </c>
      <c r="F3592" s="1">
        <v>0.05</v>
      </c>
      <c r="G3592">
        <f t="shared" si="56"/>
        <v>833.93</v>
      </c>
      <c r="H3592" t="str">
        <f>VLOOKUP(C3592,[1]products!$A:$B,2,FALSE)</f>
        <v>Sun Bicycles Atlas X-Type - 2017</v>
      </c>
      <c r="I3592">
        <f>VLOOKUP(C3592,[1]products!$A:$D,4,FALSE)</f>
        <v>3</v>
      </c>
      <c r="J3592" t="str">
        <f>VLOOKUP(I3592,[2]categories!$A$1:$B$8,2,FALSE)</f>
        <v>Cruisers Bicycles</v>
      </c>
    </row>
    <row r="3593" customHeight="1" spans="1:10">
      <c r="A3593" s="1">
        <v>1242</v>
      </c>
      <c r="B3593" s="1">
        <v>1</v>
      </c>
      <c r="C3593" s="1">
        <v>94</v>
      </c>
      <c r="D3593" s="1">
        <v>1</v>
      </c>
      <c r="E3593" s="1">
        <v>249.99</v>
      </c>
      <c r="F3593" s="1">
        <v>0.05</v>
      </c>
      <c r="G3593">
        <f t="shared" si="56"/>
        <v>249.94</v>
      </c>
      <c r="H3593" t="str">
        <f>VLOOKUP(C3593,[1]products!$A:$B,2,FALSE)</f>
        <v>Haro Shredder Pro 20 - 2017</v>
      </c>
      <c r="I3593">
        <f>VLOOKUP(C3593,[1]products!$A:$D,4,FALSE)</f>
        <v>1</v>
      </c>
      <c r="J3593" t="str">
        <f>VLOOKUP(I3593,[2]categories!$A$1:$B$8,2,FALSE)</f>
        <v>Children Bicycles</v>
      </c>
    </row>
    <row r="3594" customHeight="1" spans="1:10">
      <c r="A3594" s="1">
        <v>1242</v>
      </c>
      <c r="B3594" s="1">
        <v>2</v>
      </c>
      <c r="C3594" s="1">
        <v>27</v>
      </c>
      <c r="D3594" s="1">
        <v>1</v>
      </c>
      <c r="E3594" s="1">
        <v>999.99</v>
      </c>
      <c r="F3594" s="1">
        <v>0.07</v>
      </c>
      <c r="G3594">
        <f t="shared" si="56"/>
        <v>999.92</v>
      </c>
      <c r="H3594" t="str">
        <f>VLOOKUP(C3594,[1]products!$A:$B,2,FALSE)</f>
        <v>Surly Big Dummy Frameset - 2017</v>
      </c>
      <c r="I3594">
        <f>VLOOKUP(C3594,[1]products!$A:$D,4,FALSE)</f>
        <v>6</v>
      </c>
      <c r="J3594" t="str">
        <f>VLOOKUP(I3594,[2]categories!$A$1:$B$8,2,FALSE)</f>
        <v>Mountain Bikes</v>
      </c>
    </row>
    <row r="3595" customHeight="1" spans="1:10">
      <c r="A3595" s="1">
        <v>1242</v>
      </c>
      <c r="B3595" s="1">
        <v>3</v>
      </c>
      <c r="C3595" s="1">
        <v>10</v>
      </c>
      <c r="D3595" s="1">
        <v>1</v>
      </c>
      <c r="E3595" s="1">
        <v>1549</v>
      </c>
      <c r="F3595" s="1">
        <v>0.07</v>
      </c>
      <c r="G3595">
        <f t="shared" si="56"/>
        <v>1548.93</v>
      </c>
      <c r="H3595" t="str">
        <f>VLOOKUP(C3595,[1]products!$A:$B,2,FALSE)</f>
        <v>Surly Straggler - 2016</v>
      </c>
      <c r="I3595">
        <f>VLOOKUP(C3595,[1]products!$A:$D,4,FALSE)</f>
        <v>4</v>
      </c>
      <c r="J3595" t="str">
        <f>VLOOKUP(I3595,[2]categories!$A$1:$B$8,2,FALSE)</f>
        <v>Cyclocross Bicycles</v>
      </c>
    </row>
    <row r="3596" customHeight="1" spans="1:10">
      <c r="A3596" s="1">
        <v>1242</v>
      </c>
      <c r="B3596" s="1">
        <v>4</v>
      </c>
      <c r="C3596" s="1">
        <v>70</v>
      </c>
      <c r="D3596" s="1">
        <v>1</v>
      </c>
      <c r="E3596" s="1">
        <v>659.99</v>
      </c>
      <c r="F3596" s="1">
        <v>0.2</v>
      </c>
      <c r="G3596">
        <f t="shared" si="56"/>
        <v>659.79</v>
      </c>
      <c r="H3596" t="str">
        <f>VLOOKUP(C3596,[1]products!$A:$B,2,FALSE)</f>
        <v>Electra Amsterdam Original 3i - 2015/2017</v>
      </c>
      <c r="I3596">
        <f>VLOOKUP(C3596,[1]products!$A:$D,4,FALSE)</f>
        <v>3</v>
      </c>
      <c r="J3596" t="str">
        <f>VLOOKUP(I3596,[2]categories!$A$1:$B$8,2,FALSE)</f>
        <v>Cruisers Bicycles</v>
      </c>
    </row>
    <row r="3597" customHeight="1" spans="1:10">
      <c r="A3597" s="1">
        <v>1243</v>
      </c>
      <c r="B3597" s="1">
        <v>1</v>
      </c>
      <c r="C3597" s="1">
        <v>44</v>
      </c>
      <c r="D3597" s="1">
        <v>1</v>
      </c>
      <c r="E3597" s="1">
        <v>539.99</v>
      </c>
      <c r="F3597" s="1">
        <v>0.07</v>
      </c>
      <c r="G3597">
        <f t="shared" si="56"/>
        <v>539.92</v>
      </c>
      <c r="H3597" t="str">
        <f>VLOOKUP(C3597,[1]products!$A:$B,2,FALSE)</f>
        <v>Haro SR 1.1 - 2017</v>
      </c>
      <c r="I3597">
        <f>VLOOKUP(C3597,[1]products!$A:$D,4,FALSE)</f>
        <v>6</v>
      </c>
      <c r="J3597" t="str">
        <f>VLOOKUP(I3597,[2]categories!$A$1:$B$8,2,FALSE)</f>
        <v>Mountain Bikes</v>
      </c>
    </row>
    <row r="3598" customHeight="1" spans="1:10">
      <c r="A3598" s="1">
        <v>1244</v>
      </c>
      <c r="B3598" s="1">
        <v>1</v>
      </c>
      <c r="C3598" s="1">
        <v>45</v>
      </c>
      <c r="D3598" s="1">
        <v>1</v>
      </c>
      <c r="E3598" s="1">
        <v>869.99</v>
      </c>
      <c r="F3598" s="1">
        <v>0.2</v>
      </c>
      <c r="G3598">
        <f t="shared" si="56"/>
        <v>869.79</v>
      </c>
      <c r="H3598" t="str">
        <f>VLOOKUP(C3598,[1]products!$A:$B,2,FALSE)</f>
        <v>Haro SR 1.2 - 2017</v>
      </c>
      <c r="I3598">
        <f>VLOOKUP(C3598,[1]products!$A:$D,4,FALSE)</f>
        <v>6</v>
      </c>
      <c r="J3598" t="str">
        <f>VLOOKUP(I3598,[2]categories!$A$1:$B$8,2,FALSE)</f>
        <v>Mountain Bikes</v>
      </c>
    </row>
    <row r="3599" customHeight="1" spans="1:10">
      <c r="A3599" s="1">
        <v>1244</v>
      </c>
      <c r="B3599" s="1">
        <v>2</v>
      </c>
      <c r="C3599" s="1">
        <v>38</v>
      </c>
      <c r="D3599" s="1">
        <v>2</v>
      </c>
      <c r="E3599" s="1">
        <v>549.99</v>
      </c>
      <c r="F3599" s="1">
        <v>0.07</v>
      </c>
      <c r="G3599">
        <f t="shared" si="56"/>
        <v>1099.91</v>
      </c>
      <c r="H3599" t="str">
        <f>VLOOKUP(C3599,[1]products!$A:$B,2,FALSE)</f>
        <v>Haro Flightline Two 26 Plus - 2017</v>
      </c>
      <c r="I3599">
        <f>VLOOKUP(C3599,[1]products!$A:$D,4,FALSE)</f>
        <v>6</v>
      </c>
      <c r="J3599" t="str">
        <f>VLOOKUP(I3599,[2]categories!$A$1:$B$8,2,FALSE)</f>
        <v>Mountain Bikes</v>
      </c>
    </row>
    <row r="3600" customHeight="1" spans="1:10">
      <c r="A3600" s="1">
        <v>1244</v>
      </c>
      <c r="B3600" s="1">
        <v>3</v>
      </c>
      <c r="C3600" s="1">
        <v>33</v>
      </c>
      <c r="D3600" s="1">
        <v>1</v>
      </c>
      <c r="E3600" s="1">
        <v>469.99</v>
      </c>
      <c r="F3600" s="1">
        <v>0.07</v>
      </c>
      <c r="G3600">
        <f t="shared" si="56"/>
        <v>469.92</v>
      </c>
      <c r="H3600" t="str">
        <f>VLOOKUP(C3600,[1]products!$A:$B,2,FALSE)</f>
        <v>Surly Wednesday Frameset - 2017</v>
      </c>
      <c r="I3600">
        <f>VLOOKUP(C3600,[1]products!$A:$D,4,FALSE)</f>
        <v>6</v>
      </c>
      <c r="J3600" t="str">
        <f>VLOOKUP(I3600,[2]categories!$A$1:$B$8,2,FALSE)</f>
        <v>Mountain Bikes</v>
      </c>
    </row>
    <row r="3601" customHeight="1" spans="1:10">
      <c r="A3601" s="1">
        <v>1244</v>
      </c>
      <c r="B3601" s="1">
        <v>4</v>
      </c>
      <c r="C3601" s="1">
        <v>37</v>
      </c>
      <c r="D3601" s="1">
        <v>2</v>
      </c>
      <c r="E3601" s="1">
        <v>379.99</v>
      </c>
      <c r="F3601" s="1">
        <v>0.1</v>
      </c>
      <c r="G3601">
        <f t="shared" si="56"/>
        <v>759.88</v>
      </c>
      <c r="H3601" t="str">
        <f>VLOOKUP(C3601,[1]products!$A:$B,2,FALSE)</f>
        <v>Haro Flightline One ST - 2017</v>
      </c>
      <c r="I3601">
        <f>VLOOKUP(C3601,[1]products!$A:$D,4,FALSE)</f>
        <v>6</v>
      </c>
      <c r="J3601" t="str">
        <f>VLOOKUP(I3601,[2]categories!$A$1:$B$8,2,FALSE)</f>
        <v>Mountain Bikes</v>
      </c>
    </row>
    <row r="3602" customHeight="1" spans="1:10">
      <c r="A3602" s="1">
        <v>1245</v>
      </c>
      <c r="B3602" s="1">
        <v>1</v>
      </c>
      <c r="C3602" s="1">
        <v>13</v>
      </c>
      <c r="D3602" s="1">
        <v>1</v>
      </c>
      <c r="E3602" s="1">
        <v>269.99</v>
      </c>
      <c r="F3602" s="1">
        <v>0.1</v>
      </c>
      <c r="G3602">
        <f t="shared" si="56"/>
        <v>269.89</v>
      </c>
      <c r="H3602" t="str">
        <f>VLOOKUP(C3602,[1]products!$A:$B,2,FALSE)</f>
        <v>Electra Cruiser 1 (24-Inch) - 2016</v>
      </c>
      <c r="I3602">
        <f>VLOOKUP(C3602,[1]products!$A:$D,4,FALSE)</f>
        <v>3</v>
      </c>
      <c r="J3602" t="str">
        <f>VLOOKUP(I3602,[2]categories!$A$1:$B$8,2,FALSE)</f>
        <v>Cruisers Bicycles</v>
      </c>
    </row>
    <row r="3603" customHeight="1" spans="1:10">
      <c r="A3603" s="1">
        <v>1246</v>
      </c>
      <c r="B3603" s="1">
        <v>1</v>
      </c>
      <c r="C3603" s="1">
        <v>78</v>
      </c>
      <c r="D3603" s="1">
        <v>2</v>
      </c>
      <c r="E3603" s="1">
        <v>647.99</v>
      </c>
      <c r="F3603" s="1">
        <v>0.2</v>
      </c>
      <c r="G3603">
        <f t="shared" si="56"/>
        <v>1295.78</v>
      </c>
      <c r="H3603" t="str">
        <f>VLOOKUP(C3603,[1]products!$A:$B,2,FALSE)</f>
        <v>Sun Bicycles Biscayne Tandem CB - 2017</v>
      </c>
      <c r="I3603">
        <f>VLOOKUP(C3603,[1]products!$A:$D,4,FALSE)</f>
        <v>3</v>
      </c>
      <c r="J3603" t="str">
        <f>VLOOKUP(I3603,[2]categories!$A$1:$B$8,2,FALSE)</f>
        <v>Cruisers Bicycles</v>
      </c>
    </row>
    <row r="3604" customHeight="1" spans="1:10">
      <c r="A3604" s="1">
        <v>1246</v>
      </c>
      <c r="B3604" s="1">
        <v>2</v>
      </c>
      <c r="C3604" s="1">
        <v>46</v>
      </c>
      <c r="D3604" s="1">
        <v>1</v>
      </c>
      <c r="E3604" s="1">
        <v>1409.99</v>
      </c>
      <c r="F3604" s="1">
        <v>0.05</v>
      </c>
      <c r="G3604">
        <f t="shared" si="56"/>
        <v>1409.94</v>
      </c>
      <c r="H3604" t="str">
        <f>VLOOKUP(C3604,[1]products!$A:$B,2,FALSE)</f>
        <v>Haro SR 1.3 - 2017</v>
      </c>
      <c r="I3604">
        <f>VLOOKUP(C3604,[1]products!$A:$D,4,FALSE)</f>
        <v>6</v>
      </c>
      <c r="J3604" t="str">
        <f>VLOOKUP(I3604,[2]categories!$A$1:$B$8,2,FALSE)</f>
        <v>Mountain Bikes</v>
      </c>
    </row>
    <row r="3605" customHeight="1" spans="1:10">
      <c r="A3605" s="1">
        <v>1246</v>
      </c>
      <c r="B3605" s="1">
        <v>3</v>
      </c>
      <c r="C3605" s="1">
        <v>45</v>
      </c>
      <c r="D3605" s="1">
        <v>2</v>
      </c>
      <c r="E3605" s="1">
        <v>869.99</v>
      </c>
      <c r="F3605" s="1">
        <v>0.07</v>
      </c>
      <c r="G3605">
        <f t="shared" si="56"/>
        <v>1739.91</v>
      </c>
      <c r="H3605" t="str">
        <f>VLOOKUP(C3605,[1]products!$A:$B,2,FALSE)</f>
        <v>Haro SR 1.2 - 2017</v>
      </c>
      <c r="I3605">
        <f>VLOOKUP(C3605,[1]products!$A:$D,4,FALSE)</f>
        <v>6</v>
      </c>
      <c r="J3605" t="str">
        <f>VLOOKUP(I3605,[2]categories!$A$1:$B$8,2,FALSE)</f>
        <v>Mountain Bikes</v>
      </c>
    </row>
    <row r="3606" customHeight="1" spans="1:10">
      <c r="A3606" s="1">
        <v>1247</v>
      </c>
      <c r="B3606" s="1">
        <v>1</v>
      </c>
      <c r="C3606" s="1">
        <v>15</v>
      </c>
      <c r="D3606" s="1">
        <v>2</v>
      </c>
      <c r="E3606" s="1">
        <v>529.99</v>
      </c>
      <c r="F3606" s="1">
        <v>0.1</v>
      </c>
      <c r="G3606">
        <f t="shared" si="56"/>
        <v>1059.88</v>
      </c>
      <c r="H3606" t="str">
        <f>VLOOKUP(C3606,[1]products!$A:$B,2,FALSE)</f>
        <v>Electra Moto 1 - 2016</v>
      </c>
      <c r="I3606">
        <f>VLOOKUP(C3606,[1]products!$A:$D,4,FALSE)</f>
        <v>3</v>
      </c>
      <c r="J3606" t="str">
        <f>VLOOKUP(I3606,[2]categories!$A$1:$B$8,2,FALSE)</f>
        <v>Cruisers Bicycles</v>
      </c>
    </row>
    <row r="3607" customHeight="1" spans="1:10">
      <c r="A3607" s="1">
        <v>1247</v>
      </c>
      <c r="B3607" s="1">
        <v>2</v>
      </c>
      <c r="C3607" s="1">
        <v>28</v>
      </c>
      <c r="D3607" s="1">
        <v>2</v>
      </c>
      <c r="E3607" s="1">
        <v>2499.99</v>
      </c>
      <c r="F3607" s="1">
        <v>0.1</v>
      </c>
      <c r="G3607">
        <f t="shared" si="56"/>
        <v>4999.88</v>
      </c>
      <c r="H3607" t="str">
        <f>VLOOKUP(C3607,[1]products!$A:$B,2,FALSE)</f>
        <v>Surly Karate Monkey 27.5+ Frameset - 2017</v>
      </c>
      <c r="I3607">
        <f>VLOOKUP(C3607,[1]products!$A:$D,4,FALSE)</f>
        <v>6</v>
      </c>
      <c r="J3607" t="str">
        <f>VLOOKUP(I3607,[2]categories!$A$1:$B$8,2,FALSE)</f>
        <v>Mountain Bikes</v>
      </c>
    </row>
    <row r="3608" customHeight="1" spans="1:10">
      <c r="A3608" s="1">
        <v>1247</v>
      </c>
      <c r="B3608" s="1">
        <v>3</v>
      </c>
      <c r="C3608" s="1">
        <v>26</v>
      </c>
      <c r="D3608" s="1">
        <v>1</v>
      </c>
      <c r="E3608" s="1">
        <v>599.99</v>
      </c>
      <c r="F3608" s="1">
        <v>0.05</v>
      </c>
      <c r="G3608">
        <f t="shared" si="56"/>
        <v>599.94</v>
      </c>
      <c r="H3608" t="str">
        <f>VLOOKUP(C3608,[1]products!$A:$B,2,FALSE)</f>
        <v>Electra Townie Original 7D EQ - 2016</v>
      </c>
      <c r="I3608">
        <f>VLOOKUP(C3608,[1]products!$A:$D,4,FALSE)</f>
        <v>2</v>
      </c>
      <c r="J3608" t="str">
        <f>VLOOKUP(I3608,[2]categories!$A$1:$B$8,2,FALSE)</f>
        <v>Comfort Bicycles</v>
      </c>
    </row>
    <row r="3609" customHeight="1" spans="1:10">
      <c r="A3609" s="1">
        <v>1248</v>
      </c>
      <c r="B3609" s="1">
        <v>1</v>
      </c>
      <c r="C3609" s="1">
        <v>94</v>
      </c>
      <c r="D3609" s="1">
        <v>2</v>
      </c>
      <c r="E3609" s="1">
        <v>249.99</v>
      </c>
      <c r="F3609" s="1">
        <v>0.05</v>
      </c>
      <c r="G3609">
        <f t="shared" si="56"/>
        <v>499.93</v>
      </c>
      <c r="H3609" t="str">
        <f>VLOOKUP(C3609,[1]products!$A:$B,2,FALSE)</f>
        <v>Haro Shredder Pro 20 - 2017</v>
      </c>
      <c r="I3609">
        <f>VLOOKUP(C3609,[1]products!$A:$D,4,FALSE)</f>
        <v>1</v>
      </c>
      <c r="J3609" t="str">
        <f>VLOOKUP(I3609,[2]categories!$A$1:$B$8,2,FALSE)</f>
        <v>Children Bicycles</v>
      </c>
    </row>
    <row r="3610" customHeight="1" spans="1:10">
      <c r="A3610" s="1">
        <v>1248</v>
      </c>
      <c r="B3610" s="1">
        <v>2</v>
      </c>
      <c r="C3610" s="1">
        <v>33</v>
      </c>
      <c r="D3610" s="1">
        <v>2</v>
      </c>
      <c r="E3610" s="1">
        <v>469.99</v>
      </c>
      <c r="F3610" s="1">
        <v>0.1</v>
      </c>
      <c r="G3610">
        <f t="shared" si="56"/>
        <v>939.88</v>
      </c>
      <c r="H3610" t="str">
        <f>VLOOKUP(C3610,[1]products!$A:$B,2,FALSE)</f>
        <v>Surly Wednesday Frameset - 2017</v>
      </c>
      <c r="I3610">
        <f>VLOOKUP(C3610,[1]products!$A:$D,4,FALSE)</f>
        <v>6</v>
      </c>
      <c r="J3610" t="str">
        <f>VLOOKUP(I3610,[2]categories!$A$1:$B$8,2,FALSE)</f>
        <v>Mountain Bikes</v>
      </c>
    </row>
    <row r="3611" customHeight="1" spans="1:10">
      <c r="A3611" s="1">
        <v>1248</v>
      </c>
      <c r="B3611" s="1">
        <v>3</v>
      </c>
      <c r="C3611" s="1">
        <v>92</v>
      </c>
      <c r="D3611" s="1">
        <v>1</v>
      </c>
      <c r="E3611" s="1">
        <v>209.99</v>
      </c>
      <c r="F3611" s="1">
        <v>0.1</v>
      </c>
      <c r="G3611">
        <f t="shared" si="56"/>
        <v>209.89</v>
      </c>
      <c r="H3611" t="str">
        <f>VLOOKUP(C3611,[1]products!$A:$B,2,FALSE)</f>
        <v>Haro Shredder 20 - 2017</v>
      </c>
      <c r="I3611">
        <f>VLOOKUP(C3611,[1]products!$A:$D,4,FALSE)</f>
        <v>1</v>
      </c>
      <c r="J3611" t="str">
        <f>VLOOKUP(I3611,[2]categories!$A$1:$B$8,2,FALSE)</f>
        <v>Children Bicycles</v>
      </c>
    </row>
    <row r="3612" customHeight="1" spans="1:10">
      <c r="A3612" s="1">
        <v>1248</v>
      </c>
      <c r="B3612" s="1">
        <v>4</v>
      </c>
      <c r="C3612" s="1">
        <v>12</v>
      </c>
      <c r="D3612" s="1">
        <v>1</v>
      </c>
      <c r="E3612" s="1">
        <v>549.99</v>
      </c>
      <c r="F3612" s="1">
        <v>0.05</v>
      </c>
      <c r="G3612">
        <f t="shared" si="56"/>
        <v>549.94</v>
      </c>
      <c r="H3612" t="str">
        <f>VLOOKUP(C3612,[1]products!$A:$B,2,FALSE)</f>
        <v>Electra Townie Original 21D - 2016</v>
      </c>
      <c r="I3612">
        <f>VLOOKUP(C3612,[1]products!$A:$D,4,FALSE)</f>
        <v>3</v>
      </c>
      <c r="J3612" t="str">
        <f>VLOOKUP(I3612,[2]categories!$A$1:$B$8,2,FALSE)</f>
        <v>Cruisers Bicycles</v>
      </c>
    </row>
    <row r="3613" customHeight="1" spans="1:10">
      <c r="A3613" s="1">
        <v>1249</v>
      </c>
      <c r="B3613" s="1">
        <v>1</v>
      </c>
      <c r="C3613" s="1">
        <v>62</v>
      </c>
      <c r="D3613" s="1">
        <v>1</v>
      </c>
      <c r="E3613" s="1">
        <v>3499.99</v>
      </c>
      <c r="F3613" s="1">
        <v>0.05</v>
      </c>
      <c r="G3613">
        <f t="shared" si="56"/>
        <v>3499.94</v>
      </c>
      <c r="H3613" t="str">
        <f>VLOOKUP(C3613,[1]products!$A:$B,2,FALSE)</f>
        <v>Trek Boone 7 - 2017</v>
      </c>
      <c r="I3613">
        <f>VLOOKUP(C3613,[1]products!$A:$D,4,FALSE)</f>
        <v>4</v>
      </c>
      <c r="J3613" t="str">
        <f>VLOOKUP(I3613,[2]categories!$A$1:$B$8,2,FALSE)</f>
        <v>Cyclocross Bicycles</v>
      </c>
    </row>
    <row r="3614" customHeight="1" spans="1:10">
      <c r="A3614" s="1">
        <v>1249</v>
      </c>
      <c r="B3614" s="1">
        <v>2</v>
      </c>
      <c r="C3614" s="1">
        <v>104</v>
      </c>
      <c r="D3614" s="1">
        <v>1</v>
      </c>
      <c r="E3614" s="1">
        <v>481.99</v>
      </c>
      <c r="F3614" s="1">
        <v>0.05</v>
      </c>
      <c r="G3614">
        <f t="shared" si="56"/>
        <v>481.94</v>
      </c>
      <c r="H3614" t="str">
        <f>VLOOKUP(C3614,[1]products!$A:$B,2,FALSE)</f>
        <v>Sun Bicycles Streamway - 2017</v>
      </c>
      <c r="I3614">
        <f>VLOOKUP(C3614,[1]products!$A:$D,4,FALSE)</f>
        <v>2</v>
      </c>
      <c r="J3614" t="str">
        <f>VLOOKUP(I3614,[2]categories!$A$1:$B$8,2,FALSE)</f>
        <v>Comfort Bicycles</v>
      </c>
    </row>
    <row r="3615" customHeight="1" spans="1:10">
      <c r="A3615" s="1">
        <v>1249</v>
      </c>
      <c r="B3615" s="1">
        <v>3</v>
      </c>
      <c r="C3615" s="1">
        <v>61</v>
      </c>
      <c r="D3615" s="1">
        <v>1</v>
      </c>
      <c r="E3615" s="1">
        <v>4999.99</v>
      </c>
      <c r="F3615" s="1">
        <v>0.2</v>
      </c>
      <c r="G3615">
        <f t="shared" si="56"/>
        <v>4999.79</v>
      </c>
      <c r="H3615" t="str">
        <f>VLOOKUP(C3615,[1]products!$A:$B,2,FALSE)</f>
        <v>Trek Powerfly 8 FS Plus - 2017</v>
      </c>
      <c r="I3615">
        <f>VLOOKUP(C3615,[1]products!$A:$D,4,FALSE)</f>
        <v>5</v>
      </c>
      <c r="J3615" t="str">
        <f>VLOOKUP(I3615,[2]categories!$A$1:$B$8,2,FALSE)</f>
        <v>Electric Bikes</v>
      </c>
    </row>
    <row r="3616" customHeight="1" spans="1:10">
      <c r="A3616" s="1">
        <v>1250</v>
      </c>
      <c r="B3616" s="1">
        <v>1</v>
      </c>
      <c r="C3616" s="1">
        <v>78</v>
      </c>
      <c r="D3616" s="1">
        <v>2</v>
      </c>
      <c r="E3616" s="1">
        <v>647.99</v>
      </c>
      <c r="F3616" s="1">
        <v>0.05</v>
      </c>
      <c r="G3616">
        <f t="shared" si="56"/>
        <v>1295.93</v>
      </c>
      <c r="H3616" t="str">
        <f>VLOOKUP(C3616,[1]products!$A:$B,2,FALSE)</f>
        <v>Sun Bicycles Biscayne Tandem CB - 2017</v>
      </c>
      <c r="I3616">
        <f>VLOOKUP(C3616,[1]products!$A:$D,4,FALSE)</f>
        <v>3</v>
      </c>
      <c r="J3616" t="str">
        <f>VLOOKUP(I3616,[2]categories!$A$1:$B$8,2,FALSE)</f>
        <v>Cruisers Bicycles</v>
      </c>
    </row>
    <row r="3617" customHeight="1" spans="1:10">
      <c r="A3617" s="1">
        <v>1250</v>
      </c>
      <c r="B3617" s="1">
        <v>2</v>
      </c>
      <c r="C3617" s="1">
        <v>66</v>
      </c>
      <c r="D3617" s="1">
        <v>2</v>
      </c>
      <c r="E3617" s="1">
        <v>250.99</v>
      </c>
      <c r="F3617" s="1">
        <v>0.1</v>
      </c>
      <c r="G3617">
        <f t="shared" si="56"/>
        <v>501.88</v>
      </c>
      <c r="H3617" t="str">
        <f>VLOOKUP(C3617,[1]products!$A:$B,2,FALSE)</f>
        <v>Sun Bicycles Revolutions 24 - 2017</v>
      </c>
      <c r="I3617">
        <f>VLOOKUP(C3617,[1]products!$A:$D,4,FALSE)</f>
        <v>3</v>
      </c>
      <c r="J3617" t="str">
        <f>VLOOKUP(I3617,[2]categories!$A$1:$B$8,2,FALSE)</f>
        <v>Cruisers Bicycles</v>
      </c>
    </row>
    <row r="3618" customHeight="1" spans="1:10">
      <c r="A3618" s="1">
        <v>1250</v>
      </c>
      <c r="B3618" s="1">
        <v>3</v>
      </c>
      <c r="C3618" s="1">
        <v>20</v>
      </c>
      <c r="D3618" s="1">
        <v>2</v>
      </c>
      <c r="E3618" s="1">
        <v>599.99</v>
      </c>
      <c r="F3618" s="1">
        <v>0.05</v>
      </c>
      <c r="G3618">
        <f t="shared" si="56"/>
        <v>1199.93</v>
      </c>
      <c r="H3618" t="str">
        <f>VLOOKUP(C3618,[1]products!$A:$B,2,FALSE)</f>
        <v>Electra Townie Original 7D EQ - Women's - 2016</v>
      </c>
      <c r="I3618">
        <f>VLOOKUP(C3618,[1]products!$A:$D,4,FALSE)</f>
        <v>3</v>
      </c>
      <c r="J3618" t="str">
        <f>VLOOKUP(I3618,[2]categories!$A$1:$B$8,2,FALSE)</f>
        <v>Cruisers Bicycles</v>
      </c>
    </row>
    <row r="3619" customHeight="1" spans="1:10">
      <c r="A3619" s="1">
        <v>1250</v>
      </c>
      <c r="B3619" s="1">
        <v>4</v>
      </c>
      <c r="C3619" s="1">
        <v>6</v>
      </c>
      <c r="D3619" s="1">
        <v>2</v>
      </c>
      <c r="E3619" s="1">
        <v>469.99</v>
      </c>
      <c r="F3619" s="1">
        <v>0.1</v>
      </c>
      <c r="G3619">
        <f t="shared" si="56"/>
        <v>939.88</v>
      </c>
      <c r="H3619" t="str">
        <f>VLOOKUP(C3619,[1]products!$A:$B,2,FALSE)</f>
        <v>Surly Ice Cream Truck Frameset - 2016</v>
      </c>
      <c r="I3619">
        <f>VLOOKUP(C3619,[1]products!$A:$D,4,FALSE)</f>
        <v>6</v>
      </c>
      <c r="J3619" t="str">
        <f>VLOOKUP(I3619,[2]categories!$A$1:$B$8,2,FALSE)</f>
        <v>Mountain Bikes</v>
      </c>
    </row>
    <row r="3620" customHeight="1" spans="1:10">
      <c r="A3620" s="1">
        <v>1251</v>
      </c>
      <c r="B3620" s="1">
        <v>1</v>
      </c>
      <c r="C3620" s="1">
        <v>40</v>
      </c>
      <c r="D3620" s="1">
        <v>2</v>
      </c>
      <c r="E3620" s="1">
        <v>4999.99</v>
      </c>
      <c r="F3620" s="1">
        <v>0.1</v>
      </c>
      <c r="G3620">
        <f t="shared" si="56"/>
        <v>9999.88</v>
      </c>
      <c r="H3620" t="str">
        <f>VLOOKUP(C3620,[1]products!$A:$B,2,FALSE)</f>
        <v>Trek Fuel EX 9.8 29 - 2017</v>
      </c>
      <c r="I3620">
        <f>VLOOKUP(C3620,[1]products!$A:$D,4,FALSE)</f>
        <v>6</v>
      </c>
      <c r="J3620" t="str">
        <f>VLOOKUP(I3620,[2]categories!$A$1:$B$8,2,FALSE)</f>
        <v>Mountain Bikes</v>
      </c>
    </row>
    <row r="3621" customHeight="1" spans="1:10">
      <c r="A3621" s="1">
        <v>1251</v>
      </c>
      <c r="B3621" s="1">
        <v>2</v>
      </c>
      <c r="C3621" s="1">
        <v>56</v>
      </c>
      <c r="D3621" s="1">
        <v>1</v>
      </c>
      <c r="E3621" s="1">
        <v>5499.99</v>
      </c>
      <c r="F3621" s="1">
        <v>0.07</v>
      </c>
      <c r="G3621">
        <f t="shared" si="56"/>
        <v>5499.92</v>
      </c>
      <c r="H3621" t="str">
        <f>VLOOKUP(C3621,[1]products!$A:$B,2,FALSE)</f>
        <v>Trek Domane SLR 6 Disc - 2017</v>
      </c>
      <c r="I3621">
        <f>VLOOKUP(C3621,[1]products!$A:$D,4,FALSE)</f>
        <v>7</v>
      </c>
      <c r="J3621" t="str">
        <f>VLOOKUP(I3621,[2]categories!$A$1:$B$8,2,FALSE)</f>
        <v>Road Bikes</v>
      </c>
    </row>
    <row r="3622" customHeight="1" spans="1:10">
      <c r="A3622" s="1">
        <v>1251</v>
      </c>
      <c r="B3622" s="1">
        <v>3</v>
      </c>
      <c r="C3622" s="1">
        <v>7</v>
      </c>
      <c r="D3622" s="1">
        <v>1</v>
      </c>
      <c r="E3622" s="1">
        <v>3999.99</v>
      </c>
      <c r="F3622" s="1">
        <v>0.07</v>
      </c>
      <c r="G3622">
        <f t="shared" si="56"/>
        <v>3999.92</v>
      </c>
      <c r="H3622" t="str">
        <f>VLOOKUP(C3622,[1]products!$A:$B,2,FALSE)</f>
        <v>Trek Slash 8 27.5 - 2016</v>
      </c>
      <c r="I3622">
        <f>VLOOKUP(C3622,[1]products!$A:$D,4,FALSE)</f>
        <v>6</v>
      </c>
      <c r="J3622" t="str">
        <f>VLOOKUP(I3622,[2]categories!$A$1:$B$8,2,FALSE)</f>
        <v>Mountain Bikes</v>
      </c>
    </row>
    <row r="3623" customHeight="1" spans="1:10">
      <c r="A3623" s="1">
        <v>1252</v>
      </c>
      <c r="B3623" s="1">
        <v>1</v>
      </c>
      <c r="C3623" s="1">
        <v>79</v>
      </c>
      <c r="D3623" s="1">
        <v>1</v>
      </c>
      <c r="E3623" s="1">
        <v>402.99</v>
      </c>
      <c r="F3623" s="1">
        <v>0.2</v>
      </c>
      <c r="G3623">
        <f t="shared" si="56"/>
        <v>402.79</v>
      </c>
      <c r="H3623" t="str">
        <f>VLOOKUP(C3623,[1]products!$A:$B,2,FALSE)</f>
        <v>Sun Bicycles Boardwalk (24-inch Wheels) - 2017</v>
      </c>
      <c r="I3623">
        <f>VLOOKUP(C3623,[1]products!$A:$D,4,FALSE)</f>
        <v>3</v>
      </c>
      <c r="J3623" t="str">
        <f>VLOOKUP(I3623,[2]categories!$A$1:$B$8,2,FALSE)</f>
        <v>Cruisers Bicycles</v>
      </c>
    </row>
    <row r="3624" customHeight="1" spans="1:10">
      <c r="A3624" s="1">
        <v>1252</v>
      </c>
      <c r="B3624" s="1">
        <v>2</v>
      </c>
      <c r="C3624" s="1">
        <v>84</v>
      </c>
      <c r="D3624" s="1">
        <v>1</v>
      </c>
      <c r="E3624" s="1">
        <v>109.99</v>
      </c>
      <c r="F3624" s="1">
        <v>0.2</v>
      </c>
      <c r="G3624">
        <f t="shared" si="56"/>
        <v>109.79</v>
      </c>
      <c r="H3624" t="str">
        <f>VLOOKUP(C3624,[1]products!$A:$B,2,FALSE)</f>
        <v>Sun Bicycles Lil Kitt'n - 2017</v>
      </c>
      <c r="I3624">
        <f>VLOOKUP(C3624,[1]products!$A:$D,4,FALSE)</f>
        <v>1</v>
      </c>
      <c r="J3624" t="str">
        <f>VLOOKUP(I3624,[2]categories!$A$1:$B$8,2,FALSE)</f>
        <v>Children Bicycles</v>
      </c>
    </row>
    <row r="3625" customHeight="1" spans="1:10">
      <c r="A3625" s="1">
        <v>1252</v>
      </c>
      <c r="B3625" s="1">
        <v>3</v>
      </c>
      <c r="C3625" s="1">
        <v>57</v>
      </c>
      <c r="D3625" s="1">
        <v>2</v>
      </c>
      <c r="E3625" s="1">
        <v>1999.99</v>
      </c>
      <c r="F3625" s="1">
        <v>0.05</v>
      </c>
      <c r="G3625">
        <f t="shared" si="56"/>
        <v>3999.93</v>
      </c>
      <c r="H3625" t="str">
        <f>VLOOKUP(C3625,[1]products!$A:$B,2,FALSE)</f>
        <v>Trek Emonda S 5 - 2017</v>
      </c>
      <c r="I3625">
        <f>VLOOKUP(C3625,[1]products!$A:$D,4,FALSE)</f>
        <v>7</v>
      </c>
      <c r="J3625" t="str">
        <f>VLOOKUP(I3625,[2]categories!$A$1:$B$8,2,FALSE)</f>
        <v>Road Bikes</v>
      </c>
    </row>
    <row r="3626" customHeight="1" spans="1:10">
      <c r="A3626" s="1">
        <v>1253</v>
      </c>
      <c r="B3626" s="1">
        <v>1</v>
      </c>
      <c r="C3626" s="1">
        <v>25</v>
      </c>
      <c r="D3626" s="1">
        <v>2</v>
      </c>
      <c r="E3626" s="1">
        <v>499.99</v>
      </c>
      <c r="F3626" s="1">
        <v>0.1</v>
      </c>
      <c r="G3626">
        <f t="shared" si="56"/>
        <v>999.88</v>
      </c>
      <c r="H3626" t="str">
        <f>VLOOKUP(C3626,[1]products!$A:$B,2,FALSE)</f>
        <v>Electra Townie Original 7D - 2015/2016</v>
      </c>
      <c r="I3626">
        <f>VLOOKUP(C3626,[1]products!$A:$D,4,FALSE)</f>
        <v>2</v>
      </c>
      <c r="J3626" t="str">
        <f>VLOOKUP(I3626,[2]categories!$A$1:$B$8,2,FALSE)</f>
        <v>Comfort Bicycles</v>
      </c>
    </row>
    <row r="3627" customHeight="1" spans="1:10">
      <c r="A3627" s="1">
        <v>1253</v>
      </c>
      <c r="B3627" s="1">
        <v>2</v>
      </c>
      <c r="C3627" s="1">
        <v>21</v>
      </c>
      <c r="D3627" s="1">
        <v>1</v>
      </c>
      <c r="E3627" s="1">
        <v>269.99</v>
      </c>
      <c r="F3627" s="1">
        <v>0.07</v>
      </c>
      <c r="G3627">
        <f t="shared" si="56"/>
        <v>269.92</v>
      </c>
      <c r="H3627" t="str">
        <f>VLOOKUP(C3627,[1]products!$A:$B,2,FALSE)</f>
        <v>Electra Cruiser 1 (24-Inch) - 2016</v>
      </c>
      <c r="I3627">
        <f>VLOOKUP(C3627,[1]products!$A:$D,4,FALSE)</f>
        <v>1</v>
      </c>
      <c r="J3627" t="str">
        <f>VLOOKUP(I3627,[2]categories!$A$1:$B$8,2,FALSE)</f>
        <v>Children Bicycles</v>
      </c>
    </row>
    <row r="3628" customHeight="1" spans="1:10">
      <c r="A3628" s="1">
        <v>1253</v>
      </c>
      <c r="B3628" s="1">
        <v>3</v>
      </c>
      <c r="C3628" s="1">
        <v>88</v>
      </c>
      <c r="D3628" s="1">
        <v>1</v>
      </c>
      <c r="E3628" s="1">
        <v>189.99</v>
      </c>
      <c r="F3628" s="1">
        <v>0.2</v>
      </c>
      <c r="G3628">
        <f t="shared" si="56"/>
        <v>189.79</v>
      </c>
      <c r="H3628" t="str">
        <f>VLOOKUP(C3628,[1]products!$A:$B,2,FALSE)</f>
        <v>Trek Precaliber 12 Girls - 2017</v>
      </c>
      <c r="I3628">
        <f>VLOOKUP(C3628,[1]products!$A:$D,4,FALSE)</f>
        <v>1</v>
      </c>
      <c r="J3628" t="str">
        <f>VLOOKUP(I3628,[2]categories!$A$1:$B$8,2,FALSE)</f>
        <v>Children Bicycles</v>
      </c>
    </row>
    <row r="3629" customHeight="1" spans="1:10">
      <c r="A3629" s="1">
        <v>1254</v>
      </c>
      <c r="B3629" s="1">
        <v>1</v>
      </c>
      <c r="C3629" s="1">
        <v>80</v>
      </c>
      <c r="D3629" s="1">
        <v>1</v>
      </c>
      <c r="E3629" s="1">
        <v>761.99</v>
      </c>
      <c r="F3629" s="1">
        <v>0.2</v>
      </c>
      <c r="G3629">
        <f t="shared" si="56"/>
        <v>761.79</v>
      </c>
      <c r="H3629" t="str">
        <f>VLOOKUP(C3629,[1]products!$A:$B,2,FALSE)</f>
        <v>Sun Bicycles Brickell Tandem CB - 2017</v>
      </c>
      <c r="I3629">
        <f>VLOOKUP(C3629,[1]products!$A:$D,4,FALSE)</f>
        <v>3</v>
      </c>
      <c r="J3629" t="str">
        <f>VLOOKUP(I3629,[2]categories!$A$1:$B$8,2,FALSE)</f>
        <v>Cruisers Bicycles</v>
      </c>
    </row>
    <row r="3630" customHeight="1" spans="1:10">
      <c r="A3630" s="1">
        <v>1254</v>
      </c>
      <c r="B3630" s="1">
        <v>2</v>
      </c>
      <c r="C3630" s="1">
        <v>91</v>
      </c>
      <c r="D3630" s="1">
        <v>1</v>
      </c>
      <c r="E3630" s="1">
        <v>349.99</v>
      </c>
      <c r="F3630" s="1">
        <v>0.2</v>
      </c>
      <c r="G3630">
        <f t="shared" si="56"/>
        <v>349.79</v>
      </c>
      <c r="H3630" t="str">
        <f>VLOOKUP(C3630,[1]products!$A:$B,2,FALSE)</f>
        <v>Trek Precaliber 24 (21-Speed) - Girls - 2017</v>
      </c>
      <c r="I3630">
        <f>VLOOKUP(C3630,[1]products!$A:$D,4,FALSE)</f>
        <v>1</v>
      </c>
      <c r="J3630" t="str">
        <f>VLOOKUP(I3630,[2]categories!$A$1:$B$8,2,FALSE)</f>
        <v>Children Bicycles</v>
      </c>
    </row>
    <row r="3631" customHeight="1" spans="1:10">
      <c r="A3631" s="1">
        <v>1255</v>
      </c>
      <c r="B3631" s="1">
        <v>1</v>
      </c>
      <c r="C3631" s="1">
        <v>43</v>
      </c>
      <c r="D3631" s="1">
        <v>2</v>
      </c>
      <c r="E3631" s="1">
        <v>5299.99</v>
      </c>
      <c r="F3631" s="1">
        <v>0.2</v>
      </c>
      <c r="G3631">
        <f t="shared" si="56"/>
        <v>10599.78</v>
      </c>
      <c r="H3631" t="str">
        <f>VLOOKUP(C3631,[1]products!$A:$B,2,FALSE)</f>
        <v>Trek Fuel EX 9.8 27.5 Plus - 2017</v>
      </c>
      <c r="I3631">
        <f>VLOOKUP(C3631,[1]products!$A:$D,4,FALSE)</f>
        <v>6</v>
      </c>
      <c r="J3631" t="str">
        <f>VLOOKUP(I3631,[2]categories!$A$1:$B$8,2,FALSE)</f>
        <v>Mountain Bikes</v>
      </c>
    </row>
    <row r="3632" customHeight="1" spans="1:10">
      <c r="A3632" s="1">
        <v>1255</v>
      </c>
      <c r="B3632" s="1">
        <v>2</v>
      </c>
      <c r="C3632" s="1">
        <v>53</v>
      </c>
      <c r="D3632" s="1">
        <v>1</v>
      </c>
      <c r="E3632" s="1">
        <v>749.99</v>
      </c>
      <c r="F3632" s="1">
        <v>0.05</v>
      </c>
      <c r="G3632">
        <f t="shared" si="56"/>
        <v>749.94</v>
      </c>
      <c r="H3632" t="str">
        <f>VLOOKUP(C3632,[1]products!$A:$B,2,FALSE)</f>
        <v>Surly Ogre Frameset - 2017</v>
      </c>
      <c r="I3632">
        <f>VLOOKUP(C3632,[1]products!$A:$D,4,FALSE)</f>
        <v>7</v>
      </c>
      <c r="J3632" t="str">
        <f>VLOOKUP(I3632,[2]categories!$A$1:$B$8,2,FALSE)</f>
        <v>Road Bikes</v>
      </c>
    </row>
    <row r="3633" customHeight="1" spans="1:10">
      <c r="A3633" s="1">
        <v>1255</v>
      </c>
      <c r="B3633" s="1">
        <v>3</v>
      </c>
      <c r="C3633" s="1">
        <v>14</v>
      </c>
      <c r="D3633" s="1">
        <v>2</v>
      </c>
      <c r="E3633" s="1">
        <v>269.99</v>
      </c>
      <c r="F3633" s="1">
        <v>0.2</v>
      </c>
      <c r="G3633">
        <f t="shared" si="56"/>
        <v>539.78</v>
      </c>
      <c r="H3633" t="str">
        <f>VLOOKUP(C3633,[1]products!$A:$B,2,FALSE)</f>
        <v>Electra Girl's Hawaii 1 (16-inch) - 2015/2016</v>
      </c>
      <c r="I3633">
        <f>VLOOKUP(C3633,[1]products!$A:$D,4,FALSE)</f>
        <v>3</v>
      </c>
      <c r="J3633" t="str">
        <f>VLOOKUP(I3633,[2]categories!$A$1:$B$8,2,FALSE)</f>
        <v>Cruisers Bicycles</v>
      </c>
    </row>
    <row r="3634" customHeight="1" spans="1:10">
      <c r="A3634" s="1">
        <v>1255</v>
      </c>
      <c r="B3634" s="1">
        <v>4</v>
      </c>
      <c r="C3634" s="1">
        <v>26</v>
      </c>
      <c r="D3634" s="1">
        <v>2</v>
      </c>
      <c r="E3634" s="1">
        <v>599.99</v>
      </c>
      <c r="F3634" s="1">
        <v>0.05</v>
      </c>
      <c r="G3634">
        <f t="shared" si="56"/>
        <v>1199.93</v>
      </c>
      <c r="H3634" t="str">
        <f>VLOOKUP(C3634,[1]products!$A:$B,2,FALSE)</f>
        <v>Electra Townie Original 7D EQ - 2016</v>
      </c>
      <c r="I3634">
        <f>VLOOKUP(C3634,[1]products!$A:$D,4,FALSE)</f>
        <v>2</v>
      </c>
      <c r="J3634" t="str">
        <f>VLOOKUP(I3634,[2]categories!$A$1:$B$8,2,FALSE)</f>
        <v>Comfort Bicycles</v>
      </c>
    </row>
    <row r="3635" customHeight="1" spans="1:10">
      <c r="A3635" s="1">
        <v>1255</v>
      </c>
      <c r="B3635" s="1">
        <v>5</v>
      </c>
      <c r="C3635" s="1">
        <v>82</v>
      </c>
      <c r="D3635" s="1">
        <v>1</v>
      </c>
      <c r="E3635" s="1">
        <v>659.99</v>
      </c>
      <c r="F3635" s="1">
        <v>0.05</v>
      </c>
      <c r="G3635">
        <f t="shared" si="56"/>
        <v>659.94</v>
      </c>
      <c r="H3635" t="str">
        <f>VLOOKUP(C3635,[1]products!$A:$B,2,FALSE)</f>
        <v>Electra Amsterdam Original 3i Ladies' - 2017</v>
      </c>
      <c r="I3635">
        <f>VLOOKUP(C3635,[1]products!$A:$D,4,FALSE)</f>
        <v>3</v>
      </c>
      <c r="J3635" t="str">
        <f>VLOOKUP(I3635,[2]categories!$A$1:$B$8,2,FALSE)</f>
        <v>Cruisers Bicycles</v>
      </c>
    </row>
    <row r="3636" customHeight="1" spans="1:10">
      <c r="A3636" s="1">
        <v>1256</v>
      </c>
      <c r="B3636" s="1">
        <v>1</v>
      </c>
      <c r="C3636" s="1">
        <v>44</v>
      </c>
      <c r="D3636" s="1">
        <v>2</v>
      </c>
      <c r="E3636" s="1">
        <v>539.99</v>
      </c>
      <c r="F3636" s="1">
        <v>0.2</v>
      </c>
      <c r="G3636">
        <f t="shared" si="56"/>
        <v>1079.78</v>
      </c>
      <c r="H3636" t="str">
        <f>VLOOKUP(C3636,[1]products!$A:$B,2,FALSE)</f>
        <v>Haro SR 1.1 - 2017</v>
      </c>
      <c r="I3636">
        <f>VLOOKUP(C3636,[1]products!$A:$D,4,FALSE)</f>
        <v>6</v>
      </c>
      <c r="J3636" t="str">
        <f>VLOOKUP(I3636,[2]categories!$A$1:$B$8,2,FALSE)</f>
        <v>Mountain Bikes</v>
      </c>
    </row>
    <row r="3637" customHeight="1" spans="1:10">
      <c r="A3637" s="1">
        <v>1256</v>
      </c>
      <c r="B3637" s="1">
        <v>2</v>
      </c>
      <c r="C3637" s="1">
        <v>100</v>
      </c>
      <c r="D3637" s="1">
        <v>1</v>
      </c>
      <c r="E3637" s="1">
        <v>489.99</v>
      </c>
      <c r="F3637" s="1">
        <v>0.1</v>
      </c>
      <c r="G3637">
        <f t="shared" si="56"/>
        <v>489.89</v>
      </c>
      <c r="H3637" t="str">
        <f>VLOOKUP(C3637,[1]products!$A:$B,2,FALSE)</f>
        <v>Electra Townie 3i EQ (20-inch) - Boys' - 2017</v>
      </c>
      <c r="I3637">
        <f>VLOOKUP(C3637,[1]products!$A:$D,4,FALSE)</f>
        <v>1</v>
      </c>
      <c r="J3637" t="str">
        <f>VLOOKUP(I3637,[2]categories!$A$1:$B$8,2,FALSE)</f>
        <v>Children Bicycles</v>
      </c>
    </row>
    <row r="3638" customHeight="1" spans="1:10">
      <c r="A3638" s="1">
        <v>1257</v>
      </c>
      <c r="B3638" s="1">
        <v>1</v>
      </c>
      <c r="C3638" s="1">
        <v>30</v>
      </c>
      <c r="D3638" s="1">
        <v>2</v>
      </c>
      <c r="E3638" s="1">
        <v>999.99</v>
      </c>
      <c r="F3638" s="1">
        <v>0.05</v>
      </c>
      <c r="G3638">
        <f t="shared" si="56"/>
        <v>1999.93</v>
      </c>
      <c r="H3638" t="str">
        <f>VLOOKUP(C3638,[1]products!$A:$B,2,FALSE)</f>
        <v>Surly Ice Cream Truck Frameset - 2017</v>
      </c>
      <c r="I3638">
        <f>VLOOKUP(C3638,[1]products!$A:$D,4,FALSE)</f>
        <v>6</v>
      </c>
      <c r="J3638" t="str">
        <f>VLOOKUP(I3638,[2]categories!$A$1:$B$8,2,FALSE)</f>
        <v>Mountain Bikes</v>
      </c>
    </row>
    <row r="3639" customHeight="1" spans="1:10">
      <c r="A3639" s="1">
        <v>1257</v>
      </c>
      <c r="B3639" s="1">
        <v>2</v>
      </c>
      <c r="C3639" s="1">
        <v>61</v>
      </c>
      <c r="D3639" s="1">
        <v>1</v>
      </c>
      <c r="E3639" s="1">
        <v>4999.99</v>
      </c>
      <c r="F3639" s="1">
        <v>0.05</v>
      </c>
      <c r="G3639">
        <f t="shared" si="56"/>
        <v>4999.94</v>
      </c>
      <c r="H3639" t="str">
        <f>VLOOKUP(C3639,[1]products!$A:$B,2,FALSE)</f>
        <v>Trek Powerfly 8 FS Plus - 2017</v>
      </c>
      <c r="I3639">
        <f>VLOOKUP(C3639,[1]products!$A:$D,4,FALSE)</f>
        <v>5</v>
      </c>
      <c r="J3639" t="str">
        <f>VLOOKUP(I3639,[2]categories!$A$1:$B$8,2,FALSE)</f>
        <v>Electric Bikes</v>
      </c>
    </row>
    <row r="3640" customHeight="1" spans="1:10">
      <c r="A3640" s="1">
        <v>1257</v>
      </c>
      <c r="B3640" s="1">
        <v>3</v>
      </c>
      <c r="C3640" s="1">
        <v>17</v>
      </c>
      <c r="D3640" s="1">
        <v>2</v>
      </c>
      <c r="E3640" s="1">
        <v>429</v>
      </c>
      <c r="F3640" s="1">
        <v>0.1</v>
      </c>
      <c r="G3640">
        <f t="shared" si="56"/>
        <v>857.9</v>
      </c>
      <c r="H3640" t="str">
        <f>VLOOKUP(C3640,[1]products!$A:$B,2,FALSE)</f>
        <v>Pure Cycles Vine 8-Speed - 2016</v>
      </c>
      <c r="I3640">
        <f>VLOOKUP(C3640,[1]products!$A:$D,4,FALSE)</f>
        <v>3</v>
      </c>
      <c r="J3640" t="str">
        <f>VLOOKUP(I3640,[2]categories!$A$1:$B$8,2,FALSE)</f>
        <v>Cruisers Bicycles</v>
      </c>
    </row>
    <row r="3641" customHeight="1" spans="1:10">
      <c r="A3641" s="1">
        <v>1257</v>
      </c>
      <c r="B3641" s="1">
        <v>4</v>
      </c>
      <c r="C3641" s="1">
        <v>41</v>
      </c>
      <c r="D3641" s="1">
        <v>1</v>
      </c>
      <c r="E3641" s="1">
        <v>1469.99</v>
      </c>
      <c r="F3641" s="1">
        <v>0.05</v>
      </c>
      <c r="G3641">
        <f t="shared" si="56"/>
        <v>1469.94</v>
      </c>
      <c r="H3641" t="str">
        <f>VLOOKUP(C3641,[1]products!$A:$B,2,FALSE)</f>
        <v>Haro Shift R3 - 2017</v>
      </c>
      <c r="I3641">
        <f>VLOOKUP(C3641,[1]products!$A:$D,4,FALSE)</f>
        <v>6</v>
      </c>
      <c r="J3641" t="str">
        <f>VLOOKUP(I3641,[2]categories!$A$1:$B$8,2,FALSE)</f>
        <v>Mountain Bikes</v>
      </c>
    </row>
    <row r="3642" customHeight="1" spans="1:10">
      <c r="A3642" s="1">
        <v>1257</v>
      </c>
      <c r="B3642" s="1">
        <v>5</v>
      </c>
      <c r="C3642" s="1">
        <v>4</v>
      </c>
      <c r="D3642" s="1">
        <v>1</v>
      </c>
      <c r="E3642" s="1">
        <v>2899.99</v>
      </c>
      <c r="F3642" s="1">
        <v>0.1</v>
      </c>
      <c r="G3642">
        <f t="shared" si="56"/>
        <v>2899.89</v>
      </c>
      <c r="H3642" t="str">
        <f>VLOOKUP(C3642,[1]products!$A:$B,2,FALSE)</f>
        <v>Trek Fuel EX 8 29 - 2016</v>
      </c>
      <c r="I3642">
        <f>VLOOKUP(C3642,[1]products!$A:$D,4,FALSE)</f>
        <v>6</v>
      </c>
      <c r="J3642" t="str">
        <f>VLOOKUP(I3642,[2]categories!$A$1:$B$8,2,FALSE)</f>
        <v>Mountain Bikes</v>
      </c>
    </row>
    <row r="3643" customHeight="1" spans="1:10">
      <c r="A3643" s="1">
        <v>1258</v>
      </c>
      <c r="B3643" s="1">
        <v>1</v>
      </c>
      <c r="C3643" s="1">
        <v>94</v>
      </c>
      <c r="D3643" s="1">
        <v>2</v>
      </c>
      <c r="E3643" s="1">
        <v>249.99</v>
      </c>
      <c r="F3643" s="1">
        <v>0.1</v>
      </c>
      <c r="G3643">
        <f t="shared" si="56"/>
        <v>499.88</v>
      </c>
      <c r="H3643" t="str">
        <f>VLOOKUP(C3643,[1]products!$A:$B,2,FALSE)</f>
        <v>Haro Shredder Pro 20 - 2017</v>
      </c>
      <c r="I3643">
        <f>VLOOKUP(C3643,[1]products!$A:$D,4,FALSE)</f>
        <v>1</v>
      </c>
      <c r="J3643" t="str">
        <f>VLOOKUP(I3643,[2]categories!$A$1:$B$8,2,FALSE)</f>
        <v>Children Bicycles</v>
      </c>
    </row>
    <row r="3644" customHeight="1" spans="1:10">
      <c r="A3644" s="1">
        <v>1258</v>
      </c>
      <c r="B3644" s="1">
        <v>2</v>
      </c>
      <c r="C3644" s="1">
        <v>99</v>
      </c>
      <c r="D3644" s="1">
        <v>2</v>
      </c>
      <c r="E3644" s="1">
        <v>299.99</v>
      </c>
      <c r="F3644" s="1">
        <v>0.05</v>
      </c>
      <c r="G3644">
        <f t="shared" si="56"/>
        <v>599.93</v>
      </c>
      <c r="H3644" t="str">
        <f>VLOOKUP(C3644,[1]products!$A:$B,2,FALSE)</f>
        <v>Electra Sugar Skulls 1 (20-inch) - Girl's - 2017</v>
      </c>
      <c r="I3644">
        <f>VLOOKUP(C3644,[1]products!$A:$D,4,FALSE)</f>
        <v>1</v>
      </c>
      <c r="J3644" t="str">
        <f>VLOOKUP(I3644,[2]categories!$A$1:$B$8,2,FALSE)</f>
        <v>Children Bicycles</v>
      </c>
    </row>
    <row r="3645" customHeight="1" spans="1:10">
      <c r="A3645" s="1">
        <v>1259</v>
      </c>
      <c r="B3645" s="1">
        <v>1</v>
      </c>
      <c r="C3645" s="1">
        <v>60</v>
      </c>
      <c r="D3645" s="1">
        <v>1</v>
      </c>
      <c r="E3645" s="1">
        <v>1559.99</v>
      </c>
      <c r="F3645" s="1">
        <v>0.1</v>
      </c>
      <c r="G3645">
        <f t="shared" si="56"/>
        <v>1559.89</v>
      </c>
      <c r="H3645" t="str">
        <f>VLOOKUP(C3645,[1]products!$A:$B,2,FALSE)</f>
        <v>Sun Bicycles ElectroLite - 2017</v>
      </c>
      <c r="I3645">
        <f>VLOOKUP(C3645,[1]products!$A:$D,4,FALSE)</f>
        <v>5</v>
      </c>
      <c r="J3645" t="str">
        <f>VLOOKUP(I3645,[2]categories!$A$1:$B$8,2,FALSE)</f>
        <v>Electric Bikes</v>
      </c>
    </row>
    <row r="3646" customHeight="1" spans="1:10">
      <c r="A3646" s="1">
        <v>1259</v>
      </c>
      <c r="B3646" s="1">
        <v>2</v>
      </c>
      <c r="C3646" s="1">
        <v>19</v>
      </c>
      <c r="D3646" s="1">
        <v>1</v>
      </c>
      <c r="E3646" s="1">
        <v>449</v>
      </c>
      <c r="F3646" s="1">
        <v>0.2</v>
      </c>
      <c r="G3646">
        <f t="shared" si="56"/>
        <v>448.8</v>
      </c>
      <c r="H3646" t="str">
        <f>VLOOKUP(C3646,[1]products!$A:$B,2,FALSE)</f>
        <v>Pure Cycles William 3-Speed - 2016</v>
      </c>
      <c r="I3646">
        <f>VLOOKUP(C3646,[1]products!$A:$D,4,FALSE)</f>
        <v>3</v>
      </c>
      <c r="J3646" t="str">
        <f>VLOOKUP(I3646,[2]categories!$A$1:$B$8,2,FALSE)</f>
        <v>Cruisers Bicycles</v>
      </c>
    </row>
    <row r="3647" customHeight="1" spans="1:10">
      <c r="A3647" s="1">
        <v>1260</v>
      </c>
      <c r="B3647" s="1">
        <v>1</v>
      </c>
      <c r="C3647" s="1">
        <v>8</v>
      </c>
      <c r="D3647" s="1">
        <v>1</v>
      </c>
      <c r="E3647" s="1">
        <v>1799.99</v>
      </c>
      <c r="F3647" s="1">
        <v>0.1</v>
      </c>
      <c r="G3647">
        <f t="shared" si="56"/>
        <v>1799.89</v>
      </c>
      <c r="H3647" t="str">
        <f>VLOOKUP(C3647,[1]products!$A:$B,2,FALSE)</f>
        <v>Trek Remedy 29 Carbon Frameset - 2016</v>
      </c>
      <c r="I3647">
        <f>VLOOKUP(C3647,[1]products!$A:$D,4,FALSE)</f>
        <v>6</v>
      </c>
      <c r="J3647" t="str">
        <f>VLOOKUP(I3647,[2]categories!$A$1:$B$8,2,FALSE)</f>
        <v>Mountain Bikes</v>
      </c>
    </row>
    <row r="3648" customHeight="1" spans="1:10">
      <c r="A3648" s="1">
        <v>1260</v>
      </c>
      <c r="B3648" s="1">
        <v>2</v>
      </c>
      <c r="C3648" s="1">
        <v>66</v>
      </c>
      <c r="D3648" s="1">
        <v>1</v>
      </c>
      <c r="E3648" s="1">
        <v>250.99</v>
      </c>
      <c r="F3648" s="1">
        <v>0.1</v>
      </c>
      <c r="G3648">
        <f t="shared" si="56"/>
        <v>250.89</v>
      </c>
      <c r="H3648" t="str">
        <f>VLOOKUP(C3648,[1]products!$A:$B,2,FALSE)</f>
        <v>Sun Bicycles Revolutions 24 - 2017</v>
      </c>
      <c r="I3648">
        <f>VLOOKUP(C3648,[1]products!$A:$D,4,FALSE)</f>
        <v>3</v>
      </c>
      <c r="J3648" t="str">
        <f>VLOOKUP(I3648,[2]categories!$A$1:$B$8,2,FALSE)</f>
        <v>Cruisers Bicycles</v>
      </c>
    </row>
    <row r="3649" customHeight="1" spans="1:10">
      <c r="A3649" s="1">
        <v>1261</v>
      </c>
      <c r="B3649" s="1">
        <v>1</v>
      </c>
      <c r="C3649" s="1">
        <v>73</v>
      </c>
      <c r="D3649" s="1">
        <v>1</v>
      </c>
      <c r="E3649" s="1">
        <v>749.99</v>
      </c>
      <c r="F3649" s="1">
        <v>0.2</v>
      </c>
      <c r="G3649">
        <f t="shared" si="56"/>
        <v>749.79</v>
      </c>
      <c r="H3649" t="str">
        <f>VLOOKUP(C3649,[1]products!$A:$B,2,FALSE)</f>
        <v>Sun Bicycles Brickell Tandem 7 - 2017</v>
      </c>
      <c r="I3649">
        <f>VLOOKUP(C3649,[1]products!$A:$D,4,FALSE)</f>
        <v>3</v>
      </c>
      <c r="J3649" t="str">
        <f>VLOOKUP(I3649,[2]categories!$A$1:$B$8,2,FALSE)</f>
        <v>Cruisers Bicycles</v>
      </c>
    </row>
    <row r="3650" customHeight="1" spans="1:10">
      <c r="A3650" s="1">
        <v>1261</v>
      </c>
      <c r="B3650" s="1">
        <v>2</v>
      </c>
      <c r="C3650" s="1">
        <v>88</v>
      </c>
      <c r="D3650" s="1">
        <v>2</v>
      </c>
      <c r="E3650" s="1">
        <v>189.99</v>
      </c>
      <c r="F3650" s="1">
        <v>0.2</v>
      </c>
      <c r="G3650">
        <f t="shared" si="56"/>
        <v>379.78</v>
      </c>
      <c r="H3650" t="str">
        <f>VLOOKUP(C3650,[1]products!$A:$B,2,FALSE)</f>
        <v>Trek Precaliber 12 Girls - 2017</v>
      </c>
      <c r="I3650">
        <f>VLOOKUP(C3650,[1]products!$A:$D,4,FALSE)</f>
        <v>1</v>
      </c>
      <c r="J3650" t="str">
        <f>VLOOKUP(I3650,[2]categories!$A$1:$B$8,2,FALSE)</f>
        <v>Children Bicycles</v>
      </c>
    </row>
    <row r="3651" customHeight="1" spans="1:10">
      <c r="A3651" s="1">
        <v>1261</v>
      </c>
      <c r="B3651" s="1">
        <v>3</v>
      </c>
      <c r="C3651" s="1">
        <v>100</v>
      </c>
      <c r="D3651" s="1">
        <v>1</v>
      </c>
      <c r="E3651" s="1">
        <v>489.99</v>
      </c>
      <c r="F3651" s="1">
        <v>0.05</v>
      </c>
      <c r="G3651">
        <f t="shared" ref="G3651:G3714" si="57">(E3651*D3651)-F3651</f>
        <v>489.94</v>
      </c>
      <c r="H3651" t="str">
        <f>VLOOKUP(C3651,[1]products!$A:$B,2,FALSE)</f>
        <v>Electra Townie 3i EQ (20-inch) - Boys' - 2017</v>
      </c>
      <c r="I3651">
        <f>VLOOKUP(C3651,[1]products!$A:$D,4,FALSE)</f>
        <v>1</v>
      </c>
      <c r="J3651" t="str">
        <f>VLOOKUP(I3651,[2]categories!$A$1:$B$8,2,FALSE)</f>
        <v>Children Bicycles</v>
      </c>
    </row>
    <row r="3652" customHeight="1" spans="1:10">
      <c r="A3652" s="1">
        <v>1261</v>
      </c>
      <c r="B3652" s="1">
        <v>4</v>
      </c>
      <c r="C3652" s="1">
        <v>42</v>
      </c>
      <c r="D3652" s="1">
        <v>1</v>
      </c>
      <c r="E3652" s="1">
        <v>2299.99</v>
      </c>
      <c r="F3652" s="1">
        <v>0.1</v>
      </c>
      <c r="G3652">
        <f t="shared" si="57"/>
        <v>2299.89</v>
      </c>
      <c r="H3652" t="str">
        <f>VLOOKUP(C3652,[1]products!$A:$B,2,FALSE)</f>
        <v>Trek Fuel EX 5 27.5 Plus - 2017</v>
      </c>
      <c r="I3652">
        <f>VLOOKUP(C3652,[1]products!$A:$D,4,FALSE)</f>
        <v>6</v>
      </c>
      <c r="J3652" t="str">
        <f>VLOOKUP(I3652,[2]categories!$A$1:$B$8,2,FALSE)</f>
        <v>Mountain Bikes</v>
      </c>
    </row>
    <row r="3653" customHeight="1" spans="1:10">
      <c r="A3653" s="1">
        <v>1262</v>
      </c>
      <c r="B3653" s="1">
        <v>1</v>
      </c>
      <c r="C3653" s="1">
        <v>37</v>
      </c>
      <c r="D3653" s="1">
        <v>1</v>
      </c>
      <c r="E3653" s="1">
        <v>379.99</v>
      </c>
      <c r="F3653" s="1">
        <v>0.07</v>
      </c>
      <c r="G3653">
        <f t="shared" si="57"/>
        <v>379.92</v>
      </c>
      <c r="H3653" t="str">
        <f>VLOOKUP(C3653,[1]products!$A:$B,2,FALSE)</f>
        <v>Haro Flightline One ST - 2017</v>
      </c>
      <c r="I3653">
        <f>VLOOKUP(C3653,[1]products!$A:$D,4,FALSE)</f>
        <v>6</v>
      </c>
      <c r="J3653" t="str">
        <f>VLOOKUP(I3653,[2]categories!$A$1:$B$8,2,FALSE)</f>
        <v>Mountain Bikes</v>
      </c>
    </row>
    <row r="3654" customHeight="1" spans="1:10">
      <c r="A3654" s="1">
        <v>1262</v>
      </c>
      <c r="B3654" s="1">
        <v>2</v>
      </c>
      <c r="C3654" s="1">
        <v>52</v>
      </c>
      <c r="D3654" s="1">
        <v>1</v>
      </c>
      <c r="E3654" s="1">
        <v>875.99</v>
      </c>
      <c r="F3654" s="1">
        <v>0.05</v>
      </c>
      <c r="G3654">
        <f t="shared" si="57"/>
        <v>875.94</v>
      </c>
      <c r="H3654" t="str">
        <f>VLOOKUP(C3654,[1]products!$A:$B,2,FALSE)</f>
        <v>Surly Steamroller - 2017</v>
      </c>
      <c r="I3654">
        <f>VLOOKUP(C3654,[1]products!$A:$D,4,FALSE)</f>
        <v>7</v>
      </c>
      <c r="J3654" t="str">
        <f>VLOOKUP(I3654,[2]categories!$A$1:$B$8,2,FALSE)</f>
        <v>Road Bikes</v>
      </c>
    </row>
    <row r="3655" customHeight="1" spans="1:10">
      <c r="A3655" s="1">
        <v>1262</v>
      </c>
      <c r="B3655" s="1">
        <v>3</v>
      </c>
      <c r="C3655" s="1">
        <v>43</v>
      </c>
      <c r="D3655" s="1">
        <v>2</v>
      </c>
      <c r="E3655" s="1">
        <v>5299.99</v>
      </c>
      <c r="F3655" s="1">
        <v>0.07</v>
      </c>
      <c r="G3655">
        <f t="shared" si="57"/>
        <v>10599.91</v>
      </c>
      <c r="H3655" t="str">
        <f>VLOOKUP(C3655,[1]products!$A:$B,2,FALSE)</f>
        <v>Trek Fuel EX 9.8 27.5 Plus - 2017</v>
      </c>
      <c r="I3655">
        <f>VLOOKUP(C3655,[1]products!$A:$D,4,FALSE)</f>
        <v>6</v>
      </c>
      <c r="J3655" t="str">
        <f>VLOOKUP(I3655,[2]categories!$A$1:$B$8,2,FALSE)</f>
        <v>Mountain Bikes</v>
      </c>
    </row>
    <row r="3656" customHeight="1" spans="1:10">
      <c r="A3656" s="1">
        <v>1262</v>
      </c>
      <c r="B3656" s="1">
        <v>4</v>
      </c>
      <c r="C3656" s="1">
        <v>77</v>
      </c>
      <c r="D3656" s="1">
        <v>1</v>
      </c>
      <c r="E3656" s="1">
        <v>799.99</v>
      </c>
      <c r="F3656" s="1">
        <v>0.07</v>
      </c>
      <c r="G3656">
        <f t="shared" si="57"/>
        <v>799.92</v>
      </c>
      <c r="H3656" t="str">
        <f>VLOOKUP(C3656,[1]products!$A:$B,2,FALSE)</f>
        <v>Electra Glam Punk 3i Ladies' - 2017</v>
      </c>
      <c r="I3656">
        <f>VLOOKUP(C3656,[1]products!$A:$D,4,FALSE)</f>
        <v>3</v>
      </c>
      <c r="J3656" t="str">
        <f>VLOOKUP(I3656,[2]categories!$A$1:$B$8,2,FALSE)</f>
        <v>Cruisers Bicycles</v>
      </c>
    </row>
    <row r="3657" customHeight="1" spans="1:10">
      <c r="A3657" s="1">
        <v>1263</v>
      </c>
      <c r="B3657" s="1">
        <v>1</v>
      </c>
      <c r="C3657" s="1">
        <v>45</v>
      </c>
      <c r="D3657" s="1">
        <v>1</v>
      </c>
      <c r="E3657" s="1">
        <v>869.99</v>
      </c>
      <c r="F3657" s="1">
        <v>0.2</v>
      </c>
      <c r="G3657">
        <f t="shared" si="57"/>
        <v>869.79</v>
      </c>
      <c r="H3657" t="str">
        <f>VLOOKUP(C3657,[1]products!$A:$B,2,FALSE)</f>
        <v>Haro SR 1.2 - 2017</v>
      </c>
      <c r="I3657">
        <f>VLOOKUP(C3657,[1]products!$A:$D,4,FALSE)</f>
        <v>6</v>
      </c>
      <c r="J3657" t="str">
        <f>VLOOKUP(I3657,[2]categories!$A$1:$B$8,2,FALSE)</f>
        <v>Mountain Bikes</v>
      </c>
    </row>
    <row r="3658" customHeight="1" spans="1:10">
      <c r="A3658" s="1">
        <v>1263</v>
      </c>
      <c r="B3658" s="1">
        <v>2</v>
      </c>
      <c r="C3658" s="1">
        <v>62</v>
      </c>
      <c r="D3658" s="1">
        <v>1</v>
      </c>
      <c r="E3658" s="1">
        <v>3499.99</v>
      </c>
      <c r="F3658" s="1">
        <v>0.05</v>
      </c>
      <c r="G3658">
        <f t="shared" si="57"/>
        <v>3499.94</v>
      </c>
      <c r="H3658" t="str">
        <f>VLOOKUP(C3658,[1]products!$A:$B,2,FALSE)</f>
        <v>Trek Boone 7 - 2017</v>
      </c>
      <c r="I3658">
        <f>VLOOKUP(C3658,[1]products!$A:$D,4,FALSE)</f>
        <v>4</v>
      </c>
      <c r="J3658" t="str">
        <f>VLOOKUP(I3658,[2]categories!$A$1:$B$8,2,FALSE)</f>
        <v>Cyclocross Bicycles</v>
      </c>
    </row>
    <row r="3659" customHeight="1" spans="1:10">
      <c r="A3659" s="1">
        <v>1263</v>
      </c>
      <c r="B3659" s="1">
        <v>3</v>
      </c>
      <c r="C3659" s="1">
        <v>19</v>
      </c>
      <c r="D3659" s="1">
        <v>2</v>
      </c>
      <c r="E3659" s="1">
        <v>449</v>
      </c>
      <c r="F3659" s="1">
        <v>0.1</v>
      </c>
      <c r="G3659">
        <f t="shared" si="57"/>
        <v>897.9</v>
      </c>
      <c r="H3659" t="str">
        <f>VLOOKUP(C3659,[1]products!$A:$B,2,FALSE)</f>
        <v>Pure Cycles William 3-Speed - 2016</v>
      </c>
      <c r="I3659">
        <f>VLOOKUP(C3659,[1]products!$A:$D,4,FALSE)</f>
        <v>3</v>
      </c>
      <c r="J3659" t="str">
        <f>VLOOKUP(I3659,[2]categories!$A$1:$B$8,2,FALSE)</f>
        <v>Cruisers Bicycles</v>
      </c>
    </row>
    <row r="3660" customHeight="1" spans="1:10">
      <c r="A3660" s="1">
        <v>1264</v>
      </c>
      <c r="B3660" s="1">
        <v>1</v>
      </c>
      <c r="C3660" s="1">
        <v>101</v>
      </c>
      <c r="D3660" s="1">
        <v>1</v>
      </c>
      <c r="E3660" s="1">
        <v>339.99</v>
      </c>
      <c r="F3660" s="1">
        <v>0.07</v>
      </c>
      <c r="G3660">
        <f t="shared" si="57"/>
        <v>339.92</v>
      </c>
      <c r="H3660" t="str">
        <f>VLOOKUP(C3660,[1]products!$A:$B,2,FALSE)</f>
        <v>Electra Townie 7D (20-inch) - Boys' - 2017</v>
      </c>
      <c r="I3660">
        <f>VLOOKUP(C3660,[1]products!$A:$D,4,FALSE)</f>
        <v>1</v>
      </c>
      <c r="J3660" t="str">
        <f>VLOOKUP(I3660,[2]categories!$A$1:$B$8,2,FALSE)</f>
        <v>Children Bicycles</v>
      </c>
    </row>
    <row r="3661" customHeight="1" spans="1:10">
      <c r="A3661" s="1">
        <v>1264</v>
      </c>
      <c r="B3661" s="1">
        <v>2</v>
      </c>
      <c r="C3661" s="1">
        <v>77</v>
      </c>
      <c r="D3661" s="1">
        <v>2</v>
      </c>
      <c r="E3661" s="1">
        <v>799.99</v>
      </c>
      <c r="F3661" s="1">
        <v>0.07</v>
      </c>
      <c r="G3661">
        <f t="shared" si="57"/>
        <v>1599.91</v>
      </c>
      <c r="H3661" t="str">
        <f>VLOOKUP(C3661,[1]products!$A:$B,2,FALSE)</f>
        <v>Electra Glam Punk 3i Ladies' - 2017</v>
      </c>
      <c r="I3661">
        <f>VLOOKUP(C3661,[1]products!$A:$D,4,FALSE)</f>
        <v>3</v>
      </c>
      <c r="J3661" t="str">
        <f>VLOOKUP(I3661,[2]categories!$A$1:$B$8,2,FALSE)</f>
        <v>Cruisers Bicycles</v>
      </c>
    </row>
    <row r="3662" customHeight="1" spans="1:10">
      <c r="A3662" s="1">
        <v>1264</v>
      </c>
      <c r="B3662" s="1">
        <v>3</v>
      </c>
      <c r="C3662" s="1">
        <v>29</v>
      </c>
      <c r="D3662" s="1">
        <v>2</v>
      </c>
      <c r="E3662" s="1">
        <v>999.99</v>
      </c>
      <c r="F3662" s="1">
        <v>0.2</v>
      </c>
      <c r="G3662">
        <f t="shared" si="57"/>
        <v>1999.78</v>
      </c>
      <c r="H3662" t="str">
        <f>VLOOKUP(C3662,[1]products!$A:$B,2,FALSE)</f>
        <v>Trek X-Caliber 8 - 2017</v>
      </c>
      <c r="I3662">
        <f>VLOOKUP(C3662,[1]products!$A:$D,4,FALSE)</f>
        <v>6</v>
      </c>
      <c r="J3662" t="str">
        <f>VLOOKUP(I3662,[2]categories!$A$1:$B$8,2,FALSE)</f>
        <v>Mountain Bikes</v>
      </c>
    </row>
    <row r="3663" customHeight="1" spans="1:10">
      <c r="A3663" s="1">
        <v>1264</v>
      </c>
      <c r="B3663" s="1">
        <v>4</v>
      </c>
      <c r="C3663" s="1">
        <v>52</v>
      </c>
      <c r="D3663" s="1">
        <v>1</v>
      </c>
      <c r="E3663" s="1">
        <v>875.99</v>
      </c>
      <c r="F3663" s="1">
        <v>0.05</v>
      </c>
      <c r="G3663">
        <f t="shared" si="57"/>
        <v>875.94</v>
      </c>
      <c r="H3663" t="str">
        <f>VLOOKUP(C3663,[1]products!$A:$B,2,FALSE)</f>
        <v>Surly Steamroller - 2017</v>
      </c>
      <c r="I3663">
        <f>VLOOKUP(C3663,[1]products!$A:$D,4,FALSE)</f>
        <v>7</v>
      </c>
      <c r="J3663" t="str">
        <f>VLOOKUP(I3663,[2]categories!$A$1:$B$8,2,FALSE)</f>
        <v>Road Bikes</v>
      </c>
    </row>
    <row r="3664" customHeight="1" spans="1:10">
      <c r="A3664" s="1">
        <v>1265</v>
      </c>
      <c r="B3664" s="1">
        <v>1</v>
      </c>
      <c r="C3664" s="1">
        <v>41</v>
      </c>
      <c r="D3664" s="1">
        <v>2</v>
      </c>
      <c r="E3664" s="1">
        <v>1469.99</v>
      </c>
      <c r="F3664" s="1">
        <v>0.1</v>
      </c>
      <c r="G3664">
        <f t="shared" si="57"/>
        <v>2939.88</v>
      </c>
      <c r="H3664" t="str">
        <f>VLOOKUP(C3664,[1]products!$A:$B,2,FALSE)</f>
        <v>Haro Shift R3 - 2017</v>
      </c>
      <c r="I3664">
        <f>VLOOKUP(C3664,[1]products!$A:$D,4,FALSE)</f>
        <v>6</v>
      </c>
      <c r="J3664" t="str">
        <f>VLOOKUP(I3664,[2]categories!$A$1:$B$8,2,FALSE)</f>
        <v>Mountain Bikes</v>
      </c>
    </row>
    <row r="3665" customHeight="1" spans="1:10">
      <c r="A3665" s="1">
        <v>1265</v>
      </c>
      <c r="B3665" s="1">
        <v>2</v>
      </c>
      <c r="C3665" s="1">
        <v>72</v>
      </c>
      <c r="D3665" s="1">
        <v>2</v>
      </c>
      <c r="E3665" s="1">
        <v>619.99</v>
      </c>
      <c r="F3665" s="1">
        <v>0.07</v>
      </c>
      <c r="G3665">
        <f t="shared" si="57"/>
        <v>1239.91</v>
      </c>
      <c r="H3665" t="str">
        <f>VLOOKUP(C3665,[1]products!$A:$B,2,FALSE)</f>
        <v>Sun Bicycles Biscayne Tandem 7 - 2017</v>
      </c>
      <c r="I3665">
        <f>VLOOKUP(C3665,[1]products!$A:$D,4,FALSE)</f>
        <v>3</v>
      </c>
      <c r="J3665" t="str">
        <f>VLOOKUP(I3665,[2]categories!$A$1:$B$8,2,FALSE)</f>
        <v>Cruisers Bicycles</v>
      </c>
    </row>
    <row r="3666" customHeight="1" spans="1:10">
      <c r="A3666" s="1">
        <v>1266</v>
      </c>
      <c r="B3666" s="1">
        <v>1</v>
      </c>
      <c r="C3666" s="1">
        <v>90</v>
      </c>
      <c r="D3666" s="1">
        <v>1</v>
      </c>
      <c r="E3666" s="1">
        <v>209.99</v>
      </c>
      <c r="F3666" s="1">
        <v>0.2</v>
      </c>
      <c r="G3666">
        <f t="shared" si="57"/>
        <v>209.79</v>
      </c>
      <c r="H3666" t="str">
        <f>VLOOKUP(C3666,[1]products!$A:$B,2,FALSE)</f>
        <v>Trek Precaliber 16 Girls - 2017</v>
      </c>
      <c r="I3666">
        <f>VLOOKUP(C3666,[1]products!$A:$D,4,FALSE)</f>
        <v>1</v>
      </c>
      <c r="J3666" t="str">
        <f>VLOOKUP(I3666,[2]categories!$A$1:$B$8,2,FALSE)</f>
        <v>Children Bicycles</v>
      </c>
    </row>
    <row r="3667" customHeight="1" spans="1:10">
      <c r="A3667" s="1">
        <v>1266</v>
      </c>
      <c r="B3667" s="1">
        <v>2</v>
      </c>
      <c r="C3667" s="1">
        <v>48</v>
      </c>
      <c r="D3667" s="1">
        <v>1</v>
      </c>
      <c r="E3667" s="1">
        <v>1499.99</v>
      </c>
      <c r="F3667" s="1">
        <v>0.2</v>
      </c>
      <c r="G3667">
        <f t="shared" si="57"/>
        <v>1499.79</v>
      </c>
      <c r="H3667" t="str">
        <f>VLOOKUP(C3667,[1]products!$A:$B,2,FALSE)</f>
        <v>Trek Emonda S 4 - 2017</v>
      </c>
      <c r="I3667">
        <f>VLOOKUP(C3667,[1]products!$A:$D,4,FALSE)</f>
        <v>7</v>
      </c>
      <c r="J3667" t="str">
        <f>VLOOKUP(I3667,[2]categories!$A$1:$B$8,2,FALSE)</f>
        <v>Road Bikes</v>
      </c>
    </row>
    <row r="3668" customHeight="1" spans="1:10">
      <c r="A3668" s="1">
        <v>1267</v>
      </c>
      <c r="B3668" s="1">
        <v>1</v>
      </c>
      <c r="C3668" s="1">
        <v>45</v>
      </c>
      <c r="D3668" s="1">
        <v>1</v>
      </c>
      <c r="E3668" s="1">
        <v>869.99</v>
      </c>
      <c r="F3668" s="1">
        <v>0.1</v>
      </c>
      <c r="G3668">
        <f t="shared" si="57"/>
        <v>869.89</v>
      </c>
      <c r="H3668" t="str">
        <f>VLOOKUP(C3668,[1]products!$A:$B,2,FALSE)</f>
        <v>Haro SR 1.2 - 2017</v>
      </c>
      <c r="I3668">
        <f>VLOOKUP(C3668,[1]products!$A:$D,4,FALSE)</f>
        <v>6</v>
      </c>
      <c r="J3668" t="str">
        <f>VLOOKUP(I3668,[2]categories!$A$1:$B$8,2,FALSE)</f>
        <v>Mountain Bikes</v>
      </c>
    </row>
    <row r="3669" customHeight="1" spans="1:10">
      <c r="A3669" s="1">
        <v>1267</v>
      </c>
      <c r="B3669" s="1">
        <v>2</v>
      </c>
      <c r="C3669" s="1">
        <v>27</v>
      </c>
      <c r="D3669" s="1">
        <v>1</v>
      </c>
      <c r="E3669" s="1">
        <v>999.99</v>
      </c>
      <c r="F3669" s="1">
        <v>0.07</v>
      </c>
      <c r="G3669">
        <f t="shared" si="57"/>
        <v>999.92</v>
      </c>
      <c r="H3669" t="str">
        <f>VLOOKUP(C3669,[1]products!$A:$B,2,FALSE)</f>
        <v>Surly Big Dummy Frameset - 2017</v>
      </c>
      <c r="I3669">
        <f>VLOOKUP(C3669,[1]products!$A:$D,4,FALSE)</f>
        <v>6</v>
      </c>
      <c r="J3669" t="str">
        <f>VLOOKUP(I3669,[2]categories!$A$1:$B$8,2,FALSE)</f>
        <v>Mountain Bikes</v>
      </c>
    </row>
    <row r="3670" customHeight="1" spans="1:10">
      <c r="A3670" s="1">
        <v>1267</v>
      </c>
      <c r="B3670" s="1">
        <v>3</v>
      </c>
      <c r="C3670" s="1">
        <v>108</v>
      </c>
      <c r="D3670" s="1">
        <v>1</v>
      </c>
      <c r="E3670" s="1">
        <v>449.99</v>
      </c>
      <c r="F3670" s="1">
        <v>0.2</v>
      </c>
      <c r="G3670">
        <f t="shared" si="57"/>
        <v>449.79</v>
      </c>
      <c r="H3670" t="str">
        <f>VLOOKUP(C3670,[1]products!$A:$B,2,FALSE)</f>
        <v>Sun Bicycles Cruz 3 - Women's - 2017</v>
      </c>
      <c r="I3670">
        <f>VLOOKUP(C3670,[1]products!$A:$D,4,FALSE)</f>
        <v>2</v>
      </c>
      <c r="J3670" t="str">
        <f>VLOOKUP(I3670,[2]categories!$A$1:$B$8,2,FALSE)</f>
        <v>Comfort Bicycles</v>
      </c>
    </row>
    <row r="3671" customHeight="1" spans="1:10">
      <c r="A3671" s="1">
        <v>1267</v>
      </c>
      <c r="B3671" s="1">
        <v>4</v>
      </c>
      <c r="C3671" s="1">
        <v>95</v>
      </c>
      <c r="D3671" s="1">
        <v>1</v>
      </c>
      <c r="E3671" s="1">
        <v>299.99</v>
      </c>
      <c r="F3671" s="1">
        <v>0.05</v>
      </c>
      <c r="G3671">
        <f t="shared" si="57"/>
        <v>299.94</v>
      </c>
      <c r="H3671" t="str">
        <f>VLOOKUP(C3671,[1]products!$A:$B,2,FALSE)</f>
        <v>Electra Girl's Hawaii 1 16" - 2017</v>
      </c>
      <c r="I3671">
        <f>VLOOKUP(C3671,[1]products!$A:$D,4,FALSE)</f>
        <v>1</v>
      </c>
      <c r="J3671" t="str">
        <f>VLOOKUP(I3671,[2]categories!$A$1:$B$8,2,FALSE)</f>
        <v>Children Bicycles</v>
      </c>
    </row>
    <row r="3672" customHeight="1" spans="1:10">
      <c r="A3672" s="1">
        <v>1268</v>
      </c>
      <c r="B3672" s="1">
        <v>1</v>
      </c>
      <c r="C3672" s="1">
        <v>68</v>
      </c>
      <c r="D3672" s="1">
        <v>2</v>
      </c>
      <c r="E3672" s="1">
        <v>449.99</v>
      </c>
      <c r="F3672" s="1">
        <v>0.07</v>
      </c>
      <c r="G3672">
        <f t="shared" si="57"/>
        <v>899.91</v>
      </c>
      <c r="H3672" t="str">
        <f>VLOOKUP(C3672,[1]products!$A:$B,2,FALSE)</f>
        <v>Sun Bicycles Cruz 3 - 2017</v>
      </c>
      <c r="I3672">
        <f>VLOOKUP(C3672,[1]products!$A:$D,4,FALSE)</f>
        <v>3</v>
      </c>
      <c r="J3672" t="str">
        <f>VLOOKUP(I3672,[2]categories!$A$1:$B$8,2,FALSE)</f>
        <v>Cruisers Bicycles</v>
      </c>
    </row>
    <row r="3673" customHeight="1" spans="1:10">
      <c r="A3673" s="1">
        <v>1268</v>
      </c>
      <c r="B3673" s="1">
        <v>2</v>
      </c>
      <c r="C3673" s="1">
        <v>87</v>
      </c>
      <c r="D3673" s="1">
        <v>2</v>
      </c>
      <c r="E3673" s="1">
        <v>189.99</v>
      </c>
      <c r="F3673" s="1">
        <v>0.07</v>
      </c>
      <c r="G3673">
        <f t="shared" si="57"/>
        <v>379.91</v>
      </c>
      <c r="H3673" t="str">
        <f>VLOOKUP(C3673,[1]products!$A:$B,2,FALSE)</f>
        <v>Trek Precaliber 12 Boys - 2017</v>
      </c>
      <c r="I3673">
        <f>VLOOKUP(C3673,[1]products!$A:$D,4,FALSE)</f>
        <v>1</v>
      </c>
      <c r="J3673" t="str">
        <f>VLOOKUP(I3673,[2]categories!$A$1:$B$8,2,FALSE)</f>
        <v>Children Bicycles</v>
      </c>
    </row>
    <row r="3674" customHeight="1" spans="1:10">
      <c r="A3674" s="1">
        <v>1268</v>
      </c>
      <c r="B3674" s="1">
        <v>3</v>
      </c>
      <c r="C3674" s="1">
        <v>59</v>
      </c>
      <c r="D3674" s="1">
        <v>2</v>
      </c>
      <c r="E3674" s="1">
        <v>2599.99</v>
      </c>
      <c r="F3674" s="1">
        <v>0.2</v>
      </c>
      <c r="G3674">
        <f t="shared" si="57"/>
        <v>5199.78</v>
      </c>
      <c r="H3674" t="str">
        <f>VLOOKUP(C3674,[1]products!$A:$B,2,FALSE)</f>
        <v>Trek Domane S 5 Disc - 2017</v>
      </c>
      <c r="I3674">
        <f>VLOOKUP(C3674,[1]products!$A:$D,4,FALSE)</f>
        <v>7</v>
      </c>
      <c r="J3674" t="str">
        <f>VLOOKUP(I3674,[2]categories!$A$1:$B$8,2,FALSE)</f>
        <v>Road Bikes</v>
      </c>
    </row>
    <row r="3675" customHeight="1" spans="1:10">
      <c r="A3675" s="1">
        <v>1268</v>
      </c>
      <c r="B3675" s="1">
        <v>4</v>
      </c>
      <c r="C3675" s="1">
        <v>100</v>
      </c>
      <c r="D3675" s="1">
        <v>1</v>
      </c>
      <c r="E3675" s="1">
        <v>489.99</v>
      </c>
      <c r="F3675" s="1">
        <v>0.07</v>
      </c>
      <c r="G3675">
        <f t="shared" si="57"/>
        <v>489.92</v>
      </c>
      <c r="H3675" t="str">
        <f>VLOOKUP(C3675,[1]products!$A:$B,2,FALSE)</f>
        <v>Electra Townie 3i EQ (20-inch) - Boys' - 2017</v>
      </c>
      <c r="I3675">
        <f>VLOOKUP(C3675,[1]products!$A:$D,4,FALSE)</f>
        <v>1</v>
      </c>
      <c r="J3675" t="str">
        <f>VLOOKUP(I3675,[2]categories!$A$1:$B$8,2,FALSE)</f>
        <v>Children Bicycles</v>
      </c>
    </row>
    <row r="3676" customHeight="1" spans="1:10">
      <c r="A3676" s="1">
        <v>1269</v>
      </c>
      <c r="B3676" s="1">
        <v>1</v>
      </c>
      <c r="C3676" s="1">
        <v>4</v>
      </c>
      <c r="D3676" s="1">
        <v>2</v>
      </c>
      <c r="E3676" s="1">
        <v>2899.99</v>
      </c>
      <c r="F3676" s="1">
        <v>0.2</v>
      </c>
      <c r="G3676">
        <f t="shared" si="57"/>
        <v>5799.78</v>
      </c>
      <c r="H3676" t="str">
        <f>VLOOKUP(C3676,[1]products!$A:$B,2,FALSE)</f>
        <v>Trek Fuel EX 8 29 - 2016</v>
      </c>
      <c r="I3676">
        <f>VLOOKUP(C3676,[1]products!$A:$D,4,FALSE)</f>
        <v>6</v>
      </c>
      <c r="J3676" t="str">
        <f>VLOOKUP(I3676,[2]categories!$A$1:$B$8,2,FALSE)</f>
        <v>Mountain Bikes</v>
      </c>
    </row>
    <row r="3677" customHeight="1" spans="1:10">
      <c r="A3677" s="1">
        <v>1269</v>
      </c>
      <c r="B3677" s="1">
        <v>2</v>
      </c>
      <c r="C3677" s="1">
        <v>7</v>
      </c>
      <c r="D3677" s="1">
        <v>1</v>
      </c>
      <c r="E3677" s="1">
        <v>3999.99</v>
      </c>
      <c r="F3677" s="1">
        <v>0.2</v>
      </c>
      <c r="G3677">
        <f t="shared" si="57"/>
        <v>3999.79</v>
      </c>
      <c r="H3677" t="str">
        <f>VLOOKUP(C3677,[1]products!$A:$B,2,FALSE)</f>
        <v>Trek Slash 8 27.5 - 2016</v>
      </c>
      <c r="I3677">
        <f>VLOOKUP(C3677,[1]products!$A:$D,4,FALSE)</f>
        <v>6</v>
      </c>
      <c r="J3677" t="str">
        <f>VLOOKUP(I3677,[2]categories!$A$1:$B$8,2,FALSE)</f>
        <v>Mountain Bikes</v>
      </c>
    </row>
    <row r="3678" customHeight="1" spans="1:10">
      <c r="A3678" s="1">
        <v>1269</v>
      </c>
      <c r="B3678" s="1">
        <v>3</v>
      </c>
      <c r="C3678" s="1">
        <v>111</v>
      </c>
      <c r="D3678" s="1">
        <v>1</v>
      </c>
      <c r="E3678" s="1">
        <v>470.99</v>
      </c>
      <c r="F3678" s="1">
        <v>0.1</v>
      </c>
      <c r="G3678">
        <f t="shared" si="57"/>
        <v>470.89</v>
      </c>
      <c r="H3678" t="str">
        <f>VLOOKUP(C3678,[1]products!$A:$B,2,FALSE)</f>
        <v>Sun Bicycles Drifter 7 - Women's - 2017</v>
      </c>
      <c r="I3678">
        <f>VLOOKUP(C3678,[1]products!$A:$D,4,FALSE)</f>
        <v>2</v>
      </c>
      <c r="J3678" t="str">
        <f>VLOOKUP(I3678,[2]categories!$A$1:$B$8,2,FALSE)</f>
        <v>Comfort Bicycles</v>
      </c>
    </row>
    <row r="3679" customHeight="1" spans="1:10">
      <c r="A3679" s="1">
        <v>1270</v>
      </c>
      <c r="B3679" s="1">
        <v>1</v>
      </c>
      <c r="C3679" s="1">
        <v>54</v>
      </c>
      <c r="D3679" s="1">
        <v>1</v>
      </c>
      <c r="E3679" s="1">
        <v>3199.99</v>
      </c>
      <c r="F3679" s="1">
        <v>0.2</v>
      </c>
      <c r="G3679">
        <f t="shared" si="57"/>
        <v>3199.79</v>
      </c>
      <c r="H3679" t="str">
        <f>VLOOKUP(C3679,[1]products!$A:$B,2,FALSE)</f>
        <v>Trek Domane SL Disc Frameset - 2017</v>
      </c>
      <c r="I3679">
        <f>VLOOKUP(C3679,[1]products!$A:$D,4,FALSE)</f>
        <v>7</v>
      </c>
      <c r="J3679" t="str">
        <f>VLOOKUP(I3679,[2]categories!$A$1:$B$8,2,FALSE)</f>
        <v>Road Bikes</v>
      </c>
    </row>
    <row r="3680" customHeight="1" spans="1:10">
      <c r="A3680" s="1">
        <v>1271</v>
      </c>
      <c r="B3680" s="1">
        <v>1</v>
      </c>
      <c r="C3680" s="1">
        <v>25</v>
      </c>
      <c r="D3680" s="1">
        <v>2</v>
      </c>
      <c r="E3680" s="1">
        <v>499.99</v>
      </c>
      <c r="F3680" s="1">
        <v>0.1</v>
      </c>
      <c r="G3680">
        <f t="shared" si="57"/>
        <v>999.88</v>
      </c>
      <c r="H3680" t="str">
        <f>VLOOKUP(C3680,[1]products!$A:$B,2,FALSE)</f>
        <v>Electra Townie Original 7D - 2015/2016</v>
      </c>
      <c r="I3680">
        <f>VLOOKUP(C3680,[1]products!$A:$D,4,FALSE)</f>
        <v>2</v>
      </c>
      <c r="J3680" t="str">
        <f>VLOOKUP(I3680,[2]categories!$A$1:$B$8,2,FALSE)</f>
        <v>Comfort Bicycles</v>
      </c>
    </row>
    <row r="3681" customHeight="1" spans="1:10">
      <c r="A3681" s="1">
        <v>1271</v>
      </c>
      <c r="B3681" s="1">
        <v>2</v>
      </c>
      <c r="C3681" s="1">
        <v>50</v>
      </c>
      <c r="D3681" s="1">
        <v>2</v>
      </c>
      <c r="E3681" s="1">
        <v>5999.99</v>
      </c>
      <c r="F3681" s="1">
        <v>0.07</v>
      </c>
      <c r="G3681">
        <f t="shared" si="57"/>
        <v>11999.91</v>
      </c>
      <c r="H3681" t="str">
        <f>VLOOKUP(C3681,[1]products!$A:$B,2,FALSE)</f>
        <v>Trek Silque SLR 7 Women's - 2017</v>
      </c>
      <c r="I3681">
        <f>VLOOKUP(C3681,[1]products!$A:$D,4,FALSE)</f>
        <v>7</v>
      </c>
      <c r="J3681" t="str">
        <f>VLOOKUP(I3681,[2]categories!$A$1:$B$8,2,FALSE)</f>
        <v>Road Bikes</v>
      </c>
    </row>
    <row r="3682" customHeight="1" spans="1:10">
      <c r="A3682" s="1">
        <v>1271</v>
      </c>
      <c r="B3682" s="1">
        <v>3</v>
      </c>
      <c r="C3682" s="1">
        <v>87</v>
      </c>
      <c r="D3682" s="1">
        <v>2</v>
      </c>
      <c r="E3682" s="1">
        <v>189.99</v>
      </c>
      <c r="F3682" s="1">
        <v>0.07</v>
      </c>
      <c r="G3682">
        <f t="shared" si="57"/>
        <v>379.91</v>
      </c>
      <c r="H3682" t="str">
        <f>VLOOKUP(C3682,[1]products!$A:$B,2,FALSE)</f>
        <v>Trek Precaliber 12 Boys - 2017</v>
      </c>
      <c r="I3682">
        <f>VLOOKUP(C3682,[1]products!$A:$D,4,FALSE)</f>
        <v>1</v>
      </c>
      <c r="J3682" t="str">
        <f>VLOOKUP(I3682,[2]categories!$A$1:$B$8,2,FALSE)</f>
        <v>Children Bicycles</v>
      </c>
    </row>
    <row r="3683" customHeight="1" spans="1:10">
      <c r="A3683" s="1">
        <v>1271</v>
      </c>
      <c r="B3683" s="1">
        <v>4</v>
      </c>
      <c r="C3683" s="1">
        <v>32</v>
      </c>
      <c r="D3683" s="1">
        <v>2</v>
      </c>
      <c r="E3683" s="1">
        <v>469.99</v>
      </c>
      <c r="F3683" s="1">
        <v>0.07</v>
      </c>
      <c r="G3683">
        <f t="shared" si="57"/>
        <v>939.91</v>
      </c>
      <c r="H3683" t="str">
        <f>VLOOKUP(C3683,[1]products!$A:$B,2,FALSE)</f>
        <v>Trek Farley Alloy Frameset - 2017</v>
      </c>
      <c r="I3683">
        <f>VLOOKUP(C3683,[1]products!$A:$D,4,FALSE)</f>
        <v>6</v>
      </c>
      <c r="J3683" t="str">
        <f>VLOOKUP(I3683,[2]categories!$A$1:$B$8,2,FALSE)</f>
        <v>Mountain Bikes</v>
      </c>
    </row>
    <row r="3684" customHeight="1" spans="1:10">
      <c r="A3684" s="1">
        <v>1272</v>
      </c>
      <c r="B3684" s="1">
        <v>1</v>
      </c>
      <c r="C3684" s="1">
        <v>16</v>
      </c>
      <c r="D3684" s="1">
        <v>2</v>
      </c>
      <c r="E3684" s="1">
        <v>599.99</v>
      </c>
      <c r="F3684" s="1">
        <v>0.2</v>
      </c>
      <c r="G3684">
        <f t="shared" si="57"/>
        <v>1199.78</v>
      </c>
      <c r="H3684" t="str">
        <f>VLOOKUP(C3684,[1]products!$A:$B,2,FALSE)</f>
        <v>Electra Townie Original 7D EQ - 2016</v>
      </c>
      <c r="I3684">
        <f>VLOOKUP(C3684,[1]products!$A:$D,4,FALSE)</f>
        <v>3</v>
      </c>
      <c r="J3684" t="str">
        <f>VLOOKUP(I3684,[2]categories!$A$1:$B$8,2,FALSE)</f>
        <v>Cruisers Bicycles</v>
      </c>
    </row>
    <row r="3685" customHeight="1" spans="1:10">
      <c r="A3685" s="1">
        <v>1272</v>
      </c>
      <c r="B3685" s="1">
        <v>2</v>
      </c>
      <c r="C3685" s="1">
        <v>71</v>
      </c>
      <c r="D3685" s="1">
        <v>2</v>
      </c>
      <c r="E3685" s="1">
        <v>416.99</v>
      </c>
      <c r="F3685" s="1">
        <v>0.1</v>
      </c>
      <c r="G3685">
        <f t="shared" si="57"/>
        <v>833.88</v>
      </c>
      <c r="H3685" t="str">
        <f>VLOOKUP(C3685,[1]products!$A:$B,2,FALSE)</f>
        <v>Sun Bicycles Atlas X-Type - 2017</v>
      </c>
      <c r="I3685">
        <f>VLOOKUP(C3685,[1]products!$A:$D,4,FALSE)</f>
        <v>3</v>
      </c>
      <c r="J3685" t="str">
        <f>VLOOKUP(I3685,[2]categories!$A$1:$B$8,2,FALSE)</f>
        <v>Cruisers Bicycles</v>
      </c>
    </row>
    <row r="3686" customHeight="1" spans="1:10">
      <c r="A3686" s="1">
        <v>1272</v>
      </c>
      <c r="B3686" s="1">
        <v>3</v>
      </c>
      <c r="C3686" s="1">
        <v>86</v>
      </c>
      <c r="D3686" s="1">
        <v>1</v>
      </c>
      <c r="E3686" s="1">
        <v>149.99</v>
      </c>
      <c r="F3686" s="1">
        <v>0.07</v>
      </c>
      <c r="G3686">
        <f t="shared" si="57"/>
        <v>149.92</v>
      </c>
      <c r="H3686" t="str">
        <f>VLOOKUP(C3686,[1]products!$A:$B,2,FALSE)</f>
        <v>Trek Girl's Kickster - 2017</v>
      </c>
      <c r="I3686">
        <f>VLOOKUP(C3686,[1]products!$A:$D,4,FALSE)</f>
        <v>1</v>
      </c>
      <c r="J3686" t="str">
        <f>VLOOKUP(I3686,[2]categories!$A$1:$B$8,2,FALSE)</f>
        <v>Children Bicycles</v>
      </c>
    </row>
    <row r="3687" customHeight="1" spans="1:10">
      <c r="A3687" s="1">
        <v>1273</v>
      </c>
      <c r="B3687" s="1">
        <v>1</v>
      </c>
      <c r="C3687" s="1">
        <v>95</v>
      </c>
      <c r="D3687" s="1">
        <v>2</v>
      </c>
      <c r="E3687" s="1">
        <v>299.99</v>
      </c>
      <c r="F3687" s="1">
        <v>0.07</v>
      </c>
      <c r="G3687">
        <f t="shared" si="57"/>
        <v>599.91</v>
      </c>
      <c r="H3687" t="str">
        <f>VLOOKUP(C3687,[1]products!$A:$B,2,FALSE)</f>
        <v>Electra Girl's Hawaii 1 16" - 2017</v>
      </c>
      <c r="I3687">
        <f>VLOOKUP(C3687,[1]products!$A:$D,4,FALSE)</f>
        <v>1</v>
      </c>
      <c r="J3687" t="str">
        <f>VLOOKUP(I3687,[2]categories!$A$1:$B$8,2,FALSE)</f>
        <v>Children Bicycles</v>
      </c>
    </row>
    <row r="3688" customHeight="1" spans="1:10">
      <c r="A3688" s="1">
        <v>1273</v>
      </c>
      <c r="B3688" s="1">
        <v>2</v>
      </c>
      <c r="C3688" s="1">
        <v>20</v>
      </c>
      <c r="D3688" s="1">
        <v>1</v>
      </c>
      <c r="E3688" s="1">
        <v>599.99</v>
      </c>
      <c r="F3688" s="1">
        <v>0.07</v>
      </c>
      <c r="G3688">
        <f t="shared" si="57"/>
        <v>599.92</v>
      </c>
      <c r="H3688" t="str">
        <f>VLOOKUP(C3688,[1]products!$A:$B,2,FALSE)</f>
        <v>Electra Townie Original 7D EQ - Women's - 2016</v>
      </c>
      <c r="I3688">
        <f>VLOOKUP(C3688,[1]products!$A:$D,4,FALSE)</f>
        <v>3</v>
      </c>
      <c r="J3688" t="str">
        <f>VLOOKUP(I3688,[2]categories!$A$1:$B$8,2,FALSE)</f>
        <v>Cruisers Bicycles</v>
      </c>
    </row>
    <row r="3689" customHeight="1" spans="1:10">
      <c r="A3689" s="1">
        <v>1273</v>
      </c>
      <c r="B3689" s="1">
        <v>3</v>
      </c>
      <c r="C3689" s="1">
        <v>58</v>
      </c>
      <c r="D3689" s="1">
        <v>1</v>
      </c>
      <c r="E3689" s="1">
        <v>4999.99</v>
      </c>
      <c r="F3689" s="1">
        <v>0.2</v>
      </c>
      <c r="G3689">
        <f t="shared" si="57"/>
        <v>4999.79</v>
      </c>
      <c r="H3689" t="str">
        <f>VLOOKUP(C3689,[1]products!$A:$B,2,FALSE)</f>
        <v>Trek Madone 9.2 - 2017</v>
      </c>
      <c r="I3689">
        <f>VLOOKUP(C3689,[1]products!$A:$D,4,FALSE)</f>
        <v>7</v>
      </c>
      <c r="J3689" t="str">
        <f>VLOOKUP(I3689,[2]categories!$A$1:$B$8,2,FALSE)</f>
        <v>Road Bikes</v>
      </c>
    </row>
    <row r="3690" customHeight="1" spans="1:10">
      <c r="A3690" s="1">
        <v>1274</v>
      </c>
      <c r="B3690" s="1">
        <v>1</v>
      </c>
      <c r="C3690" s="1">
        <v>81</v>
      </c>
      <c r="D3690" s="1">
        <v>1</v>
      </c>
      <c r="E3690" s="1">
        <v>1099.99</v>
      </c>
      <c r="F3690" s="1">
        <v>0.1</v>
      </c>
      <c r="G3690">
        <f t="shared" si="57"/>
        <v>1099.89</v>
      </c>
      <c r="H3690" t="str">
        <f>VLOOKUP(C3690,[1]products!$A:$B,2,FALSE)</f>
        <v>Electra Amsterdam Fashion 7i Ladies' - 2017</v>
      </c>
      <c r="I3690">
        <f>VLOOKUP(C3690,[1]products!$A:$D,4,FALSE)</f>
        <v>3</v>
      </c>
      <c r="J3690" t="str">
        <f>VLOOKUP(I3690,[2]categories!$A$1:$B$8,2,FALSE)</f>
        <v>Cruisers Bicycles</v>
      </c>
    </row>
    <row r="3691" customHeight="1" spans="1:10">
      <c r="A3691" s="1">
        <v>1275</v>
      </c>
      <c r="B3691" s="1">
        <v>1</v>
      </c>
      <c r="C3691" s="1">
        <v>58</v>
      </c>
      <c r="D3691" s="1">
        <v>1</v>
      </c>
      <c r="E3691" s="1">
        <v>4999.99</v>
      </c>
      <c r="F3691" s="1">
        <v>0.07</v>
      </c>
      <c r="G3691">
        <f t="shared" si="57"/>
        <v>4999.92</v>
      </c>
      <c r="H3691" t="str">
        <f>VLOOKUP(C3691,[1]products!$A:$B,2,FALSE)</f>
        <v>Trek Madone 9.2 - 2017</v>
      </c>
      <c r="I3691">
        <f>VLOOKUP(C3691,[1]products!$A:$D,4,FALSE)</f>
        <v>7</v>
      </c>
      <c r="J3691" t="str">
        <f>VLOOKUP(I3691,[2]categories!$A$1:$B$8,2,FALSE)</f>
        <v>Road Bikes</v>
      </c>
    </row>
    <row r="3692" customHeight="1" spans="1:10">
      <c r="A3692" s="1">
        <v>1275</v>
      </c>
      <c r="B3692" s="1">
        <v>2</v>
      </c>
      <c r="C3692" s="1">
        <v>30</v>
      </c>
      <c r="D3692" s="1">
        <v>1</v>
      </c>
      <c r="E3692" s="1">
        <v>999.99</v>
      </c>
      <c r="F3692" s="1">
        <v>0.1</v>
      </c>
      <c r="G3692">
        <f t="shared" si="57"/>
        <v>999.89</v>
      </c>
      <c r="H3692" t="str">
        <f>VLOOKUP(C3692,[1]products!$A:$B,2,FALSE)</f>
        <v>Surly Ice Cream Truck Frameset - 2017</v>
      </c>
      <c r="I3692">
        <f>VLOOKUP(C3692,[1]products!$A:$D,4,FALSE)</f>
        <v>6</v>
      </c>
      <c r="J3692" t="str">
        <f>VLOOKUP(I3692,[2]categories!$A$1:$B$8,2,FALSE)</f>
        <v>Mountain Bikes</v>
      </c>
    </row>
    <row r="3693" customHeight="1" spans="1:10">
      <c r="A3693" s="1">
        <v>1276</v>
      </c>
      <c r="B3693" s="1">
        <v>1</v>
      </c>
      <c r="C3693" s="1">
        <v>18</v>
      </c>
      <c r="D3693" s="1">
        <v>2</v>
      </c>
      <c r="E3693" s="1">
        <v>449</v>
      </c>
      <c r="F3693" s="1">
        <v>0.2</v>
      </c>
      <c r="G3693">
        <f t="shared" si="57"/>
        <v>897.8</v>
      </c>
      <c r="H3693" t="str">
        <f>VLOOKUP(C3693,[1]products!$A:$B,2,FALSE)</f>
        <v>Pure Cycles Western 3-Speed - Women's - 2015/2016</v>
      </c>
      <c r="I3693">
        <f>VLOOKUP(C3693,[1]products!$A:$D,4,FALSE)</f>
        <v>3</v>
      </c>
      <c r="J3693" t="str">
        <f>VLOOKUP(I3693,[2]categories!$A$1:$B$8,2,FALSE)</f>
        <v>Cruisers Bicycles</v>
      </c>
    </row>
    <row r="3694" customHeight="1" spans="1:10">
      <c r="A3694" s="1">
        <v>1276</v>
      </c>
      <c r="B3694" s="1">
        <v>2</v>
      </c>
      <c r="C3694" s="1">
        <v>58</v>
      </c>
      <c r="D3694" s="1">
        <v>1</v>
      </c>
      <c r="E3694" s="1">
        <v>4999.99</v>
      </c>
      <c r="F3694" s="1">
        <v>0.2</v>
      </c>
      <c r="G3694">
        <f t="shared" si="57"/>
        <v>4999.79</v>
      </c>
      <c r="H3694" t="str">
        <f>VLOOKUP(C3694,[1]products!$A:$B,2,FALSE)</f>
        <v>Trek Madone 9.2 - 2017</v>
      </c>
      <c r="I3694">
        <f>VLOOKUP(C3694,[1]products!$A:$D,4,FALSE)</f>
        <v>7</v>
      </c>
      <c r="J3694" t="str">
        <f>VLOOKUP(I3694,[2]categories!$A$1:$B$8,2,FALSE)</f>
        <v>Road Bikes</v>
      </c>
    </row>
    <row r="3695" customHeight="1" spans="1:10">
      <c r="A3695" s="1">
        <v>1276</v>
      </c>
      <c r="B3695" s="1">
        <v>3</v>
      </c>
      <c r="C3695" s="1">
        <v>42</v>
      </c>
      <c r="D3695" s="1">
        <v>1</v>
      </c>
      <c r="E3695" s="1">
        <v>2299.99</v>
      </c>
      <c r="F3695" s="1">
        <v>0.05</v>
      </c>
      <c r="G3695">
        <f t="shared" si="57"/>
        <v>2299.94</v>
      </c>
      <c r="H3695" t="str">
        <f>VLOOKUP(C3695,[1]products!$A:$B,2,FALSE)</f>
        <v>Trek Fuel EX 5 27.5 Plus - 2017</v>
      </c>
      <c r="I3695">
        <f>VLOOKUP(C3695,[1]products!$A:$D,4,FALSE)</f>
        <v>6</v>
      </c>
      <c r="J3695" t="str">
        <f>VLOOKUP(I3695,[2]categories!$A$1:$B$8,2,FALSE)</f>
        <v>Mountain Bikes</v>
      </c>
    </row>
    <row r="3696" customHeight="1" spans="1:10">
      <c r="A3696" s="1">
        <v>1276</v>
      </c>
      <c r="B3696" s="1">
        <v>4</v>
      </c>
      <c r="C3696" s="1">
        <v>24</v>
      </c>
      <c r="D3696" s="1">
        <v>2</v>
      </c>
      <c r="E3696" s="1">
        <v>549.99</v>
      </c>
      <c r="F3696" s="1">
        <v>0.2</v>
      </c>
      <c r="G3696">
        <f t="shared" si="57"/>
        <v>1099.78</v>
      </c>
      <c r="H3696" t="str">
        <f>VLOOKUP(C3696,[1]products!$A:$B,2,FALSE)</f>
        <v>Electra Townie Original 21D - 2016</v>
      </c>
      <c r="I3696">
        <f>VLOOKUP(C3696,[1]products!$A:$D,4,FALSE)</f>
        <v>2</v>
      </c>
      <c r="J3696" t="str">
        <f>VLOOKUP(I3696,[2]categories!$A$1:$B$8,2,FALSE)</f>
        <v>Comfort Bicycles</v>
      </c>
    </row>
    <row r="3697" customHeight="1" spans="1:10">
      <c r="A3697" s="1">
        <v>1276</v>
      </c>
      <c r="B3697" s="1">
        <v>5</v>
      </c>
      <c r="C3697" s="1">
        <v>78</v>
      </c>
      <c r="D3697" s="1">
        <v>2</v>
      </c>
      <c r="E3697" s="1">
        <v>647.99</v>
      </c>
      <c r="F3697" s="1">
        <v>0.2</v>
      </c>
      <c r="G3697">
        <f t="shared" si="57"/>
        <v>1295.78</v>
      </c>
      <c r="H3697" t="str">
        <f>VLOOKUP(C3697,[1]products!$A:$B,2,FALSE)</f>
        <v>Sun Bicycles Biscayne Tandem CB - 2017</v>
      </c>
      <c r="I3697">
        <f>VLOOKUP(C3697,[1]products!$A:$D,4,FALSE)</f>
        <v>3</v>
      </c>
      <c r="J3697" t="str">
        <f>VLOOKUP(I3697,[2]categories!$A$1:$B$8,2,FALSE)</f>
        <v>Cruisers Bicycles</v>
      </c>
    </row>
    <row r="3698" customHeight="1" spans="1:10">
      <c r="A3698" s="1">
        <v>1277</v>
      </c>
      <c r="B3698" s="1">
        <v>1</v>
      </c>
      <c r="C3698" s="1">
        <v>56</v>
      </c>
      <c r="D3698" s="1">
        <v>2</v>
      </c>
      <c r="E3698" s="1">
        <v>5499.99</v>
      </c>
      <c r="F3698" s="1">
        <v>0.2</v>
      </c>
      <c r="G3698">
        <f t="shared" si="57"/>
        <v>10999.78</v>
      </c>
      <c r="H3698" t="str">
        <f>VLOOKUP(C3698,[1]products!$A:$B,2,FALSE)</f>
        <v>Trek Domane SLR 6 Disc - 2017</v>
      </c>
      <c r="I3698">
        <f>VLOOKUP(C3698,[1]products!$A:$D,4,FALSE)</f>
        <v>7</v>
      </c>
      <c r="J3698" t="str">
        <f>VLOOKUP(I3698,[2]categories!$A$1:$B$8,2,FALSE)</f>
        <v>Road Bikes</v>
      </c>
    </row>
    <row r="3699" customHeight="1" spans="1:10">
      <c r="A3699" s="1">
        <v>1277</v>
      </c>
      <c r="B3699" s="1">
        <v>2</v>
      </c>
      <c r="C3699" s="1">
        <v>93</v>
      </c>
      <c r="D3699" s="1">
        <v>2</v>
      </c>
      <c r="E3699" s="1">
        <v>209.99</v>
      </c>
      <c r="F3699" s="1">
        <v>0.05</v>
      </c>
      <c r="G3699">
        <f t="shared" si="57"/>
        <v>419.93</v>
      </c>
      <c r="H3699" t="str">
        <f>VLOOKUP(C3699,[1]products!$A:$B,2,FALSE)</f>
        <v>Haro Shredder 20 Girls - 2017</v>
      </c>
      <c r="I3699">
        <f>VLOOKUP(C3699,[1]products!$A:$D,4,FALSE)</f>
        <v>1</v>
      </c>
      <c r="J3699" t="str">
        <f>VLOOKUP(I3699,[2]categories!$A$1:$B$8,2,FALSE)</f>
        <v>Children Bicycles</v>
      </c>
    </row>
    <row r="3700" customHeight="1" spans="1:10">
      <c r="A3700" s="1">
        <v>1277</v>
      </c>
      <c r="B3700" s="1">
        <v>3</v>
      </c>
      <c r="C3700" s="1">
        <v>9</v>
      </c>
      <c r="D3700" s="1">
        <v>2</v>
      </c>
      <c r="E3700" s="1">
        <v>2999.99</v>
      </c>
      <c r="F3700" s="1">
        <v>0.1</v>
      </c>
      <c r="G3700">
        <f t="shared" si="57"/>
        <v>5999.88</v>
      </c>
      <c r="H3700" t="str">
        <f>VLOOKUP(C3700,[1]products!$A:$B,2,FALSE)</f>
        <v>Trek Conduit+ - 2016</v>
      </c>
      <c r="I3700">
        <f>VLOOKUP(C3700,[1]products!$A:$D,4,FALSE)</f>
        <v>5</v>
      </c>
      <c r="J3700" t="str">
        <f>VLOOKUP(I3700,[2]categories!$A$1:$B$8,2,FALSE)</f>
        <v>Electric Bikes</v>
      </c>
    </row>
    <row r="3701" customHeight="1" spans="1:10">
      <c r="A3701" s="1">
        <v>1277</v>
      </c>
      <c r="B3701" s="1">
        <v>4</v>
      </c>
      <c r="C3701" s="1">
        <v>4</v>
      </c>
      <c r="D3701" s="1">
        <v>1</v>
      </c>
      <c r="E3701" s="1">
        <v>2899.99</v>
      </c>
      <c r="F3701" s="1">
        <v>0.1</v>
      </c>
      <c r="G3701">
        <f t="shared" si="57"/>
        <v>2899.89</v>
      </c>
      <c r="H3701" t="str">
        <f>VLOOKUP(C3701,[1]products!$A:$B,2,FALSE)</f>
        <v>Trek Fuel EX 8 29 - 2016</v>
      </c>
      <c r="I3701">
        <f>VLOOKUP(C3701,[1]products!$A:$D,4,FALSE)</f>
        <v>6</v>
      </c>
      <c r="J3701" t="str">
        <f>VLOOKUP(I3701,[2]categories!$A$1:$B$8,2,FALSE)</f>
        <v>Mountain Bikes</v>
      </c>
    </row>
    <row r="3702" customHeight="1" spans="1:10">
      <c r="A3702" s="1">
        <v>1277</v>
      </c>
      <c r="B3702" s="1">
        <v>5</v>
      </c>
      <c r="C3702" s="1">
        <v>11</v>
      </c>
      <c r="D3702" s="1">
        <v>1</v>
      </c>
      <c r="E3702" s="1">
        <v>1680.99</v>
      </c>
      <c r="F3702" s="1">
        <v>0.2</v>
      </c>
      <c r="G3702">
        <f t="shared" si="57"/>
        <v>1680.79</v>
      </c>
      <c r="H3702" t="str">
        <f>VLOOKUP(C3702,[1]products!$A:$B,2,FALSE)</f>
        <v>Surly Straggler 650b - 2016</v>
      </c>
      <c r="I3702">
        <f>VLOOKUP(C3702,[1]products!$A:$D,4,FALSE)</f>
        <v>4</v>
      </c>
      <c r="J3702" t="str">
        <f>VLOOKUP(I3702,[2]categories!$A$1:$B$8,2,FALSE)</f>
        <v>Cyclocross Bicycles</v>
      </c>
    </row>
    <row r="3703" customHeight="1" spans="1:10">
      <c r="A3703" s="1">
        <v>1278</v>
      </c>
      <c r="B3703" s="1">
        <v>1</v>
      </c>
      <c r="C3703" s="1">
        <v>103</v>
      </c>
      <c r="D3703" s="1">
        <v>2</v>
      </c>
      <c r="E3703" s="1">
        <v>551.99</v>
      </c>
      <c r="F3703" s="1">
        <v>0.1</v>
      </c>
      <c r="G3703">
        <f t="shared" si="57"/>
        <v>1103.88</v>
      </c>
      <c r="H3703" t="str">
        <f>VLOOKUP(C3703,[1]products!$A:$B,2,FALSE)</f>
        <v>Sun Bicycles Streamway 3 - 2017</v>
      </c>
      <c r="I3703">
        <f>VLOOKUP(C3703,[1]products!$A:$D,4,FALSE)</f>
        <v>2</v>
      </c>
      <c r="J3703" t="str">
        <f>VLOOKUP(I3703,[2]categories!$A$1:$B$8,2,FALSE)</f>
        <v>Comfort Bicycles</v>
      </c>
    </row>
    <row r="3704" customHeight="1" spans="1:10">
      <c r="A3704" s="1">
        <v>1278</v>
      </c>
      <c r="B3704" s="1">
        <v>2</v>
      </c>
      <c r="C3704" s="1">
        <v>32</v>
      </c>
      <c r="D3704" s="1">
        <v>1</v>
      </c>
      <c r="E3704" s="1">
        <v>469.99</v>
      </c>
      <c r="F3704" s="1">
        <v>0.1</v>
      </c>
      <c r="G3704">
        <f t="shared" si="57"/>
        <v>469.89</v>
      </c>
      <c r="H3704" t="str">
        <f>VLOOKUP(C3704,[1]products!$A:$B,2,FALSE)</f>
        <v>Trek Farley Alloy Frameset - 2017</v>
      </c>
      <c r="I3704">
        <f>VLOOKUP(C3704,[1]products!$A:$D,4,FALSE)</f>
        <v>6</v>
      </c>
      <c r="J3704" t="str">
        <f>VLOOKUP(I3704,[2]categories!$A$1:$B$8,2,FALSE)</f>
        <v>Mountain Bikes</v>
      </c>
    </row>
    <row r="3705" customHeight="1" spans="1:10">
      <c r="A3705" s="1">
        <v>1279</v>
      </c>
      <c r="B3705" s="1">
        <v>1</v>
      </c>
      <c r="C3705" s="1">
        <v>9</v>
      </c>
      <c r="D3705" s="1">
        <v>2</v>
      </c>
      <c r="E3705" s="1">
        <v>2999.99</v>
      </c>
      <c r="F3705" s="1">
        <v>0.05</v>
      </c>
      <c r="G3705">
        <f t="shared" si="57"/>
        <v>5999.93</v>
      </c>
      <c r="H3705" t="str">
        <f>VLOOKUP(C3705,[1]products!$A:$B,2,FALSE)</f>
        <v>Trek Conduit+ - 2016</v>
      </c>
      <c r="I3705">
        <f>VLOOKUP(C3705,[1]products!$A:$D,4,FALSE)</f>
        <v>5</v>
      </c>
      <c r="J3705" t="str">
        <f>VLOOKUP(I3705,[2]categories!$A$1:$B$8,2,FALSE)</f>
        <v>Electric Bikes</v>
      </c>
    </row>
    <row r="3706" customHeight="1" spans="1:10">
      <c r="A3706" s="1">
        <v>1280</v>
      </c>
      <c r="B3706" s="1">
        <v>1</v>
      </c>
      <c r="C3706" s="1">
        <v>72</v>
      </c>
      <c r="D3706" s="1">
        <v>2</v>
      </c>
      <c r="E3706" s="1">
        <v>619.99</v>
      </c>
      <c r="F3706" s="1">
        <v>0.07</v>
      </c>
      <c r="G3706">
        <f t="shared" si="57"/>
        <v>1239.91</v>
      </c>
      <c r="H3706" t="str">
        <f>VLOOKUP(C3706,[1]products!$A:$B,2,FALSE)</f>
        <v>Sun Bicycles Biscayne Tandem 7 - 2017</v>
      </c>
      <c r="I3706">
        <f>VLOOKUP(C3706,[1]products!$A:$D,4,FALSE)</f>
        <v>3</v>
      </c>
      <c r="J3706" t="str">
        <f>VLOOKUP(I3706,[2]categories!$A$1:$B$8,2,FALSE)</f>
        <v>Cruisers Bicycles</v>
      </c>
    </row>
    <row r="3707" customHeight="1" spans="1:10">
      <c r="A3707" s="1">
        <v>1280</v>
      </c>
      <c r="B3707" s="1">
        <v>2</v>
      </c>
      <c r="C3707" s="1">
        <v>74</v>
      </c>
      <c r="D3707" s="1">
        <v>1</v>
      </c>
      <c r="E3707" s="1">
        <v>439.99</v>
      </c>
      <c r="F3707" s="1">
        <v>0.05</v>
      </c>
      <c r="G3707">
        <f t="shared" si="57"/>
        <v>439.94</v>
      </c>
      <c r="H3707" t="str">
        <f>VLOOKUP(C3707,[1]products!$A:$B,2,FALSE)</f>
        <v>Electra Cruiser Lux 1 - 2017</v>
      </c>
      <c r="I3707">
        <f>VLOOKUP(C3707,[1]products!$A:$D,4,FALSE)</f>
        <v>3</v>
      </c>
      <c r="J3707" t="str">
        <f>VLOOKUP(I3707,[2]categories!$A$1:$B$8,2,FALSE)</f>
        <v>Cruisers Bicycles</v>
      </c>
    </row>
    <row r="3708" customHeight="1" spans="1:10">
      <c r="A3708" s="1">
        <v>1280</v>
      </c>
      <c r="B3708" s="1">
        <v>3</v>
      </c>
      <c r="C3708" s="1">
        <v>52</v>
      </c>
      <c r="D3708" s="1">
        <v>1</v>
      </c>
      <c r="E3708" s="1">
        <v>875.99</v>
      </c>
      <c r="F3708" s="1">
        <v>0.07</v>
      </c>
      <c r="G3708">
        <f t="shared" si="57"/>
        <v>875.92</v>
      </c>
      <c r="H3708" t="str">
        <f>VLOOKUP(C3708,[1]products!$A:$B,2,FALSE)</f>
        <v>Surly Steamroller - 2017</v>
      </c>
      <c r="I3708">
        <f>VLOOKUP(C3708,[1]products!$A:$D,4,FALSE)</f>
        <v>7</v>
      </c>
      <c r="J3708" t="str">
        <f>VLOOKUP(I3708,[2]categories!$A$1:$B$8,2,FALSE)</f>
        <v>Road Bikes</v>
      </c>
    </row>
    <row r="3709" customHeight="1" spans="1:10">
      <c r="A3709" s="1">
        <v>1280</v>
      </c>
      <c r="B3709" s="1">
        <v>4</v>
      </c>
      <c r="C3709" s="1">
        <v>63</v>
      </c>
      <c r="D3709" s="1">
        <v>1</v>
      </c>
      <c r="E3709" s="1">
        <v>3499.99</v>
      </c>
      <c r="F3709" s="1">
        <v>0.2</v>
      </c>
      <c r="G3709">
        <f t="shared" si="57"/>
        <v>3499.79</v>
      </c>
      <c r="H3709" t="str">
        <f>VLOOKUP(C3709,[1]products!$A:$B,2,FALSE)</f>
        <v>Trek Boone Race Shop Limited - 2017</v>
      </c>
      <c r="I3709">
        <f>VLOOKUP(C3709,[1]products!$A:$D,4,FALSE)</f>
        <v>4</v>
      </c>
      <c r="J3709" t="str">
        <f>VLOOKUP(I3709,[2]categories!$A$1:$B$8,2,FALSE)</f>
        <v>Cyclocross Bicycles</v>
      </c>
    </row>
    <row r="3710" customHeight="1" spans="1:10">
      <c r="A3710" s="1">
        <v>1281</v>
      </c>
      <c r="B3710" s="1">
        <v>1</v>
      </c>
      <c r="C3710" s="1">
        <v>36</v>
      </c>
      <c r="D3710" s="1">
        <v>1</v>
      </c>
      <c r="E3710" s="1">
        <v>832.99</v>
      </c>
      <c r="F3710" s="1">
        <v>0.05</v>
      </c>
      <c r="G3710">
        <f t="shared" si="57"/>
        <v>832.94</v>
      </c>
      <c r="H3710" t="str">
        <f>VLOOKUP(C3710,[1]products!$A:$B,2,FALSE)</f>
        <v>Surly Troll Frameset - 2017</v>
      </c>
      <c r="I3710">
        <f>VLOOKUP(C3710,[1]products!$A:$D,4,FALSE)</f>
        <v>6</v>
      </c>
      <c r="J3710" t="str">
        <f>VLOOKUP(I3710,[2]categories!$A$1:$B$8,2,FALSE)</f>
        <v>Mountain Bikes</v>
      </c>
    </row>
    <row r="3711" customHeight="1" spans="1:10">
      <c r="A3711" s="1">
        <v>1281</v>
      </c>
      <c r="B3711" s="1">
        <v>2</v>
      </c>
      <c r="C3711" s="1">
        <v>49</v>
      </c>
      <c r="D3711" s="1">
        <v>2</v>
      </c>
      <c r="E3711" s="1">
        <v>3499.99</v>
      </c>
      <c r="F3711" s="1">
        <v>0.05</v>
      </c>
      <c r="G3711">
        <f t="shared" si="57"/>
        <v>6999.93</v>
      </c>
      <c r="H3711" t="str">
        <f>VLOOKUP(C3711,[1]products!$A:$B,2,FALSE)</f>
        <v>Trek Domane SL 6 - 2017</v>
      </c>
      <c r="I3711">
        <f>VLOOKUP(C3711,[1]products!$A:$D,4,FALSE)</f>
        <v>7</v>
      </c>
      <c r="J3711" t="str">
        <f>VLOOKUP(I3711,[2]categories!$A$1:$B$8,2,FALSE)</f>
        <v>Road Bikes</v>
      </c>
    </row>
    <row r="3712" customHeight="1" spans="1:10">
      <c r="A3712" s="1">
        <v>1281</v>
      </c>
      <c r="B3712" s="1">
        <v>3</v>
      </c>
      <c r="C3712" s="1">
        <v>75</v>
      </c>
      <c r="D3712" s="1">
        <v>1</v>
      </c>
      <c r="E3712" s="1">
        <v>599.99</v>
      </c>
      <c r="F3712" s="1">
        <v>0.05</v>
      </c>
      <c r="G3712">
        <f t="shared" si="57"/>
        <v>599.94</v>
      </c>
      <c r="H3712" t="str">
        <f>VLOOKUP(C3712,[1]products!$A:$B,2,FALSE)</f>
        <v>Electra Cruiser Lux Fat Tire 1 Ladies - 2017</v>
      </c>
      <c r="I3712">
        <f>VLOOKUP(C3712,[1]products!$A:$D,4,FALSE)</f>
        <v>3</v>
      </c>
      <c r="J3712" t="str">
        <f>VLOOKUP(I3712,[2]categories!$A$1:$B$8,2,FALSE)</f>
        <v>Cruisers Bicycles</v>
      </c>
    </row>
    <row r="3713" customHeight="1" spans="1:10">
      <c r="A3713" s="1">
        <v>1282</v>
      </c>
      <c r="B3713" s="1">
        <v>1</v>
      </c>
      <c r="C3713" s="1">
        <v>111</v>
      </c>
      <c r="D3713" s="1">
        <v>1</v>
      </c>
      <c r="E3713" s="1">
        <v>470.99</v>
      </c>
      <c r="F3713" s="1">
        <v>0.05</v>
      </c>
      <c r="G3713">
        <f t="shared" si="57"/>
        <v>470.94</v>
      </c>
      <c r="H3713" t="str">
        <f>VLOOKUP(C3713,[1]products!$A:$B,2,FALSE)</f>
        <v>Sun Bicycles Drifter 7 - Women's - 2017</v>
      </c>
      <c r="I3713">
        <f>VLOOKUP(C3713,[1]products!$A:$D,4,FALSE)</f>
        <v>2</v>
      </c>
      <c r="J3713" t="str">
        <f>VLOOKUP(I3713,[2]categories!$A$1:$B$8,2,FALSE)</f>
        <v>Comfort Bicycles</v>
      </c>
    </row>
    <row r="3714" customHeight="1" spans="1:10">
      <c r="A3714" s="1">
        <v>1282</v>
      </c>
      <c r="B3714" s="1">
        <v>2</v>
      </c>
      <c r="C3714" s="1">
        <v>50</v>
      </c>
      <c r="D3714" s="1">
        <v>2</v>
      </c>
      <c r="E3714" s="1">
        <v>5999.99</v>
      </c>
      <c r="F3714" s="1">
        <v>0.2</v>
      </c>
      <c r="G3714">
        <f t="shared" si="57"/>
        <v>11999.78</v>
      </c>
      <c r="H3714" t="str">
        <f>VLOOKUP(C3714,[1]products!$A:$B,2,FALSE)</f>
        <v>Trek Silque SLR 7 Women's - 2017</v>
      </c>
      <c r="I3714">
        <f>VLOOKUP(C3714,[1]products!$A:$D,4,FALSE)</f>
        <v>7</v>
      </c>
      <c r="J3714" t="str">
        <f>VLOOKUP(I3714,[2]categories!$A$1:$B$8,2,FALSE)</f>
        <v>Road Bikes</v>
      </c>
    </row>
    <row r="3715" customHeight="1" spans="1:10">
      <c r="A3715" s="1">
        <v>1283</v>
      </c>
      <c r="B3715" s="1">
        <v>1</v>
      </c>
      <c r="C3715" s="1">
        <v>61</v>
      </c>
      <c r="D3715" s="1">
        <v>2</v>
      </c>
      <c r="E3715" s="1">
        <v>4999.99</v>
      </c>
      <c r="F3715" s="1">
        <v>0.05</v>
      </c>
      <c r="G3715">
        <f t="shared" ref="G3715:G3778" si="58">(E3715*D3715)-F3715</f>
        <v>9999.93</v>
      </c>
      <c r="H3715" t="str">
        <f>VLOOKUP(C3715,[1]products!$A:$B,2,FALSE)</f>
        <v>Trek Powerfly 8 FS Plus - 2017</v>
      </c>
      <c r="I3715">
        <f>VLOOKUP(C3715,[1]products!$A:$D,4,FALSE)</f>
        <v>5</v>
      </c>
      <c r="J3715" t="str">
        <f>VLOOKUP(I3715,[2]categories!$A$1:$B$8,2,FALSE)</f>
        <v>Electric Bikes</v>
      </c>
    </row>
    <row r="3716" customHeight="1" spans="1:10">
      <c r="A3716" s="1">
        <v>1283</v>
      </c>
      <c r="B3716" s="1">
        <v>2</v>
      </c>
      <c r="C3716" s="1">
        <v>81</v>
      </c>
      <c r="D3716" s="1">
        <v>1</v>
      </c>
      <c r="E3716" s="1">
        <v>1099.99</v>
      </c>
      <c r="F3716" s="1">
        <v>0.2</v>
      </c>
      <c r="G3716">
        <f t="shared" si="58"/>
        <v>1099.79</v>
      </c>
      <c r="H3716" t="str">
        <f>VLOOKUP(C3716,[1]products!$A:$B,2,FALSE)</f>
        <v>Electra Amsterdam Fashion 7i Ladies' - 2017</v>
      </c>
      <c r="I3716">
        <f>VLOOKUP(C3716,[1]products!$A:$D,4,FALSE)</f>
        <v>3</v>
      </c>
      <c r="J3716" t="str">
        <f>VLOOKUP(I3716,[2]categories!$A$1:$B$8,2,FALSE)</f>
        <v>Cruisers Bicycles</v>
      </c>
    </row>
    <row r="3717" customHeight="1" spans="1:10">
      <c r="A3717" s="1">
        <v>1283</v>
      </c>
      <c r="B3717" s="1">
        <v>3</v>
      </c>
      <c r="C3717" s="1">
        <v>7</v>
      </c>
      <c r="D3717" s="1">
        <v>1</v>
      </c>
      <c r="E3717" s="1">
        <v>3999.99</v>
      </c>
      <c r="F3717" s="1">
        <v>0.1</v>
      </c>
      <c r="G3717">
        <f t="shared" si="58"/>
        <v>3999.89</v>
      </c>
      <c r="H3717" t="str">
        <f>VLOOKUP(C3717,[1]products!$A:$B,2,FALSE)</f>
        <v>Trek Slash 8 27.5 - 2016</v>
      </c>
      <c r="I3717">
        <f>VLOOKUP(C3717,[1]products!$A:$D,4,FALSE)</f>
        <v>6</v>
      </c>
      <c r="J3717" t="str">
        <f>VLOOKUP(I3717,[2]categories!$A$1:$B$8,2,FALSE)</f>
        <v>Mountain Bikes</v>
      </c>
    </row>
    <row r="3718" customHeight="1" spans="1:10">
      <c r="A3718" s="1">
        <v>1283</v>
      </c>
      <c r="B3718" s="1">
        <v>4</v>
      </c>
      <c r="C3718" s="1">
        <v>32</v>
      </c>
      <c r="D3718" s="1">
        <v>1</v>
      </c>
      <c r="E3718" s="1">
        <v>469.99</v>
      </c>
      <c r="F3718" s="1">
        <v>0.1</v>
      </c>
      <c r="G3718">
        <f t="shared" si="58"/>
        <v>469.89</v>
      </c>
      <c r="H3718" t="str">
        <f>VLOOKUP(C3718,[1]products!$A:$B,2,FALSE)</f>
        <v>Trek Farley Alloy Frameset - 2017</v>
      </c>
      <c r="I3718">
        <f>VLOOKUP(C3718,[1]products!$A:$D,4,FALSE)</f>
        <v>6</v>
      </c>
      <c r="J3718" t="str">
        <f>VLOOKUP(I3718,[2]categories!$A$1:$B$8,2,FALSE)</f>
        <v>Mountain Bikes</v>
      </c>
    </row>
    <row r="3719" customHeight="1" spans="1:10">
      <c r="A3719" s="1">
        <v>1283</v>
      </c>
      <c r="B3719" s="1">
        <v>5</v>
      </c>
      <c r="C3719" s="1">
        <v>11</v>
      </c>
      <c r="D3719" s="1">
        <v>1</v>
      </c>
      <c r="E3719" s="1">
        <v>1680.99</v>
      </c>
      <c r="F3719" s="1">
        <v>0.2</v>
      </c>
      <c r="G3719">
        <f t="shared" si="58"/>
        <v>1680.79</v>
      </c>
      <c r="H3719" t="str">
        <f>VLOOKUP(C3719,[1]products!$A:$B,2,FALSE)</f>
        <v>Surly Straggler 650b - 2016</v>
      </c>
      <c r="I3719">
        <f>VLOOKUP(C3719,[1]products!$A:$D,4,FALSE)</f>
        <v>4</v>
      </c>
      <c r="J3719" t="str">
        <f>VLOOKUP(I3719,[2]categories!$A$1:$B$8,2,FALSE)</f>
        <v>Cyclocross Bicycles</v>
      </c>
    </row>
    <row r="3720" customHeight="1" spans="1:10">
      <c r="A3720" s="1">
        <v>1284</v>
      </c>
      <c r="B3720" s="1">
        <v>1</v>
      </c>
      <c r="C3720" s="1">
        <v>101</v>
      </c>
      <c r="D3720" s="1">
        <v>1</v>
      </c>
      <c r="E3720" s="1">
        <v>339.99</v>
      </c>
      <c r="F3720" s="1">
        <v>0.07</v>
      </c>
      <c r="G3720">
        <f t="shared" si="58"/>
        <v>339.92</v>
      </c>
      <c r="H3720" t="str">
        <f>VLOOKUP(C3720,[1]products!$A:$B,2,FALSE)</f>
        <v>Electra Townie 7D (20-inch) - Boys' - 2017</v>
      </c>
      <c r="I3720">
        <f>VLOOKUP(C3720,[1]products!$A:$D,4,FALSE)</f>
        <v>1</v>
      </c>
      <c r="J3720" t="str">
        <f>VLOOKUP(I3720,[2]categories!$A$1:$B$8,2,FALSE)</f>
        <v>Children Bicycles</v>
      </c>
    </row>
    <row r="3721" customHeight="1" spans="1:10">
      <c r="A3721" s="1">
        <v>1284</v>
      </c>
      <c r="B3721" s="1">
        <v>2</v>
      </c>
      <c r="C3721" s="1">
        <v>8</v>
      </c>
      <c r="D3721" s="1">
        <v>1</v>
      </c>
      <c r="E3721" s="1">
        <v>1799.99</v>
      </c>
      <c r="F3721" s="1">
        <v>0.05</v>
      </c>
      <c r="G3721">
        <f t="shared" si="58"/>
        <v>1799.94</v>
      </c>
      <c r="H3721" t="str">
        <f>VLOOKUP(C3721,[1]products!$A:$B,2,FALSE)</f>
        <v>Trek Remedy 29 Carbon Frameset - 2016</v>
      </c>
      <c r="I3721">
        <f>VLOOKUP(C3721,[1]products!$A:$D,4,FALSE)</f>
        <v>6</v>
      </c>
      <c r="J3721" t="str">
        <f>VLOOKUP(I3721,[2]categories!$A$1:$B$8,2,FALSE)</f>
        <v>Mountain Bikes</v>
      </c>
    </row>
    <row r="3722" customHeight="1" spans="1:10">
      <c r="A3722" s="1">
        <v>1284</v>
      </c>
      <c r="B3722" s="1">
        <v>3</v>
      </c>
      <c r="C3722" s="1">
        <v>4</v>
      </c>
      <c r="D3722" s="1">
        <v>2</v>
      </c>
      <c r="E3722" s="1">
        <v>2899.99</v>
      </c>
      <c r="F3722" s="1">
        <v>0.05</v>
      </c>
      <c r="G3722">
        <f t="shared" si="58"/>
        <v>5799.93</v>
      </c>
      <c r="H3722" t="str">
        <f>VLOOKUP(C3722,[1]products!$A:$B,2,FALSE)</f>
        <v>Trek Fuel EX 8 29 - 2016</v>
      </c>
      <c r="I3722">
        <f>VLOOKUP(C3722,[1]products!$A:$D,4,FALSE)</f>
        <v>6</v>
      </c>
      <c r="J3722" t="str">
        <f>VLOOKUP(I3722,[2]categories!$A$1:$B$8,2,FALSE)</f>
        <v>Mountain Bikes</v>
      </c>
    </row>
    <row r="3723" customHeight="1" spans="1:10">
      <c r="A3723" s="1">
        <v>1285</v>
      </c>
      <c r="B3723" s="1">
        <v>1</v>
      </c>
      <c r="C3723" s="1">
        <v>78</v>
      </c>
      <c r="D3723" s="1">
        <v>2</v>
      </c>
      <c r="E3723" s="1">
        <v>647.99</v>
      </c>
      <c r="F3723" s="1">
        <v>0.07</v>
      </c>
      <c r="G3723">
        <f t="shared" si="58"/>
        <v>1295.91</v>
      </c>
      <c r="H3723" t="str">
        <f>VLOOKUP(C3723,[1]products!$A:$B,2,FALSE)</f>
        <v>Sun Bicycles Biscayne Tandem CB - 2017</v>
      </c>
      <c r="I3723">
        <f>VLOOKUP(C3723,[1]products!$A:$D,4,FALSE)</f>
        <v>3</v>
      </c>
      <c r="J3723" t="str">
        <f>VLOOKUP(I3723,[2]categories!$A$1:$B$8,2,FALSE)</f>
        <v>Cruisers Bicycles</v>
      </c>
    </row>
    <row r="3724" customHeight="1" spans="1:10">
      <c r="A3724" s="1">
        <v>1285</v>
      </c>
      <c r="B3724" s="1">
        <v>2</v>
      </c>
      <c r="C3724" s="1">
        <v>93</v>
      </c>
      <c r="D3724" s="1">
        <v>1</v>
      </c>
      <c r="E3724" s="1">
        <v>209.99</v>
      </c>
      <c r="F3724" s="1">
        <v>0.1</v>
      </c>
      <c r="G3724">
        <f t="shared" si="58"/>
        <v>209.89</v>
      </c>
      <c r="H3724" t="str">
        <f>VLOOKUP(C3724,[1]products!$A:$B,2,FALSE)</f>
        <v>Haro Shredder 20 Girls - 2017</v>
      </c>
      <c r="I3724">
        <f>VLOOKUP(C3724,[1]products!$A:$D,4,FALSE)</f>
        <v>1</v>
      </c>
      <c r="J3724" t="str">
        <f>VLOOKUP(I3724,[2]categories!$A$1:$B$8,2,FALSE)</f>
        <v>Children Bicycles</v>
      </c>
    </row>
    <row r="3725" customHeight="1" spans="1:10">
      <c r="A3725" s="1">
        <v>1285</v>
      </c>
      <c r="B3725" s="1">
        <v>3</v>
      </c>
      <c r="C3725" s="1">
        <v>69</v>
      </c>
      <c r="D3725" s="1">
        <v>2</v>
      </c>
      <c r="E3725" s="1">
        <v>416.99</v>
      </c>
      <c r="F3725" s="1">
        <v>0.2</v>
      </c>
      <c r="G3725">
        <f t="shared" si="58"/>
        <v>833.78</v>
      </c>
      <c r="H3725" t="str">
        <f>VLOOKUP(C3725,[1]products!$A:$B,2,FALSE)</f>
        <v>Sun Bicycles Cruz 7 - 2017</v>
      </c>
      <c r="I3725">
        <f>VLOOKUP(C3725,[1]products!$A:$D,4,FALSE)</f>
        <v>3</v>
      </c>
      <c r="J3725" t="str">
        <f>VLOOKUP(I3725,[2]categories!$A$1:$B$8,2,FALSE)</f>
        <v>Cruisers Bicycles</v>
      </c>
    </row>
    <row r="3726" customHeight="1" spans="1:10">
      <c r="A3726" s="1">
        <v>1285</v>
      </c>
      <c r="B3726" s="1">
        <v>4</v>
      </c>
      <c r="C3726" s="1">
        <v>6</v>
      </c>
      <c r="D3726" s="1">
        <v>1</v>
      </c>
      <c r="E3726" s="1">
        <v>469.99</v>
      </c>
      <c r="F3726" s="1">
        <v>0.1</v>
      </c>
      <c r="G3726">
        <f t="shared" si="58"/>
        <v>469.89</v>
      </c>
      <c r="H3726" t="str">
        <f>VLOOKUP(C3726,[1]products!$A:$B,2,FALSE)</f>
        <v>Surly Ice Cream Truck Frameset - 2016</v>
      </c>
      <c r="I3726">
        <f>VLOOKUP(C3726,[1]products!$A:$D,4,FALSE)</f>
        <v>6</v>
      </c>
      <c r="J3726" t="str">
        <f>VLOOKUP(I3726,[2]categories!$A$1:$B$8,2,FALSE)</f>
        <v>Mountain Bikes</v>
      </c>
    </row>
    <row r="3727" customHeight="1" spans="1:10">
      <c r="A3727" s="1">
        <v>1286</v>
      </c>
      <c r="B3727" s="1">
        <v>1</v>
      </c>
      <c r="C3727" s="1">
        <v>109</v>
      </c>
      <c r="D3727" s="1">
        <v>2</v>
      </c>
      <c r="E3727" s="1">
        <v>416.99</v>
      </c>
      <c r="F3727" s="1">
        <v>0.2</v>
      </c>
      <c r="G3727">
        <f t="shared" si="58"/>
        <v>833.78</v>
      </c>
      <c r="H3727" t="str">
        <f>VLOOKUP(C3727,[1]products!$A:$B,2,FALSE)</f>
        <v>Sun Bicycles Cruz 7 - Women's - 2017</v>
      </c>
      <c r="I3727">
        <f>VLOOKUP(C3727,[1]products!$A:$D,4,FALSE)</f>
        <v>2</v>
      </c>
      <c r="J3727" t="str">
        <f>VLOOKUP(I3727,[2]categories!$A$1:$B$8,2,FALSE)</f>
        <v>Comfort Bicycles</v>
      </c>
    </row>
    <row r="3728" customHeight="1" spans="1:10">
      <c r="A3728" s="1">
        <v>1286</v>
      </c>
      <c r="B3728" s="1">
        <v>2</v>
      </c>
      <c r="C3728" s="1">
        <v>81</v>
      </c>
      <c r="D3728" s="1">
        <v>2</v>
      </c>
      <c r="E3728" s="1">
        <v>1099.99</v>
      </c>
      <c r="F3728" s="1">
        <v>0.07</v>
      </c>
      <c r="G3728">
        <f t="shared" si="58"/>
        <v>2199.91</v>
      </c>
      <c r="H3728" t="str">
        <f>VLOOKUP(C3728,[1]products!$A:$B,2,FALSE)</f>
        <v>Electra Amsterdam Fashion 7i Ladies' - 2017</v>
      </c>
      <c r="I3728">
        <f>VLOOKUP(C3728,[1]products!$A:$D,4,FALSE)</f>
        <v>3</v>
      </c>
      <c r="J3728" t="str">
        <f>VLOOKUP(I3728,[2]categories!$A$1:$B$8,2,FALSE)</f>
        <v>Cruisers Bicycles</v>
      </c>
    </row>
    <row r="3729" customHeight="1" spans="1:10">
      <c r="A3729" s="1">
        <v>1286</v>
      </c>
      <c r="B3729" s="1">
        <v>3</v>
      </c>
      <c r="C3729" s="1">
        <v>87</v>
      </c>
      <c r="D3729" s="1">
        <v>1</v>
      </c>
      <c r="E3729" s="1">
        <v>189.99</v>
      </c>
      <c r="F3729" s="1">
        <v>0.07</v>
      </c>
      <c r="G3729">
        <f t="shared" si="58"/>
        <v>189.92</v>
      </c>
      <c r="H3729" t="str">
        <f>VLOOKUP(C3729,[1]products!$A:$B,2,FALSE)</f>
        <v>Trek Precaliber 12 Boys - 2017</v>
      </c>
      <c r="I3729">
        <f>VLOOKUP(C3729,[1]products!$A:$D,4,FALSE)</f>
        <v>1</v>
      </c>
      <c r="J3729" t="str">
        <f>VLOOKUP(I3729,[2]categories!$A$1:$B$8,2,FALSE)</f>
        <v>Children Bicycles</v>
      </c>
    </row>
    <row r="3730" customHeight="1" spans="1:10">
      <c r="A3730" s="1">
        <v>1287</v>
      </c>
      <c r="B3730" s="1">
        <v>1</v>
      </c>
      <c r="C3730" s="1">
        <v>27</v>
      </c>
      <c r="D3730" s="1">
        <v>2</v>
      </c>
      <c r="E3730" s="1">
        <v>999.99</v>
      </c>
      <c r="F3730" s="1">
        <v>0.2</v>
      </c>
      <c r="G3730">
        <f t="shared" si="58"/>
        <v>1999.78</v>
      </c>
      <c r="H3730" t="str">
        <f>VLOOKUP(C3730,[1]products!$A:$B,2,FALSE)</f>
        <v>Surly Big Dummy Frameset - 2017</v>
      </c>
      <c r="I3730">
        <f>VLOOKUP(C3730,[1]products!$A:$D,4,FALSE)</f>
        <v>6</v>
      </c>
      <c r="J3730" t="str">
        <f>VLOOKUP(I3730,[2]categories!$A$1:$B$8,2,FALSE)</f>
        <v>Mountain Bikes</v>
      </c>
    </row>
    <row r="3731" customHeight="1" spans="1:10">
      <c r="A3731" s="1">
        <v>1287</v>
      </c>
      <c r="B3731" s="1">
        <v>2</v>
      </c>
      <c r="C3731" s="1">
        <v>62</v>
      </c>
      <c r="D3731" s="1">
        <v>2</v>
      </c>
      <c r="E3731" s="1">
        <v>3499.99</v>
      </c>
      <c r="F3731" s="1">
        <v>0.1</v>
      </c>
      <c r="G3731">
        <f t="shared" si="58"/>
        <v>6999.88</v>
      </c>
      <c r="H3731" t="str">
        <f>VLOOKUP(C3731,[1]products!$A:$B,2,FALSE)</f>
        <v>Trek Boone 7 - 2017</v>
      </c>
      <c r="I3731">
        <f>VLOOKUP(C3731,[1]products!$A:$D,4,FALSE)</f>
        <v>4</v>
      </c>
      <c r="J3731" t="str">
        <f>VLOOKUP(I3731,[2]categories!$A$1:$B$8,2,FALSE)</f>
        <v>Cyclocross Bicycles</v>
      </c>
    </row>
    <row r="3732" customHeight="1" spans="1:10">
      <c r="A3732" s="1">
        <v>1287</v>
      </c>
      <c r="B3732" s="1">
        <v>3</v>
      </c>
      <c r="C3732" s="1">
        <v>103</v>
      </c>
      <c r="D3732" s="1">
        <v>1</v>
      </c>
      <c r="E3732" s="1">
        <v>551.99</v>
      </c>
      <c r="F3732" s="1">
        <v>0.1</v>
      </c>
      <c r="G3732">
        <f t="shared" si="58"/>
        <v>551.89</v>
      </c>
      <c r="H3732" t="str">
        <f>VLOOKUP(C3732,[1]products!$A:$B,2,FALSE)</f>
        <v>Sun Bicycles Streamway 3 - 2017</v>
      </c>
      <c r="I3732">
        <f>VLOOKUP(C3732,[1]products!$A:$D,4,FALSE)</f>
        <v>2</v>
      </c>
      <c r="J3732" t="str">
        <f>VLOOKUP(I3732,[2]categories!$A$1:$B$8,2,FALSE)</f>
        <v>Comfort Bicycles</v>
      </c>
    </row>
    <row r="3733" customHeight="1" spans="1:10">
      <c r="A3733" s="1">
        <v>1287</v>
      </c>
      <c r="B3733" s="1">
        <v>4</v>
      </c>
      <c r="C3733" s="1">
        <v>100</v>
      </c>
      <c r="D3733" s="1">
        <v>2</v>
      </c>
      <c r="E3733" s="1">
        <v>489.99</v>
      </c>
      <c r="F3733" s="1">
        <v>0.05</v>
      </c>
      <c r="G3733">
        <f t="shared" si="58"/>
        <v>979.93</v>
      </c>
      <c r="H3733" t="str">
        <f>VLOOKUP(C3733,[1]products!$A:$B,2,FALSE)</f>
        <v>Electra Townie 3i EQ (20-inch) - Boys' - 2017</v>
      </c>
      <c r="I3733">
        <f>VLOOKUP(C3733,[1]products!$A:$D,4,FALSE)</f>
        <v>1</v>
      </c>
      <c r="J3733" t="str">
        <f>VLOOKUP(I3733,[2]categories!$A$1:$B$8,2,FALSE)</f>
        <v>Children Bicycles</v>
      </c>
    </row>
    <row r="3734" customHeight="1" spans="1:10">
      <c r="A3734" s="1">
        <v>1288</v>
      </c>
      <c r="B3734" s="1">
        <v>1</v>
      </c>
      <c r="C3734" s="1">
        <v>73</v>
      </c>
      <c r="D3734" s="1">
        <v>1</v>
      </c>
      <c r="E3734" s="1">
        <v>749.99</v>
      </c>
      <c r="F3734" s="1">
        <v>0.2</v>
      </c>
      <c r="G3734">
        <f t="shared" si="58"/>
        <v>749.79</v>
      </c>
      <c r="H3734" t="str">
        <f>VLOOKUP(C3734,[1]products!$A:$B,2,FALSE)</f>
        <v>Sun Bicycles Brickell Tandem 7 - 2017</v>
      </c>
      <c r="I3734">
        <f>VLOOKUP(C3734,[1]products!$A:$D,4,FALSE)</f>
        <v>3</v>
      </c>
      <c r="J3734" t="str">
        <f>VLOOKUP(I3734,[2]categories!$A$1:$B$8,2,FALSE)</f>
        <v>Cruisers Bicycles</v>
      </c>
    </row>
    <row r="3735" customHeight="1" spans="1:10">
      <c r="A3735" s="1">
        <v>1288</v>
      </c>
      <c r="B3735" s="1">
        <v>2</v>
      </c>
      <c r="C3735" s="1">
        <v>64</v>
      </c>
      <c r="D3735" s="1">
        <v>2</v>
      </c>
      <c r="E3735" s="1">
        <v>489.99</v>
      </c>
      <c r="F3735" s="1">
        <v>0.2</v>
      </c>
      <c r="G3735">
        <f t="shared" si="58"/>
        <v>979.78</v>
      </c>
      <c r="H3735" t="str">
        <f>VLOOKUP(C3735,[1]products!$A:$B,2,FALSE)</f>
        <v>Electra Townie Original 7D - 2017</v>
      </c>
      <c r="I3735">
        <f>VLOOKUP(C3735,[1]products!$A:$D,4,FALSE)</f>
        <v>3</v>
      </c>
      <c r="J3735" t="str">
        <f>VLOOKUP(I3735,[2]categories!$A$1:$B$8,2,FALSE)</f>
        <v>Cruisers Bicycles</v>
      </c>
    </row>
    <row r="3736" customHeight="1" spans="1:10">
      <c r="A3736" s="1">
        <v>1288</v>
      </c>
      <c r="B3736" s="1">
        <v>3</v>
      </c>
      <c r="C3736" s="1">
        <v>62</v>
      </c>
      <c r="D3736" s="1">
        <v>2</v>
      </c>
      <c r="E3736" s="1">
        <v>3499.99</v>
      </c>
      <c r="F3736" s="1">
        <v>0.1</v>
      </c>
      <c r="G3736">
        <f t="shared" si="58"/>
        <v>6999.88</v>
      </c>
      <c r="H3736" t="str">
        <f>VLOOKUP(C3736,[1]products!$A:$B,2,FALSE)</f>
        <v>Trek Boone 7 - 2017</v>
      </c>
      <c r="I3736">
        <f>VLOOKUP(C3736,[1]products!$A:$D,4,FALSE)</f>
        <v>4</v>
      </c>
      <c r="J3736" t="str">
        <f>VLOOKUP(I3736,[2]categories!$A$1:$B$8,2,FALSE)</f>
        <v>Cyclocross Bicycles</v>
      </c>
    </row>
    <row r="3737" customHeight="1" spans="1:10">
      <c r="A3737" s="1">
        <v>1288</v>
      </c>
      <c r="B3737" s="1">
        <v>4</v>
      </c>
      <c r="C3737" s="1">
        <v>17</v>
      </c>
      <c r="D3737" s="1">
        <v>2</v>
      </c>
      <c r="E3737" s="1">
        <v>429</v>
      </c>
      <c r="F3737" s="1">
        <v>0.07</v>
      </c>
      <c r="G3737">
        <f t="shared" si="58"/>
        <v>857.93</v>
      </c>
      <c r="H3737" t="str">
        <f>VLOOKUP(C3737,[1]products!$A:$B,2,FALSE)</f>
        <v>Pure Cycles Vine 8-Speed - 2016</v>
      </c>
      <c r="I3737">
        <f>VLOOKUP(C3737,[1]products!$A:$D,4,FALSE)</f>
        <v>3</v>
      </c>
      <c r="J3737" t="str">
        <f>VLOOKUP(I3737,[2]categories!$A$1:$B$8,2,FALSE)</f>
        <v>Cruisers Bicycles</v>
      </c>
    </row>
    <row r="3738" customHeight="1" spans="1:10">
      <c r="A3738" s="1">
        <v>1289</v>
      </c>
      <c r="B3738" s="1">
        <v>1</v>
      </c>
      <c r="C3738" s="1">
        <v>89</v>
      </c>
      <c r="D3738" s="1">
        <v>1</v>
      </c>
      <c r="E3738" s="1">
        <v>209.99</v>
      </c>
      <c r="F3738" s="1">
        <v>0.05</v>
      </c>
      <c r="G3738">
        <f t="shared" si="58"/>
        <v>209.94</v>
      </c>
      <c r="H3738" t="str">
        <f>VLOOKUP(C3738,[1]products!$A:$B,2,FALSE)</f>
        <v>Trek Precaliber 16 Boys - 2017</v>
      </c>
      <c r="I3738">
        <f>VLOOKUP(C3738,[1]products!$A:$D,4,FALSE)</f>
        <v>1</v>
      </c>
      <c r="J3738" t="str">
        <f>VLOOKUP(I3738,[2]categories!$A$1:$B$8,2,FALSE)</f>
        <v>Children Bicycles</v>
      </c>
    </row>
    <row r="3739" customHeight="1" spans="1:10">
      <c r="A3739" s="1">
        <v>1289</v>
      </c>
      <c r="B3739" s="1">
        <v>2</v>
      </c>
      <c r="C3739" s="1">
        <v>3</v>
      </c>
      <c r="D3739" s="1">
        <v>1</v>
      </c>
      <c r="E3739" s="1">
        <v>999.99</v>
      </c>
      <c r="F3739" s="1">
        <v>0.1</v>
      </c>
      <c r="G3739">
        <f t="shared" si="58"/>
        <v>999.89</v>
      </c>
      <c r="H3739" t="str">
        <f>VLOOKUP(C3739,[1]products!$A:$B,2,FALSE)</f>
        <v>Surly Wednesday Frameset - 2016</v>
      </c>
      <c r="I3739">
        <f>VLOOKUP(C3739,[1]products!$A:$D,4,FALSE)</f>
        <v>6</v>
      </c>
      <c r="J3739" t="str">
        <f>VLOOKUP(I3739,[2]categories!$A$1:$B$8,2,FALSE)</f>
        <v>Mountain Bikes</v>
      </c>
    </row>
    <row r="3740" customHeight="1" spans="1:10">
      <c r="A3740" s="1">
        <v>1290</v>
      </c>
      <c r="B3740" s="1">
        <v>1</v>
      </c>
      <c r="C3740" s="1">
        <v>75</v>
      </c>
      <c r="D3740" s="1">
        <v>2</v>
      </c>
      <c r="E3740" s="1">
        <v>599.99</v>
      </c>
      <c r="F3740" s="1">
        <v>0.05</v>
      </c>
      <c r="G3740">
        <f t="shared" si="58"/>
        <v>1199.93</v>
      </c>
      <c r="H3740" t="str">
        <f>VLOOKUP(C3740,[1]products!$A:$B,2,FALSE)</f>
        <v>Electra Cruiser Lux Fat Tire 1 Ladies - 2017</v>
      </c>
      <c r="I3740">
        <f>VLOOKUP(C3740,[1]products!$A:$D,4,FALSE)</f>
        <v>3</v>
      </c>
      <c r="J3740" t="str">
        <f>VLOOKUP(I3740,[2]categories!$A$1:$B$8,2,FALSE)</f>
        <v>Cruisers Bicycles</v>
      </c>
    </row>
    <row r="3741" customHeight="1" spans="1:10">
      <c r="A3741" s="1">
        <v>1290</v>
      </c>
      <c r="B3741" s="1">
        <v>2</v>
      </c>
      <c r="C3741" s="1">
        <v>36</v>
      </c>
      <c r="D3741" s="1">
        <v>1</v>
      </c>
      <c r="E3741" s="1">
        <v>832.99</v>
      </c>
      <c r="F3741" s="1">
        <v>0.05</v>
      </c>
      <c r="G3741">
        <f t="shared" si="58"/>
        <v>832.94</v>
      </c>
      <c r="H3741" t="str">
        <f>VLOOKUP(C3741,[1]products!$A:$B,2,FALSE)</f>
        <v>Surly Troll Frameset - 2017</v>
      </c>
      <c r="I3741">
        <f>VLOOKUP(C3741,[1]products!$A:$D,4,FALSE)</f>
        <v>6</v>
      </c>
      <c r="J3741" t="str">
        <f>VLOOKUP(I3741,[2]categories!$A$1:$B$8,2,FALSE)</f>
        <v>Mountain Bikes</v>
      </c>
    </row>
    <row r="3742" customHeight="1" spans="1:10">
      <c r="A3742" s="1">
        <v>1290</v>
      </c>
      <c r="B3742" s="1">
        <v>3</v>
      </c>
      <c r="C3742" s="1">
        <v>92</v>
      </c>
      <c r="D3742" s="1">
        <v>2</v>
      </c>
      <c r="E3742" s="1">
        <v>209.99</v>
      </c>
      <c r="F3742" s="1">
        <v>0.1</v>
      </c>
      <c r="G3742">
        <f t="shared" si="58"/>
        <v>419.88</v>
      </c>
      <c r="H3742" t="str">
        <f>VLOOKUP(C3742,[1]products!$A:$B,2,FALSE)</f>
        <v>Haro Shredder 20 - 2017</v>
      </c>
      <c r="I3742">
        <f>VLOOKUP(C3742,[1]products!$A:$D,4,FALSE)</f>
        <v>1</v>
      </c>
      <c r="J3742" t="str">
        <f>VLOOKUP(I3742,[2]categories!$A$1:$B$8,2,FALSE)</f>
        <v>Children Bicycles</v>
      </c>
    </row>
    <row r="3743" customHeight="1" spans="1:10">
      <c r="A3743" s="1">
        <v>1291</v>
      </c>
      <c r="B3743" s="1">
        <v>1</v>
      </c>
      <c r="C3743" s="1">
        <v>57</v>
      </c>
      <c r="D3743" s="1">
        <v>1</v>
      </c>
      <c r="E3743" s="1">
        <v>1999.99</v>
      </c>
      <c r="F3743" s="1">
        <v>0.1</v>
      </c>
      <c r="G3743">
        <f t="shared" si="58"/>
        <v>1999.89</v>
      </c>
      <c r="H3743" t="str">
        <f>VLOOKUP(C3743,[1]products!$A:$B,2,FALSE)</f>
        <v>Trek Emonda S 5 - 2017</v>
      </c>
      <c r="I3743">
        <f>VLOOKUP(C3743,[1]products!$A:$D,4,FALSE)</f>
        <v>7</v>
      </c>
      <c r="J3743" t="str">
        <f>VLOOKUP(I3743,[2]categories!$A$1:$B$8,2,FALSE)</f>
        <v>Road Bikes</v>
      </c>
    </row>
    <row r="3744" customHeight="1" spans="1:10">
      <c r="A3744" s="1">
        <v>1291</v>
      </c>
      <c r="B3744" s="1">
        <v>2</v>
      </c>
      <c r="C3744" s="1">
        <v>58</v>
      </c>
      <c r="D3744" s="1">
        <v>2</v>
      </c>
      <c r="E3744" s="1">
        <v>4999.99</v>
      </c>
      <c r="F3744" s="1">
        <v>0.05</v>
      </c>
      <c r="G3744">
        <f t="shared" si="58"/>
        <v>9999.93</v>
      </c>
      <c r="H3744" t="str">
        <f>VLOOKUP(C3744,[1]products!$A:$B,2,FALSE)</f>
        <v>Trek Madone 9.2 - 2017</v>
      </c>
      <c r="I3744">
        <f>VLOOKUP(C3744,[1]products!$A:$D,4,FALSE)</f>
        <v>7</v>
      </c>
      <c r="J3744" t="str">
        <f>VLOOKUP(I3744,[2]categories!$A$1:$B$8,2,FALSE)</f>
        <v>Road Bikes</v>
      </c>
    </row>
    <row r="3745" customHeight="1" spans="1:10">
      <c r="A3745" s="1">
        <v>1292</v>
      </c>
      <c r="B3745" s="1">
        <v>1</v>
      </c>
      <c r="C3745" s="1">
        <v>70</v>
      </c>
      <c r="D3745" s="1">
        <v>1</v>
      </c>
      <c r="E3745" s="1">
        <v>659.99</v>
      </c>
      <c r="F3745" s="1">
        <v>0.07</v>
      </c>
      <c r="G3745">
        <f t="shared" si="58"/>
        <v>659.92</v>
      </c>
      <c r="H3745" t="str">
        <f>VLOOKUP(C3745,[1]products!$A:$B,2,FALSE)</f>
        <v>Electra Amsterdam Original 3i - 2015/2017</v>
      </c>
      <c r="I3745">
        <f>VLOOKUP(C3745,[1]products!$A:$D,4,FALSE)</f>
        <v>3</v>
      </c>
      <c r="J3745" t="str">
        <f>VLOOKUP(I3745,[2]categories!$A$1:$B$8,2,FALSE)</f>
        <v>Cruisers Bicycles</v>
      </c>
    </row>
    <row r="3746" customHeight="1" spans="1:10">
      <c r="A3746" s="1">
        <v>1293</v>
      </c>
      <c r="B3746" s="1">
        <v>1</v>
      </c>
      <c r="C3746" s="1">
        <v>88</v>
      </c>
      <c r="D3746" s="1">
        <v>2</v>
      </c>
      <c r="E3746" s="1">
        <v>189.99</v>
      </c>
      <c r="F3746" s="1">
        <v>0.1</v>
      </c>
      <c r="G3746">
        <f t="shared" si="58"/>
        <v>379.88</v>
      </c>
      <c r="H3746" t="str">
        <f>VLOOKUP(C3746,[1]products!$A:$B,2,FALSE)</f>
        <v>Trek Precaliber 12 Girls - 2017</v>
      </c>
      <c r="I3746">
        <f>VLOOKUP(C3746,[1]products!$A:$D,4,FALSE)</f>
        <v>1</v>
      </c>
      <c r="J3746" t="str">
        <f>VLOOKUP(I3746,[2]categories!$A$1:$B$8,2,FALSE)</f>
        <v>Children Bicycles</v>
      </c>
    </row>
    <row r="3747" customHeight="1" spans="1:10">
      <c r="A3747" s="1">
        <v>1293</v>
      </c>
      <c r="B3747" s="1">
        <v>2</v>
      </c>
      <c r="C3747" s="1">
        <v>74</v>
      </c>
      <c r="D3747" s="1">
        <v>2</v>
      </c>
      <c r="E3747" s="1">
        <v>439.99</v>
      </c>
      <c r="F3747" s="1">
        <v>0.05</v>
      </c>
      <c r="G3747">
        <f t="shared" si="58"/>
        <v>879.93</v>
      </c>
      <c r="H3747" t="str">
        <f>VLOOKUP(C3747,[1]products!$A:$B,2,FALSE)</f>
        <v>Electra Cruiser Lux 1 - 2017</v>
      </c>
      <c r="I3747">
        <f>VLOOKUP(C3747,[1]products!$A:$D,4,FALSE)</f>
        <v>3</v>
      </c>
      <c r="J3747" t="str">
        <f>VLOOKUP(I3747,[2]categories!$A$1:$B$8,2,FALSE)</f>
        <v>Cruisers Bicycles</v>
      </c>
    </row>
    <row r="3748" customHeight="1" spans="1:10">
      <c r="A3748" s="1">
        <v>1293</v>
      </c>
      <c r="B3748" s="1">
        <v>3</v>
      </c>
      <c r="C3748" s="1">
        <v>38</v>
      </c>
      <c r="D3748" s="1">
        <v>2</v>
      </c>
      <c r="E3748" s="1">
        <v>549.99</v>
      </c>
      <c r="F3748" s="1">
        <v>0.07</v>
      </c>
      <c r="G3748">
        <f t="shared" si="58"/>
        <v>1099.91</v>
      </c>
      <c r="H3748" t="str">
        <f>VLOOKUP(C3748,[1]products!$A:$B,2,FALSE)</f>
        <v>Haro Flightline Two 26 Plus - 2017</v>
      </c>
      <c r="I3748">
        <f>VLOOKUP(C3748,[1]products!$A:$D,4,FALSE)</f>
        <v>6</v>
      </c>
      <c r="J3748" t="str">
        <f>VLOOKUP(I3748,[2]categories!$A$1:$B$8,2,FALSE)</f>
        <v>Mountain Bikes</v>
      </c>
    </row>
    <row r="3749" customHeight="1" spans="1:10">
      <c r="A3749" s="1">
        <v>1294</v>
      </c>
      <c r="B3749" s="1">
        <v>1</v>
      </c>
      <c r="C3749" s="1">
        <v>95</v>
      </c>
      <c r="D3749" s="1">
        <v>2</v>
      </c>
      <c r="E3749" s="1">
        <v>299.99</v>
      </c>
      <c r="F3749" s="1">
        <v>0.05</v>
      </c>
      <c r="G3749">
        <f t="shared" si="58"/>
        <v>599.93</v>
      </c>
      <c r="H3749" t="str">
        <f>VLOOKUP(C3749,[1]products!$A:$B,2,FALSE)</f>
        <v>Electra Girl's Hawaii 1 16" - 2017</v>
      </c>
      <c r="I3749">
        <f>VLOOKUP(C3749,[1]products!$A:$D,4,FALSE)</f>
        <v>1</v>
      </c>
      <c r="J3749" t="str">
        <f>VLOOKUP(I3749,[2]categories!$A$1:$B$8,2,FALSE)</f>
        <v>Children Bicycles</v>
      </c>
    </row>
    <row r="3750" customHeight="1" spans="1:10">
      <c r="A3750" s="1">
        <v>1294</v>
      </c>
      <c r="B3750" s="1">
        <v>2</v>
      </c>
      <c r="C3750" s="1">
        <v>44</v>
      </c>
      <c r="D3750" s="1">
        <v>1</v>
      </c>
      <c r="E3750" s="1">
        <v>539.99</v>
      </c>
      <c r="F3750" s="1">
        <v>0.05</v>
      </c>
      <c r="G3750">
        <f t="shared" si="58"/>
        <v>539.94</v>
      </c>
      <c r="H3750" t="str">
        <f>VLOOKUP(C3750,[1]products!$A:$B,2,FALSE)</f>
        <v>Haro SR 1.1 - 2017</v>
      </c>
      <c r="I3750">
        <f>VLOOKUP(C3750,[1]products!$A:$D,4,FALSE)</f>
        <v>6</v>
      </c>
      <c r="J3750" t="str">
        <f>VLOOKUP(I3750,[2]categories!$A$1:$B$8,2,FALSE)</f>
        <v>Mountain Bikes</v>
      </c>
    </row>
    <row r="3751" customHeight="1" spans="1:10">
      <c r="A3751" s="1">
        <v>1295</v>
      </c>
      <c r="B3751" s="1">
        <v>1</v>
      </c>
      <c r="C3751" s="1">
        <v>5</v>
      </c>
      <c r="D3751" s="1">
        <v>2</v>
      </c>
      <c r="E3751" s="1">
        <v>1320.99</v>
      </c>
      <c r="F3751" s="1">
        <v>0.2</v>
      </c>
      <c r="G3751">
        <f t="shared" si="58"/>
        <v>2641.78</v>
      </c>
      <c r="H3751" t="str">
        <f>VLOOKUP(C3751,[1]products!$A:$B,2,FALSE)</f>
        <v>Heller Shagamaw Frame - 2016</v>
      </c>
      <c r="I3751">
        <f>VLOOKUP(C3751,[1]products!$A:$D,4,FALSE)</f>
        <v>6</v>
      </c>
      <c r="J3751" t="str">
        <f>VLOOKUP(I3751,[2]categories!$A$1:$B$8,2,FALSE)</f>
        <v>Mountain Bikes</v>
      </c>
    </row>
    <row r="3752" customHeight="1" spans="1:10">
      <c r="A3752" s="1">
        <v>1295</v>
      </c>
      <c r="B3752" s="1">
        <v>2</v>
      </c>
      <c r="C3752" s="1">
        <v>61</v>
      </c>
      <c r="D3752" s="1">
        <v>1</v>
      </c>
      <c r="E3752" s="1">
        <v>4999.99</v>
      </c>
      <c r="F3752" s="1">
        <v>0.2</v>
      </c>
      <c r="G3752">
        <f t="shared" si="58"/>
        <v>4999.79</v>
      </c>
      <c r="H3752" t="str">
        <f>VLOOKUP(C3752,[1]products!$A:$B,2,FALSE)</f>
        <v>Trek Powerfly 8 FS Plus - 2017</v>
      </c>
      <c r="I3752">
        <f>VLOOKUP(C3752,[1]products!$A:$D,4,FALSE)</f>
        <v>5</v>
      </c>
      <c r="J3752" t="str">
        <f>VLOOKUP(I3752,[2]categories!$A$1:$B$8,2,FALSE)</f>
        <v>Electric Bikes</v>
      </c>
    </row>
    <row r="3753" customHeight="1" spans="1:10">
      <c r="A3753" s="1">
        <v>1295</v>
      </c>
      <c r="B3753" s="1">
        <v>3</v>
      </c>
      <c r="C3753" s="1">
        <v>52</v>
      </c>
      <c r="D3753" s="1">
        <v>1</v>
      </c>
      <c r="E3753" s="1">
        <v>875.99</v>
      </c>
      <c r="F3753" s="1">
        <v>0.05</v>
      </c>
      <c r="G3753">
        <f t="shared" si="58"/>
        <v>875.94</v>
      </c>
      <c r="H3753" t="str">
        <f>VLOOKUP(C3753,[1]products!$A:$B,2,FALSE)</f>
        <v>Surly Steamroller - 2017</v>
      </c>
      <c r="I3753">
        <f>VLOOKUP(C3753,[1]products!$A:$D,4,FALSE)</f>
        <v>7</v>
      </c>
      <c r="J3753" t="str">
        <f>VLOOKUP(I3753,[2]categories!$A$1:$B$8,2,FALSE)</f>
        <v>Road Bikes</v>
      </c>
    </row>
    <row r="3754" customHeight="1" spans="1:10">
      <c r="A3754" s="1">
        <v>1296</v>
      </c>
      <c r="B3754" s="1">
        <v>1</v>
      </c>
      <c r="C3754" s="1">
        <v>25</v>
      </c>
      <c r="D3754" s="1">
        <v>2</v>
      </c>
      <c r="E3754" s="1">
        <v>499.99</v>
      </c>
      <c r="F3754" s="1">
        <v>0.05</v>
      </c>
      <c r="G3754">
        <f t="shared" si="58"/>
        <v>999.93</v>
      </c>
      <c r="H3754" t="str">
        <f>VLOOKUP(C3754,[1]products!$A:$B,2,FALSE)</f>
        <v>Electra Townie Original 7D - 2015/2016</v>
      </c>
      <c r="I3754">
        <f>VLOOKUP(C3754,[1]products!$A:$D,4,FALSE)</f>
        <v>2</v>
      </c>
      <c r="J3754" t="str">
        <f>VLOOKUP(I3754,[2]categories!$A$1:$B$8,2,FALSE)</f>
        <v>Comfort Bicycles</v>
      </c>
    </row>
    <row r="3755" customHeight="1" spans="1:10">
      <c r="A3755" s="1">
        <v>1296</v>
      </c>
      <c r="B3755" s="1">
        <v>2</v>
      </c>
      <c r="C3755" s="1">
        <v>90</v>
      </c>
      <c r="D3755" s="1">
        <v>1</v>
      </c>
      <c r="E3755" s="1">
        <v>209.99</v>
      </c>
      <c r="F3755" s="1">
        <v>0.1</v>
      </c>
      <c r="G3755">
        <f t="shared" si="58"/>
        <v>209.89</v>
      </c>
      <c r="H3755" t="str">
        <f>VLOOKUP(C3755,[1]products!$A:$B,2,FALSE)</f>
        <v>Trek Precaliber 16 Girls - 2017</v>
      </c>
      <c r="I3755">
        <f>VLOOKUP(C3755,[1]products!$A:$D,4,FALSE)</f>
        <v>1</v>
      </c>
      <c r="J3755" t="str">
        <f>VLOOKUP(I3755,[2]categories!$A$1:$B$8,2,FALSE)</f>
        <v>Children Bicycles</v>
      </c>
    </row>
    <row r="3756" customHeight="1" spans="1:10">
      <c r="A3756" s="1">
        <v>1296</v>
      </c>
      <c r="B3756" s="1">
        <v>3</v>
      </c>
      <c r="C3756" s="1">
        <v>16</v>
      </c>
      <c r="D3756" s="1">
        <v>1</v>
      </c>
      <c r="E3756" s="1">
        <v>599.99</v>
      </c>
      <c r="F3756" s="1">
        <v>0.05</v>
      </c>
      <c r="G3756">
        <f t="shared" si="58"/>
        <v>599.94</v>
      </c>
      <c r="H3756" t="str">
        <f>VLOOKUP(C3756,[1]products!$A:$B,2,FALSE)</f>
        <v>Electra Townie Original 7D EQ - 2016</v>
      </c>
      <c r="I3756">
        <f>VLOOKUP(C3756,[1]products!$A:$D,4,FALSE)</f>
        <v>3</v>
      </c>
      <c r="J3756" t="str">
        <f>VLOOKUP(I3756,[2]categories!$A$1:$B$8,2,FALSE)</f>
        <v>Cruisers Bicycles</v>
      </c>
    </row>
    <row r="3757" customHeight="1" spans="1:10">
      <c r="A3757" s="1">
        <v>1296</v>
      </c>
      <c r="B3757" s="1">
        <v>4</v>
      </c>
      <c r="C3757" s="1">
        <v>2</v>
      </c>
      <c r="D3757" s="1">
        <v>2</v>
      </c>
      <c r="E3757" s="1">
        <v>749.99</v>
      </c>
      <c r="F3757" s="1">
        <v>0.1</v>
      </c>
      <c r="G3757">
        <f t="shared" si="58"/>
        <v>1499.88</v>
      </c>
      <c r="H3757" t="str">
        <f>VLOOKUP(C3757,[1]products!$A:$B,2,FALSE)</f>
        <v>Ritchey Timberwolf Frameset - 2016</v>
      </c>
      <c r="I3757">
        <f>VLOOKUP(C3757,[1]products!$A:$D,4,FALSE)</f>
        <v>6</v>
      </c>
      <c r="J3757" t="str">
        <f>VLOOKUP(I3757,[2]categories!$A$1:$B$8,2,FALSE)</f>
        <v>Mountain Bikes</v>
      </c>
    </row>
    <row r="3758" customHeight="1" spans="1:10">
      <c r="A3758" s="1">
        <v>1297</v>
      </c>
      <c r="B3758" s="1">
        <v>1</v>
      </c>
      <c r="C3758" s="1">
        <v>104</v>
      </c>
      <c r="D3758" s="1">
        <v>2</v>
      </c>
      <c r="E3758" s="1">
        <v>481.99</v>
      </c>
      <c r="F3758" s="1">
        <v>0.07</v>
      </c>
      <c r="G3758">
        <f t="shared" si="58"/>
        <v>963.91</v>
      </c>
      <c r="H3758" t="str">
        <f>VLOOKUP(C3758,[1]products!$A:$B,2,FALSE)</f>
        <v>Sun Bicycles Streamway - 2017</v>
      </c>
      <c r="I3758">
        <f>VLOOKUP(C3758,[1]products!$A:$D,4,FALSE)</f>
        <v>2</v>
      </c>
      <c r="J3758" t="str">
        <f>VLOOKUP(I3758,[2]categories!$A$1:$B$8,2,FALSE)</f>
        <v>Comfort Bicycles</v>
      </c>
    </row>
    <row r="3759" customHeight="1" spans="1:10">
      <c r="A3759" s="1">
        <v>1297</v>
      </c>
      <c r="B3759" s="1">
        <v>2</v>
      </c>
      <c r="C3759" s="1">
        <v>43</v>
      </c>
      <c r="D3759" s="1">
        <v>1</v>
      </c>
      <c r="E3759" s="1">
        <v>5299.99</v>
      </c>
      <c r="F3759" s="1">
        <v>0.05</v>
      </c>
      <c r="G3759">
        <f t="shared" si="58"/>
        <v>5299.94</v>
      </c>
      <c r="H3759" t="str">
        <f>VLOOKUP(C3759,[1]products!$A:$B,2,FALSE)</f>
        <v>Trek Fuel EX 9.8 27.5 Plus - 2017</v>
      </c>
      <c r="I3759">
        <f>VLOOKUP(C3759,[1]products!$A:$D,4,FALSE)</f>
        <v>6</v>
      </c>
      <c r="J3759" t="str">
        <f>VLOOKUP(I3759,[2]categories!$A$1:$B$8,2,FALSE)</f>
        <v>Mountain Bikes</v>
      </c>
    </row>
    <row r="3760" customHeight="1" spans="1:10">
      <c r="A3760" s="1">
        <v>1297</v>
      </c>
      <c r="B3760" s="1">
        <v>3</v>
      </c>
      <c r="C3760" s="1">
        <v>51</v>
      </c>
      <c r="D3760" s="1">
        <v>2</v>
      </c>
      <c r="E3760" s="1">
        <v>6499.99</v>
      </c>
      <c r="F3760" s="1">
        <v>0.05</v>
      </c>
      <c r="G3760">
        <f t="shared" si="58"/>
        <v>12999.93</v>
      </c>
      <c r="H3760" t="str">
        <f>VLOOKUP(C3760,[1]products!$A:$B,2,FALSE)</f>
        <v>Trek Silque SLR 8 Women's - 2017</v>
      </c>
      <c r="I3760">
        <f>VLOOKUP(C3760,[1]products!$A:$D,4,FALSE)</f>
        <v>7</v>
      </c>
      <c r="J3760" t="str">
        <f>VLOOKUP(I3760,[2]categories!$A$1:$B$8,2,FALSE)</f>
        <v>Road Bikes</v>
      </c>
    </row>
    <row r="3761" customHeight="1" spans="1:10">
      <c r="A3761" s="1">
        <v>1298</v>
      </c>
      <c r="B3761" s="1">
        <v>1</v>
      </c>
      <c r="C3761" s="1">
        <v>59</v>
      </c>
      <c r="D3761" s="1">
        <v>1</v>
      </c>
      <c r="E3761" s="1">
        <v>2599.99</v>
      </c>
      <c r="F3761" s="1">
        <v>0.05</v>
      </c>
      <c r="G3761">
        <f t="shared" si="58"/>
        <v>2599.94</v>
      </c>
      <c r="H3761" t="str">
        <f>VLOOKUP(C3761,[1]products!$A:$B,2,FALSE)</f>
        <v>Trek Domane S 5 Disc - 2017</v>
      </c>
      <c r="I3761">
        <f>VLOOKUP(C3761,[1]products!$A:$D,4,FALSE)</f>
        <v>7</v>
      </c>
      <c r="J3761" t="str">
        <f>VLOOKUP(I3761,[2]categories!$A$1:$B$8,2,FALSE)</f>
        <v>Road Bikes</v>
      </c>
    </row>
    <row r="3762" customHeight="1" spans="1:10">
      <c r="A3762" s="1">
        <v>1298</v>
      </c>
      <c r="B3762" s="1">
        <v>2</v>
      </c>
      <c r="C3762" s="1">
        <v>110</v>
      </c>
      <c r="D3762" s="1">
        <v>2</v>
      </c>
      <c r="E3762" s="1">
        <v>470.99</v>
      </c>
      <c r="F3762" s="1">
        <v>0.07</v>
      </c>
      <c r="G3762">
        <f t="shared" si="58"/>
        <v>941.91</v>
      </c>
      <c r="H3762" t="str">
        <f>VLOOKUP(C3762,[1]products!$A:$B,2,FALSE)</f>
        <v>Sun Bicycles Drifter 7 - 2017</v>
      </c>
      <c r="I3762">
        <f>VLOOKUP(C3762,[1]products!$A:$D,4,FALSE)</f>
        <v>2</v>
      </c>
      <c r="J3762" t="str">
        <f>VLOOKUP(I3762,[2]categories!$A$1:$B$8,2,FALSE)</f>
        <v>Comfort Bicycles</v>
      </c>
    </row>
    <row r="3763" customHeight="1" spans="1:10">
      <c r="A3763" s="1">
        <v>1299</v>
      </c>
      <c r="B3763" s="1">
        <v>1</v>
      </c>
      <c r="C3763" s="1">
        <v>14</v>
      </c>
      <c r="D3763" s="1">
        <v>2</v>
      </c>
      <c r="E3763" s="1">
        <v>269.99</v>
      </c>
      <c r="F3763" s="1">
        <v>0.1</v>
      </c>
      <c r="G3763">
        <f t="shared" si="58"/>
        <v>539.88</v>
      </c>
      <c r="H3763" t="str">
        <f>VLOOKUP(C3763,[1]products!$A:$B,2,FALSE)</f>
        <v>Electra Girl's Hawaii 1 (16-inch) - 2015/2016</v>
      </c>
      <c r="I3763">
        <f>VLOOKUP(C3763,[1]products!$A:$D,4,FALSE)</f>
        <v>3</v>
      </c>
      <c r="J3763" t="str">
        <f>VLOOKUP(I3763,[2]categories!$A$1:$B$8,2,FALSE)</f>
        <v>Cruisers Bicycles</v>
      </c>
    </row>
    <row r="3764" customHeight="1" spans="1:10">
      <c r="A3764" s="1">
        <v>1299</v>
      </c>
      <c r="B3764" s="1">
        <v>2</v>
      </c>
      <c r="C3764" s="1">
        <v>101</v>
      </c>
      <c r="D3764" s="1">
        <v>1</v>
      </c>
      <c r="E3764" s="1">
        <v>339.99</v>
      </c>
      <c r="F3764" s="1">
        <v>0.05</v>
      </c>
      <c r="G3764">
        <f t="shared" si="58"/>
        <v>339.94</v>
      </c>
      <c r="H3764" t="str">
        <f>VLOOKUP(C3764,[1]products!$A:$B,2,FALSE)</f>
        <v>Electra Townie 7D (20-inch) - Boys' - 2017</v>
      </c>
      <c r="I3764">
        <f>VLOOKUP(C3764,[1]products!$A:$D,4,FALSE)</f>
        <v>1</v>
      </c>
      <c r="J3764" t="str">
        <f>VLOOKUP(I3764,[2]categories!$A$1:$B$8,2,FALSE)</f>
        <v>Children Bicycles</v>
      </c>
    </row>
    <row r="3765" customHeight="1" spans="1:10">
      <c r="A3765" s="1">
        <v>1299</v>
      </c>
      <c r="B3765" s="1">
        <v>3</v>
      </c>
      <c r="C3765" s="1">
        <v>75</v>
      </c>
      <c r="D3765" s="1">
        <v>1</v>
      </c>
      <c r="E3765" s="1">
        <v>599.99</v>
      </c>
      <c r="F3765" s="1">
        <v>0.05</v>
      </c>
      <c r="G3765">
        <f t="shared" si="58"/>
        <v>599.94</v>
      </c>
      <c r="H3765" t="str">
        <f>VLOOKUP(C3765,[1]products!$A:$B,2,FALSE)</f>
        <v>Electra Cruiser Lux Fat Tire 1 Ladies - 2017</v>
      </c>
      <c r="I3765">
        <f>VLOOKUP(C3765,[1]products!$A:$D,4,FALSE)</f>
        <v>3</v>
      </c>
      <c r="J3765" t="str">
        <f>VLOOKUP(I3765,[2]categories!$A$1:$B$8,2,FALSE)</f>
        <v>Cruisers Bicycles</v>
      </c>
    </row>
    <row r="3766" customHeight="1" spans="1:10">
      <c r="A3766" s="1">
        <v>1299</v>
      </c>
      <c r="B3766" s="1">
        <v>4</v>
      </c>
      <c r="C3766" s="1">
        <v>52</v>
      </c>
      <c r="D3766" s="1">
        <v>2</v>
      </c>
      <c r="E3766" s="1">
        <v>875.99</v>
      </c>
      <c r="F3766" s="1">
        <v>0.2</v>
      </c>
      <c r="G3766">
        <f t="shared" si="58"/>
        <v>1751.78</v>
      </c>
      <c r="H3766" t="str">
        <f>VLOOKUP(C3766,[1]products!$A:$B,2,FALSE)</f>
        <v>Surly Steamroller - 2017</v>
      </c>
      <c r="I3766">
        <f>VLOOKUP(C3766,[1]products!$A:$D,4,FALSE)</f>
        <v>7</v>
      </c>
      <c r="J3766" t="str">
        <f>VLOOKUP(I3766,[2]categories!$A$1:$B$8,2,FALSE)</f>
        <v>Road Bikes</v>
      </c>
    </row>
    <row r="3767" customHeight="1" spans="1:10">
      <c r="A3767" s="1">
        <v>1300</v>
      </c>
      <c r="B3767" s="1">
        <v>1</v>
      </c>
      <c r="C3767" s="1">
        <v>101</v>
      </c>
      <c r="D3767" s="1">
        <v>2</v>
      </c>
      <c r="E3767" s="1">
        <v>339.99</v>
      </c>
      <c r="F3767" s="1">
        <v>0.07</v>
      </c>
      <c r="G3767">
        <f t="shared" si="58"/>
        <v>679.91</v>
      </c>
      <c r="H3767" t="str">
        <f>VLOOKUP(C3767,[1]products!$A:$B,2,FALSE)</f>
        <v>Electra Townie 7D (20-inch) - Boys' - 2017</v>
      </c>
      <c r="I3767">
        <f>VLOOKUP(C3767,[1]products!$A:$D,4,FALSE)</f>
        <v>1</v>
      </c>
      <c r="J3767" t="str">
        <f>VLOOKUP(I3767,[2]categories!$A$1:$B$8,2,FALSE)</f>
        <v>Children Bicycles</v>
      </c>
    </row>
    <row r="3768" customHeight="1" spans="1:10">
      <c r="A3768" s="1">
        <v>1300</v>
      </c>
      <c r="B3768" s="1">
        <v>2</v>
      </c>
      <c r="C3768" s="1">
        <v>58</v>
      </c>
      <c r="D3768" s="1">
        <v>2</v>
      </c>
      <c r="E3768" s="1">
        <v>4999.99</v>
      </c>
      <c r="F3768" s="1">
        <v>0.05</v>
      </c>
      <c r="G3768">
        <f t="shared" si="58"/>
        <v>9999.93</v>
      </c>
      <c r="H3768" t="str">
        <f>VLOOKUP(C3768,[1]products!$A:$B,2,FALSE)</f>
        <v>Trek Madone 9.2 - 2017</v>
      </c>
      <c r="I3768">
        <f>VLOOKUP(C3768,[1]products!$A:$D,4,FALSE)</f>
        <v>7</v>
      </c>
      <c r="J3768" t="str">
        <f>VLOOKUP(I3768,[2]categories!$A$1:$B$8,2,FALSE)</f>
        <v>Road Bikes</v>
      </c>
    </row>
    <row r="3769" customHeight="1" spans="1:10">
      <c r="A3769" s="1">
        <v>1301</v>
      </c>
      <c r="B3769" s="1">
        <v>1</v>
      </c>
      <c r="C3769" s="1">
        <v>45</v>
      </c>
      <c r="D3769" s="1">
        <v>2</v>
      </c>
      <c r="E3769" s="1">
        <v>869.99</v>
      </c>
      <c r="F3769" s="1">
        <v>0.2</v>
      </c>
      <c r="G3769">
        <f t="shared" si="58"/>
        <v>1739.78</v>
      </c>
      <c r="H3769" t="str">
        <f>VLOOKUP(C3769,[1]products!$A:$B,2,FALSE)</f>
        <v>Haro SR 1.2 - 2017</v>
      </c>
      <c r="I3769">
        <f>VLOOKUP(C3769,[1]products!$A:$D,4,FALSE)</f>
        <v>6</v>
      </c>
      <c r="J3769" t="str">
        <f>VLOOKUP(I3769,[2]categories!$A$1:$B$8,2,FALSE)</f>
        <v>Mountain Bikes</v>
      </c>
    </row>
    <row r="3770" customHeight="1" spans="1:10">
      <c r="A3770" s="1">
        <v>1301</v>
      </c>
      <c r="B3770" s="1">
        <v>2</v>
      </c>
      <c r="C3770" s="1">
        <v>105</v>
      </c>
      <c r="D3770" s="1">
        <v>2</v>
      </c>
      <c r="E3770" s="1">
        <v>533.99</v>
      </c>
      <c r="F3770" s="1">
        <v>0.1</v>
      </c>
      <c r="G3770">
        <f t="shared" si="58"/>
        <v>1067.88</v>
      </c>
      <c r="H3770" t="str">
        <f>VLOOKUP(C3770,[1]products!$A:$B,2,FALSE)</f>
        <v>Sun Bicycles Streamway 7 - 2017</v>
      </c>
      <c r="I3770">
        <f>VLOOKUP(C3770,[1]products!$A:$D,4,FALSE)</f>
        <v>2</v>
      </c>
      <c r="J3770" t="str">
        <f>VLOOKUP(I3770,[2]categories!$A$1:$B$8,2,FALSE)</f>
        <v>Comfort Bicycles</v>
      </c>
    </row>
    <row r="3771" customHeight="1" spans="1:10">
      <c r="A3771" s="1">
        <v>1301</v>
      </c>
      <c r="B3771" s="1">
        <v>3</v>
      </c>
      <c r="C3771" s="1">
        <v>8</v>
      </c>
      <c r="D3771" s="1">
        <v>1</v>
      </c>
      <c r="E3771" s="1">
        <v>1799.99</v>
      </c>
      <c r="F3771" s="1">
        <v>0.2</v>
      </c>
      <c r="G3771">
        <f t="shared" si="58"/>
        <v>1799.79</v>
      </c>
      <c r="H3771" t="str">
        <f>VLOOKUP(C3771,[1]products!$A:$B,2,FALSE)</f>
        <v>Trek Remedy 29 Carbon Frameset - 2016</v>
      </c>
      <c r="I3771">
        <f>VLOOKUP(C3771,[1]products!$A:$D,4,FALSE)</f>
        <v>6</v>
      </c>
      <c r="J3771" t="str">
        <f>VLOOKUP(I3771,[2]categories!$A$1:$B$8,2,FALSE)</f>
        <v>Mountain Bikes</v>
      </c>
    </row>
    <row r="3772" customHeight="1" spans="1:10">
      <c r="A3772" s="1">
        <v>1302</v>
      </c>
      <c r="B3772" s="1">
        <v>1</v>
      </c>
      <c r="C3772" s="1">
        <v>38</v>
      </c>
      <c r="D3772" s="1">
        <v>1</v>
      </c>
      <c r="E3772" s="1">
        <v>549.99</v>
      </c>
      <c r="F3772" s="1">
        <v>0.05</v>
      </c>
      <c r="G3772">
        <f t="shared" si="58"/>
        <v>549.94</v>
      </c>
      <c r="H3772" t="str">
        <f>VLOOKUP(C3772,[1]products!$A:$B,2,FALSE)</f>
        <v>Haro Flightline Two 26 Plus - 2017</v>
      </c>
      <c r="I3772">
        <f>VLOOKUP(C3772,[1]products!$A:$D,4,FALSE)</f>
        <v>6</v>
      </c>
      <c r="J3772" t="str">
        <f>VLOOKUP(I3772,[2]categories!$A$1:$B$8,2,FALSE)</f>
        <v>Mountain Bikes</v>
      </c>
    </row>
    <row r="3773" customHeight="1" spans="1:10">
      <c r="A3773" s="1">
        <v>1302</v>
      </c>
      <c r="B3773" s="1">
        <v>2</v>
      </c>
      <c r="C3773" s="1">
        <v>20</v>
      </c>
      <c r="D3773" s="1">
        <v>2</v>
      </c>
      <c r="E3773" s="1">
        <v>599.99</v>
      </c>
      <c r="F3773" s="1">
        <v>0.1</v>
      </c>
      <c r="G3773">
        <f t="shared" si="58"/>
        <v>1199.88</v>
      </c>
      <c r="H3773" t="str">
        <f>VLOOKUP(C3773,[1]products!$A:$B,2,FALSE)</f>
        <v>Electra Townie Original 7D EQ - Women's - 2016</v>
      </c>
      <c r="I3773">
        <f>VLOOKUP(C3773,[1]products!$A:$D,4,FALSE)</f>
        <v>3</v>
      </c>
      <c r="J3773" t="str">
        <f>VLOOKUP(I3773,[2]categories!$A$1:$B$8,2,FALSE)</f>
        <v>Cruisers Bicycles</v>
      </c>
    </row>
    <row r="3774" customHeight="1" spans="1:10">
      <c r="A3774" s="1">
        <v>1302</v>
      </c>
      <c r="B3774" s="1">
        <v>3</v>
      </c>
      <c r="C3774" s="1">
        <v>56</v>
      </c>
      <c r="D3774" s="1">
        <v>2</v>
      </c>
      <c r="E3774" s="1">
        <v>5499.99</v>
      </c>
      <c r="F3774" s="1">
        <v>0.07</v>
      </c>
      <c r="G3774">
        <f t="shared" si="58"/>
        <v>10999.91</v>
      </c>
      <c r="H3774" t="str">
        <f>VLOOKUP(C3774,[1]products!$A:$B,2,FALSE)</f>
        <v>Trek Domane SLR 6 Disc - 2017</v>
      </c>
      <c r="I3774">
        <f>VLOOKUP(C3774,[1]products!$A:$D,4,FALSE)</f>
        <v>7</v>
      </c>
      <c r="J3774" t="str">
        <f>VLOOKUP(I3774,[2]categories!$A$1:$B$8,2,FALSE)</f>
        <v>Road Bikes</v>
      </c>
    </row>
    <row r="3775" customHeight="1" spans="1:10">
      <c r="A3775" s="1">
        <v>1303</v>
      </c>
      <c r="B3775" s="1">
        <v>1</v>
      </c>
      <c r="C3775" s="1">
        <v>96</v>
      </c>
      <c r="D3775" s="1">
        <v>1</v>
      </c>
      <c r="E3775" s="1">
        <v>349.99</v>
      </c>
      <c r="F3775" s="1">
        <v>0.1</v>
      </c>
      <c r="G3775">
        <f t="shared" si="58"/>
        <v>349.89</v>
      </c>
      <c r="H3775" t="str">
        <f>VLOOKUP(C3775,[1]products!$A:$B,2,FALSE)</f>
        <v>Electra Moto 3i (20-inch) - Boy's - 2017</v>
      </c>
      <c r="I3775">
        <f>VLOOKUP(C3775,[1]products!$A:$D,4,FALSE)</f>
        <v>1</v>
      </c>
      <c r="J3775" t="str">
        <f>VLOOKUP(I3775,[2]categories!$A$1:$B$8,2,FALSE)</f>
        <v>Children Bicycles</v>
      </c>
    </row>
    <row r="3776" customHeight="1" spans="1:10">
      <c r="A3776" s="1">
        <v>1303</v>
      </c>
      <c r="B3776" s="1">
        <v>2</v>
      </c>
      <c r="C3776" s="1">
        <v>63</v>
      </c>
      <c r="D3776" s="1">
        <v>2</v>
      </c>
      <c r="E3776" s="1">
        <v>3499.99</v>
      </c>
      <c r="F3776" s="1">
        <v>0.2</v>
      </c>
      <c r="G3776">
        <f t="shared" si="58"/>
        <v>6999.78</v>
      </c>
      <c r="H3776" t="str">
        <f>VLOOKUP(C3776,[1]products!$A:$B,2,FALSE)</f>
        <v>Trek Boone Race Shop Limited - 2017</v>
      </c>
      <c r="I3776">
        <f>VLOOKUP(C3776,[1]products!$A:$D,4,FALSE)</f>
        <v>4</v>
      </c>
      <c r="J3776" t="str">
        <f>VLOOKUP(I3776,[2]categories!$A$1:$B$8,2,FALSE)</f>
        <v>Cyclocross Bicycles</v>
      </c>
    </row>
    <row r="3777" customHeight="1" spans="1:10">
      <c r="A3777" s="1">
        <v>1303</v>
      </c>
      <c r="B3777" s="1">
        <v>3</v>
      </c>
      <c r="C3777" s="1">
        <v>108</v>
      </c>
      <c r="D3777" s="1">
        <v>1</v>
      </c>
      <c r="E3777" s="1">
        <v>449.99</v>
      </c>
      <c r="F3777" s="1">
        <v>0.1</v>
      </c>
      <c r="G3777">
        <f t="shared" si="58"/>
        <v>449.89</v>
      </c>
      <c r="H3777" t="str">
        <f>VLOOKUP(C3777,[1]products!$A:$B,2,FALSE)</f>
        <v>Sun Bicycles Cruz 3 - Women's - 2017</v>
      </c>
      <c r="I3777">
        <f>VLOOKUP(C3777,[1]products!$A:$D,4,FALSE)</f>
        <v>2</v>
      </c>
      <c r="J3777" t="str">
        <f>VLOOKUP(I3777,[2]categories!$A$1:$B$8,2,FALSE)</f>
        <v>Comfort Bicycles</v>
      </c>
    </row>
    <row r="3778" customHeight="1" spans="1:10">
      <c r="A3778" s="1">
        <v>1303</v>
      </c>
      <c r="B3778" s="1">
        <v>4</v>
      </c>
      <c r="C3778" s="1">
        <v>73</v>
      </c>
      <c r="D3778" s="1">
        <v>1</v>
      </c>
      <c r="E3778" s="1">
        <v>749.99</v>
      </c>
      <c r="F3778" s="1">
        <v>0.1</v>
      </c>
      <c r="G3778">
        <f t="shared" si="58"/>
        <v>749.89</v>
      </c>
      <c r="H3778" t="str">
        <f>VLOOKUP(C3778,[1]products!$A:$B,2,FALSE)</f>
        <v>Sun Bicycles Brickell Tandem 7 - 2017</v>
      </c>
      <c r="I3778">
        <f>VLOOKUP(C3778,[1]products!$A:$D,4,FALSE)</f>
        <v>3</v>
      </c>
      <c r="J3778" t="str">
        <f>VLOOKUP(I3778,[2]categories!$A$1:$B$8,2,FALSE)</f>
        <v>Cruisers Bicycles</v>
      </c>
    </row>
    <row r="3779" customHeight="1" spans="1:10">
      <c r="A3779" s="1">
        <v>1303</v>
      </c>
      <c r="B3779" s="1">
        <v>5</v>
      </c>
      <c r="C3779" s="1">
        <v>24</v>
      </c>
      <c r="D3779" s="1">
        <v>2</v>
      </c>
      <c r="E3779" s="1">
        <v>549.99</v>
      </c>
      <c r="F3779" s="1">
        <v>0.1</v>
      </c>
      <c r="G3779">
        <f t="shared" ref="G3779:G3842" si="59">(E3779*D3779)-F3779</f>
        <v>1099.88</v>
      </c>
      <c r="H3779" t="str">
        <f>VLOOKUP(C3779,[1]products!$A:$B,2,FALSE)</f>
        <v>Electra Townie Original 21D - 2016</v>
      </c>
      <c r="I3779">
        <f>VLOOKUP(C3779,[1]products!$A:$D,4,FALSE)</f>
        <v>2</v>
      </c>
      <c r="J3779" t="str">
        <f>VLOOKUP(I3779,[2]categories!$A$1:$B$8,2,FALSE)</f>
        <v>Comfort Bicycles</v>
      </c>
    </row>
    <row r="3780" customHeight="1" spans="1:10">
      <c r="A3780" s="1">
        <v>1304</v>
      </c>
      <c r="B3780" s="1">
        <v>1</v>
      </c>
      <c r="C3780" s="1">
        <v>80</v>
      </c>
      <c r="D3780" s="1">
        <v>1</v>
      </c>
      <c r="E3780" s="1">
        <v>761.99</v>
      </c>
      <c r="F3780" s="1">
        <v>0.05</v>
      </c>
      <c r="G3780">
        <f t="shared" si="59"/>
        <v>761.94</v>
      </c>
      <c r="H3780" t="str">
        <f>VLOOKUP(C3780,[1]products!$A:$B,2,FALSE)</f>
        <v>Sun Bicycles Brickell Tandem CB - 2017</v>
      </c>
      <c r="I3780">
        <f>VLOOKUP(C3780,[1]products!$A:$D,4,FALSE)</f>
        <v>3</v>
      </c>
      <c r="J3780" t="str">
        <f>VLOOKUP(I3780,[2]categories!$A$1:$B$8,2,FALSE)</f>
        <v>Cruisers Bicycles</v>
      </c>
    </row>
    <row r="3781" customHeight="1" spans="1:10">
      <c r="A3781" s="1">
        <v>1304</v>
      </c>
      <c r="B3781" s="1">
        <v>2</v>
      </c>
      <c r="C3781" s="1">
        <v>99</v>
      </c>
      <c r="D3781" s="1">
        <v>2</v>
      </c>
      <c r="E3781" s="1">
        <v>299.99</v>
      </c>
      <c r="F3781" s="1">
        <v>0.05</v>
      </c>
      <c r="G3781">
        <f t="shared" si="59"/>
        <v>599.93</v>
      </c>
      <c r="H3781" t="str">
        <f>VLOOKUP(C3781,[1]products!$A:$B,2,FALSE)</f>
        <v>Electra Sugar Skulls 1 (20-inch) - Girl's - 2017</v>
      </c>
      <c r="I3781">
        <f>VLOOKUP(C3781,[1]products!$A:$D,4,FALSE)</f>
        <v>1</v>
      </c>
      <c r="J3781" t="str">
        <f>VLOOKUP(I3781,[2]categories!$A$1:$B$8,2,FALSE)</f>
        <v>Children Bicycles</v>
      </c>
    </row>
    <row r="3782" customHeight="1" spans="1:10">
      <c r="A3782" s="1">
        <v>1304</v>
      </c>
      <c r="B3782" s="1">
        <v>3</v>
      </c>
      <c r="C3782" s="1">
        <v>102</v>
      </c>
      <c r="D3782" s="1">
        <v>1</v>
      </c>
      <c r="E3782" s="1">
        <v>489.99</v>
      </c>
      <c r="F3782" s="1">
        <v>0.2</v>
      </c>
      <c r="G3782">
        <f t="shared" si="59"/>
        <v>489.79</v>
      </c>
      <c r="H3782" t="str">
        <f>VLOOKUP(C3782,[1]products!$A:$B,2,FALSE)</f>
        <v>Electra Townie Original 7D - 2017</v>
      </c>
      <c r="I3782">
        <f>VLOOKUP(C3782,[1]products!$A:$D,4,FALSE)</f>
        <v>2</v>
      </c>
      <c r="J3782" t="str">
        <f>VLOOKUP(I3782,[2]categories!$A$1:$B$8,2,FALSE)</f>
        <v>Comfort Bicycles</v>
      </c>
    </row>
    <row r="3783" customHeight="1" spans="1:10">
      <c r="A3783" s="1">
        <v>1304</v>
      </c>
      <c r="B3783" s="1">
        <v>4</v>
      </c>
      <c r="C3783" s="1">
        <v>17</v>
      </c>
      <c r="D3783" s="1">
        <v>1</v>
      </c>
      <c r="E3783" s="1">
        <v>429</v>
      </c>
      <c r="F3783" s="1">
        <v>0.05</v>
      </c>
      <c r="G3783">
        <f t="shared" si="59"/>
        <v>428.95</v>
      </c>
      <c r="H3783" t="str">
        <f>VLOOKUP(C3783,[1]products!$A:$B,2,FALSE)</f>
        <v>Pure Cycles Vine 8-Speed - 2016</v>
      </c>
      <c r="I3783">
        <f>VLOOKUP(C3783,[1]products!$A:$D,4,FALSE)</f>
        <v>3</v>
      </c>
      <c r="J3783" t="str">
        <f>VLOOKUP(I3783,[2]categories!$A$1:$B$8,2,FALSE)</f>
        <v>Cruisers Bicycles</v>
      </c>
    </row>
    <row r="3784" customHeight="1" spans="1:10">
      <c r="A3784" s="1">
        <v>1305</v>
      </c>
      <c r="B3784" s="1">
        <v>1</v>
      </c>
      <c r="C3784" s="1">
        <v>85</v>
      </c>
      <c r="D3784" s="1">
        <v>1</v>
      </c>
      <c r="E3784" s="1">
        <v>329.99</v>
      </c>
      <c r="F3784" s="1">
        <v>0.2</v>
      </c>
      <c r="G3784">
        <f t="shared" si="59"/>
        <v>329.79</v>
      </c>
      <c r="H3784" t="str">
        <f>VLOOKUP(C3784,[1]products!$A:$B,2,FALSE)</f>
        <v>Haro Downtown 16 - 2017</v>
      </c>
      <c r="I3784">
        <f>VLOOKUP(C3784,[1]products!$A:$D,4,FALSE)</f>
        <v>1</v>
      </c>
      <c r="J3784" t="str">
        <f>VLOOKUP(I3784,[2]categories!$A$1:$B$8,2,FALSE)</f>
        <v>Children Bicycles</v>
      </c>
    </row>
    <row r="3785" customHeight="1" spans="1:10">
      <c r="A3785" s="1">
        <v>1305</v>
      </c>
      <c r="B3785" s="1">
        <v>2</v>
      </c>
      <c r="C3785" s="1">
        <v>9</v>
      </c>
      <c r="D3785" s="1">
        <v>1</v>
      </c>
      <c r="E3785" s="1">
        <v>2999.99</v>
      </c>
      <c r="F3785" s="1">
        <v>0.07</v>
      </c>
      <c r="G3785">
        <f t="shared" si="59"/>
        <v>2999.92</v>
      </c>
      <c r="H3785" t="str">
        <f>VLOOKUP(C3785,[1]products!$A:$B,2,FALSE)</f>
        <v>Trek Conduit+ - 2016</v>
      </c>
      <c r="I3785">
        <f>VLOOKUP(C3785,[1]products!$A:$D,4,FALSE)</f>
        <v>5</v>
      </c>
      <c r="J3785" t="str">
        <f>VLOOKUP(I3785,[2]categories!$A$1:$B$8,2,FALSE)</f>
        <v>Electric Bikes</v>
      </c>
    </row>
    <row r="3786" customHeight="1" spans="1:10">
      <c r="A3786" s="1">
        <v>1305</v>
      </c>
      <c r="B3786" s="1">
        <v>3</v>
      </c>
      <c r="C3786" s="1">
        <v>11</v>
      </c>
      <c r="D3786" s="1">
        <v>1</v>
      </c>
      <c r="E3786" s="1">
        <v>1680.99</v>
      </c>
      <c r="F3786" s="1">
        <v>0.05</v>
      </c>
      <c r="G3786">
        <f t="shared" si="59"/>
        <v>1680.94</v>
      </c>
      <c r="H3786" t="str">
        <f>VLOOKUP(C3786,[1]products!$A:$B,2,FALSE)</f>
        <v>Surly Straggler 650b - 2016</v>
      </c>
      <c r="I3786">
        <f>VLOOKUP(C3786,[1]products!$A:$D,4,FALSE)</f>
        <v>4</v>
      </c>
      <c r="J3786" t="str">
        <f>VLOOKUP(I3786,[2]categories!$A$1:$B$8,2,FALSE)</f>
        <v>Cyclocross Bicycles</v>
      </c>
    </row>
    <row r="3787" customHeight="1" spans="1:10">
      <c r="A3787" s="1">
        <v>1305</v>
      </c>
      <c r="B3787" s="1">
        <v>4</v>
      </c>
      <c r="C3787" s="1">
        <v>91</v>
      </c>
      <c r="D3787" s="1">
        <v>2</v>
      </c>
      <c r="E3787" s="1">
        <v>349.99</v>
      </c>
      <c r="F3787" s="1">
        <v>0.05</v>
      </c>
      <c r="G3787">
        <f t="shared" si="59"/>
        <v>699.93</v>
      </c>
      <c r="H3787" t="str">
        <f>VLOOKUP(C3787,[1]products!$A:$B,2,FALSE)</f>
        <v>Trek Precaliber 24 (21-Speed) - Girls - 2017</v>
      </c>
      <c r="I3787">
        <f>VLOOKUP(C3787,[1]products!$A:$D,4,FALSE)</f>
        <v>1</v>
      </c>
      <c r="J3787" t="str">
        <f>VLOOKUP(I3787,[2]categories!$A$1:$B$8,2,FALSE)</f>
        <v>Children Bicycles</v>
      </c>
    </row>
    <row r="3788" customHeight="1" spans="1:10">
      <c r="A3788" s="1">
        <v>1306</v>
      </c>
      <c r="B3788" s="1">
        <v>1</v>
      </c>
      <c r="C3788" s="1">
        <v>103</v>
      </c>
      <c r="D3788" s="1">
        <v>2</v>
      </c>
      <c r="E3788" s="1">
        <v>551.99</v>
      </c>
      <c r="F3788" s="1">
        <v>0.05</v>
      </c>
      <c r="G3788">
        <f t="shared" si="59"/>
        <v>1103.93</v>
      </c>
      <c r="H3788" t="str">
        <f>VLOOKUP(C3788,[1]products!$A:$B,2,FALSE)</f>
        <v>Sun Bicycles Streamway 3 - 2017</v>
      </c>
      <c r="I3788">
        <f>VLOOKUP(C3788,[1]products!$A:$D,4,FALSE)</f>
        <v>2</v>
      </c>
      <c r="J3788" t="str">
        <f>VLOOKUP(I3788,[2]categories!$A$1:$B$8,2,FALSE)</f>
        <v>Comfort Bicycles</v>
      </c>
    </row>
    <row r="3789" customHeight="1" spans="1:10">
      <c r="A3789" s="1">
        <v>1306</v>
      </c>
      <c r="B3789" s="1">
        <v>2</v>
      </c>
      <c r="C3789" s="1">
        <v>81</v>
      </c>
      <c r="D3789" s="1">
        <v>2</v>
      </c>
      <c r="E3789" s="1">
        <v>1099.99</v>
      </c>
      <c r="F3789" s="1">
        <v>0.07</v>
      </c>
      <c r="G3789">
        <f t="shared" si="59"/>
        <v>2199.91</v>
      </c>
      <c r="H3789" t="str">
        <f>VLOOKUP(C3789,[1]products!$A:$B,2,FALSE)</f>
        <v>Electra Amsterdam Fashion 7i Ladies' - 2017</v>
      </c>
      <c r="I3789">
        <f>VLOOKUP(C3789,[1]products!$A:$D,4,FALSE)</f>
        <v>3</v>
      </c>
      <c r="J3789" t="str">
        <f>VLOOKUP(I3789,[2]categories!$A$1:$B$8,2,FALSE)</f>
        <v>Cruisers Bicycles</v>
      </c>
    </row>
    <row r="3790" customHeight="1" spans="1:10">
      <c r="A3790" s="1">
        <v>1306</v>
      </c>
      <c r="B3790" s="1">
        <v>3</v>
      </c>
      <c r="C3790" s="1">
        <v>45</v>
      </c>
      <c r="D3790" s="1">
        <v>1</v>
      </c>
      <c r="E3790" s="1">
        <v>869.99</v>
      </c>
      <c r="F3790" s="1">
        <v>0.2</v>
      </c>
      <c r="G3790">
        <f t="shared" si="59"/>
        <v>869.79</v>
      </c>
      <c r="H3790" t="str">
        <f>VLOOKUP(C3790,[1]products!$A:$B,2,FALSE)</f>
        <v>Haro SR 1.2 - 2017</v>
      </c>
      <c r="I3790">
        <f>VLOOKUP(C3790,[1]products!$A:$D,4,FALSE)</f>
        <v>6</v>
      </c>
      <c r="J3790" t="str">
        <f>VLOOKUP(I3790,[2]categories!$A$1:$B$8,2,FALSE)</f>
        <v>Mountain Bikes</v>
      </c>
    </row>
    <row r="3791" customHeight="1" spans="1:10">
      <c r="A3791" s="1">
        <v>1306</v>
      </c>
      <c r="B3791" s="1">
        <v>4</v>
      </c>
      <c r="C3791" s="1">
        <v>42</v>
      </c>
      <c r="D3791" s="1">
        <v>1</v>
      </c>
      <c r="E3791" s="1">
        <v>2299.99</v>
      </c>
      <c r="F3791" s="1">
        <v>0.2</v>
      </c>
      <c r="G3791">
        <f t="shared" si="59"/>
        <v>2299.79</v>
      </c>
      <c r="H3791" t="str">
        <f>VLOOKUP(C3791,[1]products!$A:$B,2,FALSE)</f>
        <v>Trek Fuel EX 5 27.5 Plus - 2017</v>
      </c>
      <c r="I3791">
        <f>VLOOKUP(C3791,[1]products!$A:$D,4,FALSE)</f>
        <v>6</v>
      </c>
      <c r="J3791" t="str">
        <f>VLOOKUP(I3791,[2]categories!$A$1:$B$8,2,FALSE)</f>
        <v>Mountain Bikes</v>
      </c>
    </row>
    <row r="3792" customHeight="1" spans="1:10">
      <c r="A3792" s="1">
        <v>1306</v>
      </c>
      <c r="B3792" s="1">
        <v>5</v>
      </c>
      <c r="C3792" s="1">
        <v>9</v>
      </c>
      <c r="D3792" s="1">
        <v>2</v>
      </c>
      <c r="E3792" s="1">
        <v>2999.99</v>
      </c>
      <c r="F3792" s="1">
        <v>0.07</v>
      </c>
      <c r="G3792">
        <f t="shared" si="59"/>
        <v>5999.91</v>
      </c>
      <c r="H3792" t="str">
        <f>VLOOKUP(C3792,[1]products!$A:$B,2,FALSE)</f>
        <v>Trek Conduit+ - 2016</v>
      </c>
      <c r="I3792">
        <f>VLOOKUP(C3792,[1]products!$A:$D,4,FALSE)</f>
        <v>5</v>
      </c>
      <c r="J3792" t="str">
        <f>VLOOKUP(I3792,[2]categories!$A$1:$B$8,2,FALSE)</f>
        <v>Electric Bikes</v>
      </c>
    </row>
    <row r="3793" customHeight="1" spans="1:10">
      <c r="A3793" s="1">
        <v>1307</v>
      </c>
      <c r="B3793" s="1">
        <v>1</v>
      </c>
      <c r="C3793" s="1">
        <v>96</v>
      </c>
      <c r="D3793" s="1">
        <v>2</v>
      </c>
      <c r="E3793" s="1">
        <v>349.99</v>
      </c>
      <c r="F3793" s="1">
        <v>0.07</v>
      </c>
      <c r="G3793">
        <f t="shared" si="59"/>
        <v>699.91</v>
      </c>
      <c r="H3793" t="str">
        <f>VLOOKUP(C3793,[1]products!$A:$B,2,FALSE)</f>
        <v>Electra Moto 3i (20-inch) - Boy's - 2017</v>
      </c>
      <c r="I3793">
        <f>VLOOKUP(C3793,[1]products!$A:$D,4,FALSE)</f>
        <v>1</v>
      </c>
      <c r="J3793" t="str">
        <f>VLOOKUP(I3793,[2]categories!$A$1:$B$8,2,FALSE)</f>
        <v>Children Bicycles</v>
      </c>
    </row>
    <row r="3794" customHeight="1" spans="1:10">
      <c r="A3794" s="1">
        <v>1307</v>
      </c>
      <c r="B3794" s="1">
        <v>2</v>
      </c>
      <c r="C3794" s="1">
        <v>53</v>
      </c>
      <c r="D3794" s="1">
        <v>2</v>
      </c>
      <c r="E3794" s="1">
        <v>749.99</v>
      </c>
      <c r="F3794" s="1">
        <v>0.2</v>
      </c>
      <c r="G3794">
        <f t="shared" si="59"/>
        <v>1499.78</v>
      </c>
      <c r="H3794" t="str">
        <f>VLOOKUP(C3794,[1]products!$A:$B,2,FALSE)</f>
        <v>Surly Ogre Frameset - 2017</v>
      </c>
      <c r="I3794">
        <f>VLOOKUP(C3794,[1]products!$A:$D,4,FALSE)</f>
        <v>7</v>
      </c>
      <c r="J3794" t="str">
        <f>VLOOKUP(I3794,[2]categories!$A$1:$B$8,2,FALSE)</f>
        <v>Road Bikes</v>
      </c>
    </row>
    <row r="3795" customHeight="1" spans="1:10">
      <c r="A3795" s="1">
        <v>1307</v>
      </c>
      <c r="B3795" s="1">
        <v>3</v>
      </c>
      <c r="C3795" s="1">
        <v>69</v>
      </c>
      <c r="D3795" s="1">
        <v>2</v>
      </c>
      <c r="E3795" s="1">
        <v>416.99</v>
      </c>
      <c r="F3795" s="1">
        <v>0.2</v>
      </c>
      <c r="G3795">
        <f t="shared" si="59"/>
        <v>833.78</v>
      </c>
      <c r="H3795" t="str">
        <f>VLOOKUP(C3795,[1]products!$A:$B,2,FALSE)</f>
        <v>Sun Bicycles Cruz 7 - 2017</v>
      </c>
      <c r="I3795">
        <f>VLOOKUP(C3795,[1]products!$A:$D,4,FALSE)</f>
        <v>3</v>
      </c>
      <c r="J3795" t="str">
        <f>VLOOKUP(I3795,[2]categories!$A$1:$B$8,2,FALSE)</f>
        <v>Cruisers Bicycles</v>
      </c>
    </row>
    <row r="3796" customHeight="1" spans="1:10">
      <c r="A3796" s="1">
        <v>1308</v>
      </c>
      <c r="B3796" s="1">
        <v>1</v>
      </c>
      <c r="C3796" s="1">
        <v>54</v>
      </c>
      <c r="D3796" s="1">
        <v>1</v>
      </c>
      <c r="E3796" s="1">
        <v>3199.99</v>
      </c>
      <c r="F3796" s="1">
        <v>0.05</v>
      </c>
      <c r="G3796">
        <f t="shared" si="59"/>
        <v>3199.94</v>
      </c>
      <c r="H3796" t="str">
        <f>VLOOKUP(C3796,[1]products!$A:$B,2,FALSE)</f>
        <v>Trek Domane SL Disc Frameset - 2017</v>
      </c>
      <c r="I3796">
        <f>VLOOKUP(C3796,[1]products!$A:$D,4,FALSE)</f>
        <v>7</v>
      </c>
      <c r="J3796" t="str">
        <f>VLOOKUP(I3796,[2]categories!$A$1:$B$8,2,FALSE)</f>
        <v>Road Bikes</v>
      </c>
    </row>
    <row r="3797" customHeight="1" spans="1:10">
      <c r="A3797" s="1">
        <v>1308</v>
      </c>
      <c r="B3797" s="1">
        <v>2</v>
      </c>
      <c r="C3797" s="1">
        <v>69</v>
      </c>
      <c r="D3797" s="1">
        <v>1</v>
      </c>
      <c r="E3797" s="1">
        <v>416.99</v>
      </c>
      <c r="F3797" s="1">
        <v>0.2</v>
      </c>
      <c r="G3797">
        <f t="shared" si="59"/>
        <v>416.79</v>
      </c>
      <c r="H3797" t="str">
        <f>VLOOKUP(C3797,[1]products!$A:$B,2,FALSE)</f>
        <v>Sun Bicycles Cruz 7 - 2017</v>
      </c>
      <c r="I3797">
        <f>VLOOKUP(C3797,[1]products!$A:$D,4,FALSE)</f>
        <v>3</v>
      </c>
      <c r="J3797" t="str">
        <f>VLOOKUP(I3797,[2]categories!$A$1:$B$8,2,FALSE)</f>
        <v>Cruisers Bicycles</v>
      </c>
    </row>
    <row r="3798" customHeight="1" spans="1:10">
      <c r="A3798" s="1">
        <v>1308</v>
      </c>
      <c r="B3798" s="1">
        <v>3</v>
      </c>
      <c r="C3798" s="1">
        <v>14</v>
      </c>
      <c r="D3798" s="1">
        <v>2</v>
      </c>
      <c r="E3798" s="1">
        <v>269.99</v>
      </c>
      <c r="F3798" s="1">
        <v>0.07</v>
      </c>
      <c r="G3798">
        <f t="shared" si="59"/>
        <v>539.91</v>
      </c>
      <c r="H3798" t="str">
        <f>VLOOKUP(C3798,[1]products!$A:$B,2,FALSE)</f>
        <v>Electra Girl's Hawaii 1 (16-inch) - 2015/2016</v>
      </c>
      <c r="I3798">
        <f>VLOOKUP(C3798,[1]products!$A:$D,4,FALSE)</f>
        <v>3</v>
      </c>
      <c r="J3798" t="str">
        <f>VLOOKUP(I3798,[2]categories!$A$1:$B$8,2,FALSE)</f>
        <v>Cruisers Bicycles</v>
      </c>
    </row>
    <row r="3799" customHeight="1" spans="1:10">
      <c r="A3799" s="1">
        <v>1308</v>
      </c>
      <c r="B3799" s="1">
        <v>4</v>
      </c>
      <c r="C3799" s="1">
        <v>56</v>
      </c>
      <c r="D3799" s="1">
        <v>1</v>
      </c>
      <c r="E3799" s="1">
        <v>5499.99</v>
      </c>
      <c r="F3799" s="1">
        <v>0.2</v>
      </c>
      <c r="G3799">
        <f t="shared" si="59"/>
        <v>5499.79</v>
      </c>
      <c r="H3799" t="str">
        <f>VLOOKUP(C3799,[1]products!$A:$B,2,FALSE)</f>
        <v>Trek Domane SLR 6 Disc - 2017</v>
      </c>
      <c r="I3799">
        <f>VLOOKUP(C3799,[1]products!$A:$D,4,FALSE)</f>
        <v>7</v>
      </c>
      <c r="J3799" t="str">
        <f>VLOOKUP(I3799,[2]categories!$A$1:$B$8,2,FALSE)</f>
        <v>Road Bikes</v>
      </c>
    </row>
    <row r="3800" customHeight="1" spans="1:10">
      <c r="A3800" s="1">
        <v>1308</v>
      </c>
      <c r="B3800" s="1">
        <v>5</v>
      </c>
      <c r="C3800" s="1">
        <v>32</v>
      </c>
      <c r="D3800" s="1">
        <v>1</v>
      </c>
      <c r="E3800" s="1">
        <v>469.99</v>
      </c>
      <c r="F3800" s="1">
        <v>0.07</v>
      </c>
      <c r="G3800">
        <f t="shared" si="59"/>
        <v>469.92</v>
      </c>
      <c r="H3800" t="str">
        <f>VLOOKUP(C3800,[1]products!$A:$B,2,FALSE)</f>
        <v>Trek Farley Alloy Frameset - 2017</v>
      </c>
      <c r="I3800">
        <f>VLOOKUP(C3800,[1]products!$A:$D,4,FALSE)</f>
        <v>6</v>
      </c>
      <c r="J3800" t="str">
        <f>VLOOKUP(I3800,[2]categories!$A$1:$B$8,2,FALSE)</f>
        <v>Mountain Bikes</v>
      </c>
    </row>
    <row r="3801" customHeight="1" spans="1:10">
      <c r="A3801" s="1">
        <v>1309</v>
      </c>
      <c r="B3801" s="1">
        <v>1</v>
      </c>
      <c r="C3801" s="1">
        <v>65</v>
      </c>
      <c r="D3801" s="1">
        <v>1</v>
      </c>
      <c r="E3801" s="1">
        <v>346.99</v>
      </c>
      <c r="F3801" s="1">
        <v>0.05</v>
      </c>
      <c r="G3801">
        <f t="shared" si="59"/>
        <v>346.94</v>
      </c>
      <c r="H3801" t="str">
        <f>VLOOKUP(C3801,[1]products!$A:$B,2,FALSE)</f>
        <v>Sun Bicycles Lil Bolt Type-R - 2017</v>
      </c>
      <c r="I3801">
        <f>VLOOKUP(C3801,[1]products!$A:$D,4,FALSE)</f>
        <v>3</v>
      </c>
      <c r="J3801" t="str">
        <f>VLOOKUP(I3801,[2]categories!$A$1:$B$8,2,FALSE)</f>
        <v>Cruisers Bicycles</v>
      </c>
    </row>
    <row r="3802" customHeight="1" spans="1:10">
      <c r="A3802" s="1">
        <v>1309</v>
      </c>
      <c r="B3802" s="1">
        <v>2</v>
      </c>
      <c r="C3802" s="1">
        <v>87</v>
      </c>
      <c r="D3802" s="1">
        <v>2</v>
      </c>
      <c r="E3802" s="1">
        <v>189.99</v>
      </c>
      <c r="F3802" s="1">
        <v>0.2</v>
      </c>
      <c r="G3802">
        <f t="shared" si="59"/>
        <v>379.78</v>
      </c>
      <c r="H3802" t="str">
        <f>VLOOKUP(C3802,[1]products!$A:$B,2,FALSE)</f>
        <v>Trek Precaliber 12 Boys - 2017</v>
      </c>
      <c r="I3802">
        <f>VLOOKUP(C3802,[1]products!$A:$D,4,FALSE)</f>
        <v>1</v>
      </c>
      <c r="J3802" t="str">
        <f>VLOOKUP(I3802,[2]categories!$A$1:$B$8,2,FALSE)</f>
        <v>Children Bicycles</v>
      </c>
    </row>
    <row r="3803" customHeight="1" spans="1:10">
      <c r="A3803" s="1">
        <v>1310</v>
      </c>
      <c r="B3803" s="1">
        <v>1</v>
      </c>
      <c r="C3803" s="1">
        <v>59</v>
      </c>
      <c r="D3803" s="1">
        <v>1</v>
      </c>
      <c r="E3803" s="1">
        <v>2599.99</v>
      </c>
      <c r="F3803" s="1">
        <v>0.2</v>
      </c>
      <c r="G3803">
        <f t="shared" si="59"/>
        <v>2599.79</v>
      </c>
      <c r="H3803" t="str">
        <f>VLOOKUP(C3803,[1]products!$A:$B,2,FALSE)</f>
        <v>Trek Domane S 5 Disc - 2017</v>
      </c>
      <c r="I3803">
        <f>VLOOKUP(C3803,[1]products!$A:$D,4,FALSE)</f>
        <v>7</v>
      </c>
      <c r="J3803" t="str">
        <f>VLOOKUP(I3803,[2]categories!$A$1:$B$8,2,FALSE)</f>
        <v>Road Bikes</v>
      </c>
    </row>
    <row r="3804" customHeight="1" spans="1:10">
      <c r="A3804" s="1">
        <v>1310</v>
      </c>
      <c r="B3804" s="1">
        <v>2</v>
      </c>
      <c r="C3804" s="1">
        <v>77</v>
      </c>
      <c r="D3804" s="1">
        <v>2</v>
      </c>
      <c r="E3804" s="1">
        <v>799.99</v>
      </c>
      <c r="F3804" s="1">
        <v>0.2</v>
      </c>
      <c r="G3804">
        <f t="shared" si="59"/>
        <v>1599.78</v>
      </c>
      <c r="H3804" t="str">
        <f>VLOOKUP(C3804,[1]products!$A:$B,2,FALSE)</f>
        <v>Electra Glam Punk 3i Ladies' - 2017</v>
      </c>
      <c r="I3804">
        <f>VLOOKUP(C3804,[1]products!$A:$D,4,FALSE)</f>
        <v>3</v>
      </c>
      <c r="J3804" t="str">
        <f>VLOOKUP(I3804,[2]categories!$A$1:$B$8,2,FALSE)</f>
        <v>Cruisers Bicycles</v>
      </c>
    </row>
    <row r="3805" customHeight="1" spans="1:10">
      <c r="A3805" s="1">
        <v>1310</v>
      </c>
      <c r="B3805" s="1">
        <v>3</v>
      </c>
      <c r="C3805" s="1">
        <v>11</v>
      </c>
      <c r="D3805" s="1">
        <v>2</v>
      </c>
      <c r="E3805" s="1">
        <v>1680.99</v>
      </c>
      <c r="F3805" s="1">
        <v>0.1</v>
      </c>
      <c r="G3805">
        <f t="shared" si="59"/>
        <v>3361.88</v>
      </c>
      <c r="H3805" t="str">
        <f>VLOOKUP(C3805,[1]products!$A:$B,2,FALSE)</f>
        <v>Surly Straggler 650b - 2016</v>
      </c>
      <c r="I3805">
        <f>VLOOKUP(C3805,[1]products!$A:$D,4,FALSE)</f>
        <v>4</v>
      </c>
      <c r="J3805" t="str">
        <f>VLOOKUP(I3805,[2]categories!$A$1:$B$8,2,FALSE)</f>
        <v>Cyclocross Bicycles</v>
      </c>
    </row>
    <row r="3806" customHeight="1" spans="1:10">
      <c r="A3806" s="1">
        <v>1310</v>
      </c>
      <c r="B3806" s="1">
        <v>4</v>
      </c>
      <c r="C3806" s="1">
        <v>54</v>
      </c>
      <c r="D3806" s="1">
        <v>1</v>
      </c>
      <c r="E3806" s="1">
        <v>3199.99</v>
      </c>
      <c r="F3806" s="1">
        <v>0.2</v>
      </c>
      <c r="G3806">
        <f t="shared" si="59"/>
        <v>3199.79</v>
      </c>
      <c r="H3806" t="str">
        <f>VLOOKUP(C3806,[1]products!$A:$B,2,FALSE)</f>
        <v>Trek Domane SL Disc Frameset - 2017</v>
      </c>
      <c r="I3806">
        <f>VLOOKUP(C3806,[1]products!$A:$D,4,FALSE)</f>
        <v>7</v>
      </c>
      <c r="J3806" t="str">
        <f>VLOOKUP(I3806,[2]categories!$A$1:$B$8,2,FALSE)</f>
        <v>Road Bikes</v>
      </c>
    </row>
    <row r="3807" customHeight="1" spans="1:10">
      <c r="A3807" s="1">
        <v>1311</v>
      </c>
      <c r="B3807" s="1">
        <v>1</v>
      </c>
      <c r="C3807" s="1">
        <v>69</v>
      </c>
      <c r="D3807" s="1">
        <v>1</v>
      </c>
      <c r="E3807" s="1">
        <v>416.99</v>
      </c>
      <c r="F3807" s="1">
        <v>0.1</v>
      </c>
      <c r="G3807">
        <f t="shared" si="59"/>
        <v>416.89</v>
      </c>
      <c r="H3807" t="str">
        <f>VLOOKUP(C3807,[1]products!$A:$B,2,FALSE)</f>
        <v>Sun Bicycles Cruz 7 - 2017</v>
      </c>
      <c r="I3807">
        <f>VLOOKUP(C3807,[1]products!$A:$D,4,FALSE)</f>
        <v>3</v>
      </c>
      <c r="J3807" t="str">
        <f>VLOOKUP(I3807,[2]categories!$A$1:$B$8,2,FALSE)</f>
        <v>Cruisers Bicycles</v>
      </c>
    </row>
    <row r="3808" customHeight="1" spans="1:10">
      <c r="A3808" s="1">
        <v>1311</v>
      </c>
      <c r="B3808" s="1">
        <v>2</v>
      </c>
      <c r="C3808" s="1">
        <v>45</v>
      </c>
      <c r="D3808" s="1">
        <v>2</v>
      </c>
      <c r="E3808" s="1">
        <v>869.99</v>
      </c>
      <c r="F3808" s="1">
        <v>0.07</v>
      </c>
      <c r="G3808">
        <f t="shared" si="59"/>
        <v>1739.91</v>
      </c>
      <c r="H3808" t="str">
        <f>VLOOKUP(C3808,[1]products!$A:$B,2,FALSE)</f>
        <v>Haro SR 1.2 - 2017</v>
      </c>
      <c r="I3808">
        <f>VLOOKUP(C3808,[1]products!$A:$D,4,FALSE)</f>
        <v>6</v>
      </c>
      <c r="J3808" t="str">
        <f>VLOOKUP(I3808,[2]categories!$A$1:$B$8,2,FALSE)</f>
        <v>Mountain Bikes</v>
      </c>
    </row>
    <row r="3809" customHeight="1" spans="1:10">
      <c r="A3809" s="1">
        <v>1311</v>
      </c>
      <c r="B3809" s="1">
        <v>3</v>
      </c>
      <c r="C3809" s="1">
        <v>27</v>
      </c>
      <c r="D3809" s="1">
        <v>2</v>
      </c>
      <c r="E3809" s="1">
        <v>999.99</v>
      </c>
      <c r="F3809" s="1">
        <v>0.1</v>
      </c>
      <c r="G3809">
        <f t="shared" si="59"/>
        <v>1999.88</v>
      </c>
      <c r="H3809" t="str">
        <f>VLOOKUP(C3809,[1]products!$A:$B,2,FALSE)</f>
        <v>Surly Big Dummy Frameset - 2017</v>
      </c>
      <c r="I3809">
        <f>VLOOKUP(C3809,[1]products!$A:$D,4,FALSE)</f>
        <v>6</v>
      </c>
      <c r="J3809" t="str">
        <f>VLOOKUP(I3809,[2]categories!$A$1:$B$8,2,FALSE)</f>
        <v>Mountain Bikes</v>
      </c>
    </row>
    <row r="3810" customHeight="1" spans="1:10">
      <c r="A3810" s="1">
        <v>1311</v>
      </c>
      <c r="B3810" s="1">
        <v>4</v>
      </c>
      <c r="C3810" s="1">
        <v>42</v>
      </c>
      <c r="D3810" s="1">
        <v>1</v>
      </c>
      <c r="E3810" s="1">
        <v>2299.99</v>
      </c>
      <c r="F3810" s="1">
        <v>0.1</v>
      </c>
      <c r="G3810">
        <f t="shared" si="59"/>
        <v>2299.89</v>
      </c>
      <c r="H3810" t="str">
        <f>VLOOKUP(C3810,[1]products!$A:$B,2,FALSE)</f>
        <v>Trek Fuel EX 5 27.5 Plus - 2017</v>
      </c>
      <c r="I3810">
        <f>VLOOKUP(C3810,[1]products!$A:$D,4,FALSE)</f>
        <v>6</v>
      </c>
      <c r="J3810" t="str">
        <f>VLOOKUP(I3810,[2]categories!$A$1:$B$8,2,FALSE)</f>
        <v>Mountain Bikes</v>
      </c>
    </row>
    <row r="3811" customHeight="1" spans="1:10">
      <c r="A3811" s="1">
        <v>1312</v>
      </c>
      <c r="B3811" s="1">
        <v>1</v>
      </c>
      <c r="C3811" s="1">
        <v>67</v>
      </c>
      <c r="D3811" s="1">
        <v>2</v>
      </c>
      <c r="E3811" s="1">
        <v>250.99</v>
      </c>
      <c r="F3811" s="1">
        <v>0.05</v>
      </c>
      <c r="G3811">
        <f t="shared" si="59"/>
        <v>501.93</v>
      </c>
      <c r="H3811" t="str">
        <f>VLOOKUP(C3811,[1]products!$A:$B,2,FALSE)</f>
        <v>Sun Bicycles Revolutions 24 - Girl's - 2017</v>
      </c>
      <c r="I3811">
        <f>VLOOKUP(C3811,[1]products!$A:$D,4,FALSE)</f>
        <v>3</v>
      </c>
      <c r="J3811" t="str">
        <f>VLOOKUP(I3811,[2]categories!$A$1:$B$8,2,FALSE)</f>
        <v>Cruisers Bicycles</v>
      </c>
    </row>
    <row r="3812" customHeight="1" spans="1:10">
      <c r="A3812" s="1">
        <v>1312</v>
      </c>
      <c r="B3812" s="1">
        <v>2</v>
      </c>
      <c r="C3812" s="1">
        <v>14</v>
      </c>
      <c r="D3812" s="1">
        <v>1</v>
      </c>
      <c r="E3812" s="1">
        <v>269.99</v>
      </c>
      <c r="F3812" s="1">
        <v>0.2</v>
      </c>
      <c r="G3812">
        <f t="shared" si="59"/>
        <v>269.79</v>
      </c>
      <c r="H3812" t="str">
        <f>VLOOKUP(C3812,[1]products!$A:$B,2,FALSE)</f>
        <v>Electra Girl's Hawaii 1 (16-inch) - 2015/2016</v>
      </c>
      <c r="I3812">
        <f>VLOOKUP(C3812,[1]products!$A:$D,4,FALSE)</f>
        <v>3</v>
      </c>
      <c r="J3812" t="str">
        <f>VLOOKUP(I3812,[2]categories!$A$1:$B$8,2,FALSE)</f>
        <v>Cruisers Bicycles</v>
      </c>
    </row>
    <row r="3813" customHeight="1" spans="1:10">
      <c r="A3813" s="1">
        <v>1312</v>
      </c>
      <c r="B3813" s="1">
        <v>3</v>
      </c>
      <c r="C3813" s="1">
        <v>20</v>
      </c>
      <c r="D3813" s="1">
        <v>1</v>
      </c>
      <c r="E3813" s="1">
        <v>599.99</v>
      </c>
      <c r="F3813" s="1">
        <v>0.07</v>
      </c>
      <c r="G3813">
        <f t="shared" si="59"/>
        <v>599.92</v>
      </c>
      <c r="H3813" t="str">
        <f>VLOOKUP(C3813,[1]products!$A:$B,2,FALSE)</f>
        <v>Electra Townie Original 7D EQ - Women's - 2016</v>
      </c>
      <c r="I3813">
        <f>VLOOKUP(C3813,[1]products!$A:$D,4,FALSE)</f>
        <v>3</v>
      </c>
      <c r="J3813" t="str">
        <f>VLOOKUP(I3813,[2]categories!$A$1:$B$8,2,FALSE)</f>
        <v>Cruisers Bicycles</v>
      </c>
    </row>
    <row r="3814" customHeight="1" spans="1:10">
      <c r="A3814" s="1">
        <v>1313</v>
      </c>
      <c r="B3814" s="1">
        <v>1</v>
      </c>
      <c r="C3814" s="1">
        <v>75</v>
      </c>
      <c r="D3814" s="1">
        <v>1</v>
      </c>
      <c r="E3814" s="1">
        <v>599.99</v>
      </c>
      <c r="F3814" s="1">
        <v>0.2</v>
      </c>
      <c r="G3814">
        <f t="shared" si="59"/>
        <v>599.79</v>
      </c>
      <c r="H3814" t="str">
        <f>VLOOKUP(C3814,[1]products!$A:$B,2,FALSE)</f>
        <v>Electra Cruiser Lux Fat Tire 1 Ladies - 2017</v>
      </c>
      <c r="I3814">
        <f>VLOOKUP(C3814,[1]products!$A:$D,4,FALSE)</f>
        <v>3</v>
      </c>
      <c r="J3814" t="str">
        <f>VLOOKUP(I3814,[2]categories!$A$1:$B$8,2,FALSE)</f>
        <v>Cruisers Bicycles</v>
      </c>
    </row>
    <row r="3815" customHeight="1" spans="1:10">
      <c r="A3815" s="1">
        <v>1313</v>
      </c>
      <c r="B3815" s="1">
        <v>2</v>
      </c>
      <c r="C3815" s="1">
        <v>33</v>
      </c>
      <c r="D3815" s="1">
        <v>1</v>
      </c>
      <c r="E3815" s="1">
        <v>469.99</v>
      </c>
      <c r="F3815" s="1">
        <v>0.2</v>
      </c>
      <c r="G3815">
        <f t="shared" si="59"/>
        <v>469.79</v>
      </c>
      <c r="H3815" t="str">
        <f>VLOOKUP(C3815,[1]products!$A:$B,2,FALSE)</f>
        <v>Surly Wednesday Frameset - 2017</v>
      </c>
      <c r="I3815">
        <f>VLOOKUP(C3815,[1]products!$A:$D,4,FALSE)</f>
        <v>6</v>
      </c>
      <c r="J3815" t="str">
        <f>VLOOKUP(I3815,[2]categories!$A$1:$B$8,2,FALSE)</f>
        <v>Mountain Bikes</v>
      </c>
    </row>
    <row r="3816" customHeight="1" spans="1:10">
      <c r="A3816" s="1">
        <v>1313</v>
      </c>
      <c r="B3816" s="1">
        <v>3</v>
      </c>
      <c r="C3816" s="1">
        <v>69</v>
      </c>
      <c r="D3816" s="1">
        <v>1</v>
      </c>
      <c r="E3816" s="1">
        <v>416.99</v>
      </c>
      <c r="F3816" s="1">
        <v>0.07</v>
      </c>
      <c r="G3816">
        <f t="shared" si="59"/>
        <v>416.92</v>
      </c>
      <c r="H3816" t="str">
        <f>VLOOKUP(C3816,[1]products!$A:$B,2,FALSE)</f>
        <v>Sun Bicycles Cruz 7 - 2017</v>
      </c>
      <c r="I3816">
        <f>VLOOKUP(C3816,[1]products!$A:$D,4,FALSE)</f>
        <v>3</v>
      </c>
      <c r="J3816" t="str">
        <f>VLOOKUP(I3816,[2]categories!$A$1:$B$8,2,FALSE)</f>
        <v>Cruisers Bicycles</v>
      </c>
    </row>
    <row r="3817" customHeight="1" spans="1:10">
      <c r="A3817" s="1">
        <v>1314</v>
      </c>
      <c r="B3817" s="1">
        <v>1</v>
      </c>
      <c r="C3817" s="1">
        <v>52</v>
      </c>
      <c r="D3817" s="1">
        <v>1</v>
      </c>
      <c r="E3817" s="1">
        <v>875.99</v>
      </c>
      <c r="F3817" s="1">
        <v>0.07</v>
      </c>
      <c r="G3817">
        <f t="shared" si="59"/>
        <v>875.92</v>
      </c>
      <c r="H3817" t="str">
        <f>VLOOKUP(C3817,[1]products!$A:$B,2,FALSE)</f>
        <v>Surly Steamroller - 2017</v>
      </c>
      <c r="I3817">
        <f>VLOOKUP(C3817,[1]products!$A:$D,4,FALSE)</f>
        <v>7</v>
      </c>
      <c r="J3817" t="str">
        <f>VLOOKUP(I3817,[2]categories!$A$1:$B$8,2,FALSE)</f>
        <v>Road Bikes</v>
      </c>
    </row>
    <row r="3818" customHeight="1" spans="1:10">
      <c r="A3818" s="1">
        <v>1314</v>
      </c>
      <c r="B3818" s="1">
        <v>2</v>
      </c>
      <c r="C3818" s="1">
        <v>72</v>
      </c>
      <c r="D3818" s="1">
        <v>2</v>
      </c>
      <c r="E3818" s="1">
        <v>619.99</v>
      </c>
      <c r="F3818" s="1">
        <v>0.05</v>
      </c>
      <c r="G3818">
        <f t="shared" si="59"/>
        <v>1239.93</v>
      </c>
      <c r="H3818" t="str">
        <f>VLOOKUP(C3818,[1]products!$A:$B,2,FALSE)</f>
        <v>Sun Bicycles Biscayne Tandem 7 - 2017</v>
      </c>
      <c r="I3818">
        <f>VLOOKUP(C3818,[1]products!$A:$D,4,FALSE)</f>
        <v>3</v>
      </c>
      <c r="J3818" t="str">
        <f>VLOOKUP(I3818,[2]categories!$A$1:$B$8,2,FALSE)</f>
        <v>Cruisers Bicycles</v>
      </c>
    </row>
    <row r="3819" customHeight="1" spans="1:10">
      <c r="A3819" s="1">
        <v>1314</v>
      </c>
      <c r="B3819" s="1">
        <v>3</v>
      </c>
      <c r="C3819" s="1">
        <v>94</v>
      </c>
      <c r="D3819" s="1">
        <v>1</v>
      </c>
      <c r="E3819" s="1">
        <v>249.99</v>
      </c>
      <c r="F3819" s="1">
        <v>0.1</v>
      </c>
      <c r="G3819">
        <f t="shared" si="59"/>
        <v>249.89</v>
      </c>
      <c r="H3819" t="str">
        <f>VLOOKUP(C3819,[1]products!$A:$B,2,FALSE)</f>
        <v>Haro Shredder Pro 20 - 2017</v>
      </c>
      <c r="I3819">
        <f>VLOOKUP(C3819,[1]products!$A:$D,4,FALSE)</f>
        <v>1</v>
      </c>
      <c r="J3819" t="str">
        <f>VLOOKUP(I3819,[2]categories!$A$1:$B$8,2,FALSE)</f>
        <v>Children Bicycles</v>
      </c>
    </row>
    <row r="3820" customHeight="1" spans="1:10">
      <c r="A3820" s="1">
        <v>1315</v>
      </c>
      <c r="B3820" s="1">
        <v>1</v>
      </c>
      <c r="C3820" s="1">
        <v>104</v>
      </c>
      <c r="D3820" s="1">
        <v>2</v>
      </c>
      <c r="E3820" s="1">
        <v>481.99</v>
      </c>
      <c r="F3820" s="1">
        <v>0.07</v>
      </c>
      <c r="G3820">
        <f t="shared" si="59"/>
        <v>963.91</v>
      </c>
      <c r="H3820" t="str">
        <f>VLOOKUP(C3820,[1]products!$A:$B,2,FALSE)</f>
        <v>Sun Bicycles Streamway - 2017</v>
      </c>
      <c r="I3820">
        <f>VLOOKUP(C3820,[1]products!$A:$D,4,FALSE)</f>
        <v>2</v>
      </c>
      <c r="J3820" t="str">
        <f>VLOOKUP(I3820,[2]categories!$A$1:$B$8,2,FALSE)</f>
        <v>Comfort Bicycles</v>
      </c>
    </row>
    <row r="3821" customHeight="1" spans="1:10">
      <c r="A3821" s="1">
        <v>1315</v>
      </c>
      <c r="B3821" s="1">
        <v>2</v>
      </c>
      <c r="C3821" s="1">
        <v>41</v>
      </c>
      <c r="D3821" s="1">
        <v>1</v>
      </c>
      <c r="E3821" s="1">
        <v>1469.99</v>
      </c>
      <c r="F3821" s="1">
        <v>0.05</v>
      </c>
      <c r="G3821">
        <f t="shared" si="59"/>
        <v>1469.94</v>
      </c>
      <c r="H3821" t="str">
        <f>VLOOKUP(C3821,[1]products!$A:$B,2,FALSE)</f>
        <v>Haro Shift R3 - 2017</v>
      </c>
      <c r="I3821">
        <f>VLOOKUP(C3821,[1]products!$A:$D,4,FALSE)</f>
        <v>6</v>
      </c>
      <c r="J3821" t="str">
        <f>VLOOKUP(I3821,[2]categories!$A$1:$B$8,2,FALSE)</f>
        <v>Mountain Bikes</v>
      </c>
    </row>
    <row r="3822" customHeight="1" spans="1:10">
      <c r="A3822" s="1">
        <v>1315</v>
      </c>
      <c r="B3822" s="1">
        <v>3</v>
      </c>
      <c r="C3822" s="1">
        <v>24</v>
      </c>
      <c r="D3822" s="1">
        <v>1</v>
      </c>
      <c r="E3822" s="1">
        <v>549.99</v>
      </c>
      <c r="F3822" s="1">
        <v>0.1</v>
      </c>
      <c r="G3822">
        <f t="shared" si="59"/>
        <v>549.89</v>
      </c>
      <c r="H3822" t="str">
        <f>VLOOKUP(C3822,[1]products!$A:$B,2,FALSE)</f>
        <v>Electra Townie Original 21D - 2016</v>
      </c>
      <c r="I3822">
        <f>VLOOKUP(C3822,[1]products!$A:$D,4,FALSE)</f>
        <v>2</v>
      </c>
      <c r="J3822" t="str">
        <f>VLOOKUP(I3822,[2]categories!$A$1:$B$8,2,FALSE)</f>
        <v>Comfort Bicycles</v>
      </c>
    </row>
    <row r="3823" customHeight="1" spans="1:10">
      <c r="A3823" s="1">
        <v>1315</v>
      </c>
      <c r="B3823" s="1">
        <v>4</v>
      </c>
      <c r="C3823" s="1">
        <v>26</v>
      </c>
      <c r="D3823" s="1">
        <v>1</v>
      </c>
      <c r="E3823" s="1">
        <v>599.99</v>
      </c>
      <c r="F3823" s="1">
        <v>0.07</v>
      </c>
      <c r="G3823">
        <f t="shared" si="59"/>
        <v>599.92</v>
      </c>
      <c r="H3823" t="str">
        <f>VLOOKUP(C3823,[1]products!$A:$B,2,FALSE)</f>
        <v>Electra Townie Original 7D EQ - 2016</v>
      </c>
      <c r="I3823">
        <f>VLOOKUP(C3823,[1]products!$A:$D,4,FALSE)</f>
        <v>2</v>
      </c>
      <c r="J3823" t="str">
        <f>VLOOKUP(I3823,[2]categories!$A$1:$B$8,2,FALSE)</f>
        <v>Comfort Bicycles</v>
      </c>
    </row>
    <row r="3824" customHeight="1" spans="1:10">
      <c r="A3824" s="1">
        <v>1315</v>
      </c>
      <c r="B3824" s="1">
        <v>5</v>
      </c>
      <c r="C3824" s="1">
        <v>16</v>
      </c>
      <c r="D3824" s="1">
        <v>2</v>
      </c>
      <c r="E3824" s="1">
        <v>599.99</v>
      </c>
      <c r="F3824" s="1">
        <v>0.2</v>
      </c>
      <c r="G3824">
        <f t="shared" si="59"/>
        <v>1199.78</v>
      </c>
      <c r="H3824" t="str">
        <f>VLOOKUP(C3824,[1]products!$A:$B,2,FALSE)</f>
        <v>Electra Townie Original 7D EQ - 2016</v>
      </c>
      <c r="I3824">
        <f>VLOOKUP(C3824,[1]products!$A:$D,4,FALSE)</f>
        <v>3</v>
      </c>
      <c r="J3824" t="str">
        <f>VLOOKUP(I3824,[2]categories!$A$1:$B$8,2,FALSE)</f>
        <v>Cruisers Bicycles</v>
      </c>
    </row>
    <row r="3825" customHeight="1" spans="1:10">
      <c r="A3825" s="1">
        <v>1316</v>
      </c>
      <c r="B3825" s="1">
        <v>1</v>
      </c>
      <c r="C3825" s="1">
        <v>76</v>
      </c>
      <c r="D3825" s="1">
        <v>2</v>
      </c>
      <c r="E3825" s="1">
        <v>299.99</v>
      </c>
      <c r="F3825" s="1">
        <v>0.1</v>
      </c>
      <c r="G3825">
        <f t="shared" si="59"/>
        <v>599.88</v>
      </c>
      <c r="H3825" t="str">
        <f>VLOOKUP(C3825,[1]products!$A:$B,2,FALSE)</f>
        <v>Electra Girl's Hawaii 1 16" - 2017</v>
      </c>
      <c r="I3825">
        <f>VLOOKUP(C3825,[1]products!$A:$D,4,FALSE)</f>
        <v>3</v>
      </c>
      <c r="J3825" t="str">
        <f>VLOOKUP(I3825,[2]categories!$A$1:$B$8,2,FALSE)</f>
        <v>Cruisers Bicycles</v>
      </c>
    </row>
    <row r="3826" customHeight="1" spans="1:10">
      <c r="A3826" s="1">
        <v>1316</v>
      </c>
      <c r="B3826" s="1">
        <v>2</v>
      </c>
      <c r="C3826" s="1">
        <v>90</v>
      </c>
      <c r="D3826" s="1">
        <v>1</v>
      </c>
      <c r="E3826" s="1">
        <v>209.99</v>
      </c>
      <c r="F3826" s="1">
        <v>0.1</v>
      </c>
      <c r="G3826">
        <f t="shared" si="59"/>
        <v>209.89</v>
      </c>
      <c r="H3826" t="str">
        <f>VLOOKUP(C3826,[1]products!$A:$B,2,FALSE)</f>
        <v>Trek Precaliber 16 Girls - 2017</v>
      </c>
      <c r="I3826">
        <f>VLOOKUP(C3826,[1]products!$A:$D,4,FALSE)</f>
        <v>1</v>
      </c>
      <c r="J3826" t="str">
        <f>VLOOKUP(I3826,[2]categories!$A$1:$B$8,2,FALSE)</f>
        <v>Children Bicycles</v>
      </c>
    </row>
    <row r="3827" customHeight="1" spans="1:10">
      <c r="A3827" s="1">
        <v>1317</v>
      </c>
      <c r="B3827" s="1">
        <v>1</v>
      </c>
      <c r="C3827" s="1">
        <v>82</v>
      </c>
      <c r="D3827" s="1">
        <v>1</v>
      </c>
      <c r="E3827" s="1">
        <v>659.99</v>
      </c>
      <c r="F3827" s="1">
        <v>0.1</v>
      </c>
      <c r="G3827">
        <f t="shared" si="59"/>
        <v>659.89</v>
      </c>
      <c r="H3827" t="str">
        <f>VLOOKUP(C3827,[1]products!$A:$B,2,FALSE)</f>
        <v>Electra Amsterdam Original 3i Ladies' - 2017</v>
      </c>
      <c r="I3827">
        <f>VLOOKUP(C3827,[1]products!$A:$D,4,FALSE)</f>
        <v>3</v>
      </c>
      <c r="J3827" t="str">
        <f>VLOOKUP(I3827,[2]categories!$A$1:$B$8,2,FALSE)</f>
        <v>Cruisers Bicycles</v>
      </c>
    </row>
    <row r="3828" customHeight="1" spans="1:10">
      <c r="A3828" s="1">
        <v>1318</v>
      </c>
      <c r="B3828" s="1">
        <v>1</v>
      </c>
      <c r="C3828" s="1">
        <v>82</v>
      </c>
      <c r="D3828" s="1">
        <v>2</v>
      </c>
      <c r="E3828" s="1">
        <v>659.99</v>
      </c>
      <c r="F3828" s="1">
        <v>0.2</v>
      </c>
      <c r="G3828">
        <f t="shared" si="59"/>
        <v>1319.78</v>
      </c>
      <c r="H3828" t="str">
        <f>VLOOKUP(C3828,[1]products!$A:$B,2,FALSE)</f>
        <v>Electra Amsterdam Original 3i Ladies' - 2017</v>
      </c>
      <c r="I3828">
        <f>VLOOKUP(C3828,[1]products!$A:$D,4,FALSE)</f>
        <v>3</v>
      </c>
      <c r="J3828" t="str">
        <f>VLOOKUP(I3828,[2]categories!$A$1:$B$8,2,FALSE)</f>
        <v>Cruisers Bicycles</v>
      </c>
    </row>
    <row r="3829" customHeight="1" spans="1:10">
      <c r="A3829" s="1">
        <v>1318</v>
      </c>
      <c r="B3829" s="1">
        <v>2</v>
      </c>
      <c r="C3829" s="1">
        <v>62</v>
      </c>
      <c r="D3829" s="1">
        <v>2</v>
      </c>
      <c r="E3829" s="1">
        <v>3499.99</v>
      </c>
      <c r="F3829" s="1">
        <v>0.2</v>
      </c>
      <c r="G3829">
        <f t="shared" si="59"/>
        <v>6999.78</v>
      </c>
      <c r="H3829" t="str">
        <f>VLOOKUP(C3829,[1]products!$A:$B,2,FALSE)</f>
        <v>Trek Boone 7 - 2017</v>
      </c>
      <c r="I3829">
        <f>VLOOKUP(C3829,[1]products!$A:$D,4,FALSE)</f>
        <v>4</v>
      </c>
      <c r="J3829" t="str">
        <f>VLOOKUP(I3829,[2]categories!$A$1:$B$8,2,FALSE)</f>
        <v>Cyclocross Bicycles</v>
      </c>
    </row>
    <row r="3830" customHeight="1" spans="1:10">
      <c r="A3830" s="1">
        <v>1318</v>
      </c>
      <c r="B3830" s="1">
        <v>3</v>
      </c>
      <c r="C3830" s="1">
        <v>111</v>
      </c>
      <c r="D3830" s="1">
        <v>1</v>
      </c>
      <c r="E3830" s="1">
        <v>470.99</v>
      </c>
      <c r="F3830" s="1">
        <v>0.2</v>
      </c>
      <c r="G3830">
        <f t="shared" si="59"/>
        <v>470.79</v>
      </c>
      <c r="H3830" t="str">
        <f>VLOOKUP(C3830,[1]products!$A:$B,2,FALSE)</f>
        <v>Sun Bicycles Drifter 7 - Women's - 2017</v>
      </c>
      <c r="I3830">
        <f>VLOOKUP(C3830,[1]products!$A:$D,4,FALSE)</f>
        <v>2</v>
      </c>
      <c r="J3830" t="str">
        <f>VLOOKUP(I3830,[2]categories!$A$1:$B$8,2,FALSE)</f>
        <v>Comfort Bicycles</v>
      </c>
    </row>
    <row r="3831" customHeight="1" spans="1:10">
      <c r="A3831" s="1">
        <v>1318</v>
      </c>
      <c r="B3831" s="1">
        <v>4</v>
      </c>
      <c r="C3831" s="1">
        <v>92</v>
      </c>
      <c r="D3831" s="1">
        <v>1</v>
      </c>
      <c r="E3831" s="1">
        <v>209.99</v>
      </c>
      <c r="F3831" s="1">
        <v>0.07</v>
      </c>
      <c r="G3831">
        <f t="shared" si="59"/>
        <v>209.92</v>
      </c>
      <c r="H3831" t="str">
        <f>VLOOKUP(C3831,[1]products!$A:$B,2,FALSE)</f>
        <v>Haro Shredder 20 - 2017</v>
      </c>
      <c r="I3831">
        <f>VLOOKUP(C3831,[1]products!$A:$D,4,FALSE)</f>
        <v>1</v>
      </c>
      <c r="J3831" t="str">
        <f>VLOOKUP(I3831,[2]categories!$A$1:$B$8,2,FALSE)</f>
        <v>Children Bicycles</v>
      </c>
    </row>
    <row r="3832" customHeight="1" spans="1:10">
      <c r="A3832" s="1">
        <v>1319</v>
      </c>
      <c r="B3832" s="1">
        <v>1</v>
      </c>
      <c r="C3832" s="1">
        <v>75</v>
      </c>
      <c r="D3832" s="1">
        <v>1</v>
      </c>
      <c r="E3832" s="1">
        <v>599.99</v>
      </c>
      <c r="F3832" s="1">
        <v>0.07</v>
      </c>
      <c r="G3832">
        <f t="shared" si="59"/>
        <v>599.92</v>
      </c>
      <c r="H3832" t="str">
        <f>VLOOKUP(C3832,[1]products!$A:$B,2,FALSE)</f>
        <v>Electra Cruiser Lux Fat Tire 1 Ladies - 2017</v>
      </c>
      <c r="I3832">
        <f>VLOOKUP(C3832,[1]products!$A:$D,4,FALSE)</f>
        <v>3</v>
      </c>
      <c r="J3832" t="str">
        <f>VLOOKUP(I3832,[2]categories!$A$1:$B$8,2,FALSE)</f>
        <v>Cruisers Bicycles</v>
      </c>
    </row>
    <row r="3833" customHeight="1" spans="1:10">
      <c r="A3833" s="1">
        <v>1319</v>
      </c>
      <c r="B3833" s="1">
        <v>2</v>
      </c>
      <c r="C3833" s="1">
        <v>91</v>
      </c>
      <c r="D3833" s="1">
        <v>1</v>
      </c>
      <c r="E3833" s="1">
        <v>349.99</v>
      </c>
      <c r="F3833" s="1">
        <v>0.2</v>
      </c>
      <c r="G3833">
        <f t="shared" si="59"/>
        <v>349.79</v>
      </c>
      <c r="H3833" t="str">
        <f>VLOOKUP(C3833,[1]products!$A:$B,2,FALSE)</f>
        <v>Trek Precaliber 24 (21-Speed) - Girls - 2017</v>
      </c>
      <c r="I3833">
        <f>VLOOKUP(C3833,[1]products!$A:$D,4,FALSE)</f>
        <v>1</v>
      </c>
      <c r="J3833" t="str">
        <f>VLOOKUP(I3833,[2]categories!$A$1:$B$8,2,FALSE)</f>
        <v>Children Bicycles</v>
      </c>
    </row>
    <row r="3834" customHeight="1" spans="1:10">
      <c r="A3834" s="1">
        <v>1320</v>
      </c>
      <c r="B3834" s="1">
        <v>1</v>
      </c>
      <c r="C3834" s="1">
        <v>104</v>
      </c>
      <c r="D3834" s="1">
        <v>1</v>
      </c>
      <c r="E3834" s="1">
        <v>481.99</v>
      </c>
      <c r="F3834" s="1">
        <v>0.1</v>
      </c>
      <c r="G3834">
        <f t="shared" si="59"/>
        <v>481.89</v>
      </c>
      <c r="H3834" t="str">
        <f>VLOOKUP(C3834,[1]products!$A:$B,2,FALSE)</f>
        <v>Sun Bicycles Streamway - 2017</v>
      </c>
      <c r="I3834">
        <f>VLOOKUP(C3834,[1]products!$A:$D,4,FALSE)</f>
        <v>2</v>
      </c>
      <c r="J3834" t="str">
        <f>VLOOKUP(I3834,[2]categories!$A$1:$B$8,2,FALSE)</f>
        <v>Comfort Bicycles</v>
      </c>
    </row>
    <row r="3835" customHeight="1" spans="1:10">
      <c r="A3835" s="1">
        <v>1320</v>
      </c>
      <c r="B3835" s="1">
        <v>2</v>
      </c>
      <c r="C3835" s="1">
        <v>93</v>
      </c>
      <c r="D3835" s="1">
        <v>1</v>
      </c>
      <c r="E3835" s="1">
        <v>209.99</v>
      </c>
      <c r="F3835" s="1">
        <v>0.05</v>
      </c>
      <c r="G3835">
        <f t="shared" si="59"/>
        <v>209.94</v>
      </c>
      <c r="H3835" t="str">
        <f>VLOOKUP(C3835,[1]products!$A:$B,2,FALSE)</f>
        <v>Haro Shredder 20 Girls - 2017</v>
      </c>
      <c r="I3835">
        <f>VLOOKUP(C3835,[1]products!$A:$D,4,FALSE)</f>
        <v>1</v>
      </c>
      <c r="J3835" t="str">
        <f>VLOOKUP(I3835,[2]categories!$A$1:$B$8,2,FALSE)</f>
        <v>Children Bicycles</v>
      </c>
    </row>
    <row r="3836" customHeight="1" spans="1:10">
      <c r="A3836" s="1">
        <v>1320</v>
      </c>
      <c r="B3836" s="1">
        <v>3</v>
      </c>
      <c r="C3836" s="1">
        <v>99</v>
      </c>
      <c r="D3836" s="1">
        <v>2</v>
      </c>
      <c r="E3836" s="1">
        <v>299.99</v>
      </c>
      <c r="F3836" s="1">
        <v>0.2</v>
      </c>
      <c r="G3836">
        <f t="shared" si="59"/>
        <v>599.78</v>
      </c>
      <c r="H3836" t="str">
        <f>VLOOKUP(C3836,[1]products!$A:$B,2,FALSE)</f>
        <v>Electra Sugar Skulls 1 (20-inch) - Girl's - 2017</v>
      </c>
      <c r="I3836">
        <f>VLOOKUP(C3836,[1]products!$A:$D,4,FALSE)</f>
        <v>1</v>
      </c>
      <c r="J3836" t="str">
        <f>VLOOKUP(I3836,[2]categories!$A$1:$B$8,2,FALSE)</f>
        <v>Children Bicycles</v>
      </c>
    </row>
    <row r="3837" customHeight="1" spans="1:10">
      <c r="A3837" s="1">
        <v>1321</v>
      </c>
      <c r="B3837" s="1">
        <v>1</v>
      </c>
      <c r="C3837" s="1">
        <v>34</v>
      </c>
      <c r="D3837" s="1">
        <v>1</v>
      </c>
      <c r="E3837" s="1">
        <v>469.99</v>
      </c>
      <c r="F3837" s="1">
        <v>0.1</v>
      </c>
      <c r="G3837">
        <f t="shared" si="59"/>
        <v>469.89</v>
      </c>
      <c r="H3837" t="str">
        <f>VLOOKUP(C3837,[1]products!$A:$B,2,FALSE)</f>
        <v>Trek Session DH 27.5 Carbon Frameset - 2017</v>
      </c>
      <c r="I3837">
        <f>VLOOKUP(C3837,[1]products!$A:$D,4,FALSE)</f>
        <v>6</v>
      </c>
      <c r="J3837" t="str">
        <f>VLOOKUP(I3837,[2]categories!$A$1:$B$8,2,FALSE)</f>
        <v>Mountain Bikes</v>
      </c>
    </row>
    <row r="3838" customHeight="1" spans="1:10">
      <c r="A3838" s="1">
        <v>1321</v>
      </c>
      <c r="B3838" s="1">
        <v>2</v>
      </c>
      <c r="C3838" s="1">
        <v>107</v>
      </c>
      <c r="D3838" s="1">
        <v>1</v>
      </c>
      <c r="E3838" s="1">
        <v>416.99</v>
      </c>
      <c r="F3838" s="1">
        <v>0.1</v>
      </c>
      <c r="G3838">
        <f t="shared" si="59"/>
        <v>416.89</v>
      </c>
      <c r="H3838" t="str">
        <f>VLOOKUP(C3838,[1]products!$A:$B,2,FALSE)</f>
        <v>Sun Bicycles Cruz 7 - 2017</v>
      </c>
      <c r="I3838">
        <f>VLOOKUP(C3838,[1]products!$A:$D,4,FALSE)</f>
        <v>2</v>
      </c>
      <c r="J3838" t="str">
        <f>VLOOKUP(I3838,[2]categories!$A$1:$B$8,2,FALSE)</f>
        <v>Comfort Bicycles</v>
      </c>
    </row>
    <row r="3839" customHeight="1" spans="1:10">
      <c r="A3839" s="1">
        <v>1321</v>
      </c>
      <c r="B3839" s="1">
        <v>3</v>
      </c>
      <c r="C3839" s="1">
        <v>11</v>
      </c>
      <c r="D3839" s="1">
        <v>2</v>
      </c>
      <c r="E3839" s="1">
        <v>1680.99</v>
      </c>
      <c r="F3839" s="1">
        <v>0.1</v>
      </c>
      <c r="G3839">
        <f t="shared" si="59"/>
        <v>3361.88</v>
      </c>
      <c r="H3839" t="str">
        <f>VLOOKUP(C3839,[1]products!$A:$B,2,FALSE)</f>
        <v>Surly Straggler 650b - 2016</v>
      </c>
      <c r="I3839">
        <f>VLOOKUP(C3839,[1]products!$A:$D,4,FALSE)</f>
        <v>4</v>
      </c>
      <c r="J3839" t="str">
        <f>VLOOKUP(I3839,[2]categories!$A$1:$B$8,2,FALSE)</f>
        <v>Cyclocross Bicycles</v>
      </c>
    </row>
    <row r="3840" customHeight="1" spans="1:10">
      <c r="A3840" s="1">
        <v>1322</v>
      </c>
      <c r="B3840" s="1">
        <v>1</v>
      </c>
      <c r="C3840" s="1">
        <v>28</v>
      </c>
      <c r="D3840" s="1">
        <v>2</v>
      </c>
      <c r="E3840" s="1">
        <v>2499.99</v>
      </c>
      <c r="F3840" s="1">
        <v>0.05</v>
      </c>
      <c r="G3840">
        <f t="shared" si="59"/>
        <v>4999.93</v>
      </c>
      <c r="H3840" t="str">
        <f>VLOOKUP(C3840,[1]products!$A:$B,2,FALSE)</f>
        <v>Surly Karate Monkey 27.5+ Frameset - 2017</v>
      </c>
      <c r="I3840">
        <f>VLOOKUP(C3840,[1]products!$A:$D,4,FALSE)</f>
        <v>6</v>
      </c>
      <c r="J3840" t="str">
        <f>VLOOKUP(I3840,[2]categories!$A$1:$B$8,2,FALSE)</f>
        <v>Mountain Bikes</v>
      </c>
    </row>
    <row r="3841" customHeight="1" spans="1:10">
      <c r="A3841" s="1">
        <v>1322</v>
      </c>
      <c r="B3841" s="1">
        <v>2</v>
      </c>
      <c r="C3841" s="1">
        <v>104</v>
      </c>
      <c r="D3841" s="1">
        <v>2</v>
      </c>
      <c r="E3841" s="1">
        <v>481.99</v>
      </c>
      <c r="F3841" s="1">
        <v>0.05</v>
      </c>
      <c r="G3841">
        <f t="shared" si="59"/>
        <v>963.93</v>
      </c>
      <c r="H3841" t="str">
        <f>VLOOKUP(C3841,[1]products!$A:$B,2,FALSE)</f>
        <v>Sun Bicycles Streamway - 2017</v>
      </c>
      <c r="I3841">
        <f>VLOOKUP(C3841,[1]products!$A:$D,4,FALSE)</f>
        <v>2</v>
      </c>
      <c r="J3841" t="str">
        <f>VLOOKUP(I3841,[2]categories!$A$1:$B$8,2,FALSE)</f>
        <v>Comfort Bicycles</v>
      </c>
    </row>
    <row r="3842" customHeight="1" spans="1:10">
      <c r="A3842" s="1">
        <v>1323</v>
      </c>
      <c r="B3842" s="1">
        <v>1</v>
      </c>
      <c r="C3842" s="1">
        <v>27</v>
      </c>
      <c r="D3842" s="1">
        <v>2</v>
      </c>
      <c r="E3842" s="1">
        <v>999.99</v>
      </c>
      <c r="F3842" s="1">
        <v>0.07</v>
      </c>
      <c r="G3842">
        <f t="shared" si="59"/>
        <v>1999.91</v>
      </c>
      <c r="H3842" t="str">
        <f>VLOOKUP(C3842,[1]products!$A:$B,2,FALSE)</f>
        <v>Surly Big Dummy Frameset - 2017</v>
      </c>
      <c r="I3842">
        <f>VLOOKUP(C3842,[1]products!$A:$D,4,FALSE)</f>
        <v>6</v>
      </c>
      <c r="J3842" t="str">
        <f>VLOOKUP(I3842,[2]categories!$A$1:$B$8,2,FALSE)</f>
        <v>Mountain Bikes</v>
      </c>
    </row>
    <row r="3843" customHeight="1" spans="1:10">
      <c r="A3843" s="1">
        <v>1323</v>
      </c>
      <c r="B3843" s="1">
        <v>2</v>
      </c>
      <c r="C3843" s="1">
        <v>20</v>
      </c>
      <c r="D3843" s="1">
        <v>1</v>
      </c>
      <c r="E3843" s="1">
        <v>599.99</v>
      </c>
      <c r="F3843" s="1">
        <v>0.05</v>
      </c>
      <c r="G3843">
        <f t="shared" ref="G3843:G3906" si="60">(E3843*D3843)-F3843</f>
        <v>599.94</v>
      </c>
      <c r="H3843" t="str">
        <f>VLOOKUP(C3843,[1]products!$A:$B,2,FALSE)</f>
        <v>Electra Townie Original 7D EQ - Women's - 2016</v>
      </c>
      <c r="I3843">
        <f>VLOOKUP(C3843,[1]products!$A:$D,4,FALSE)</f>
        <v>3</v>
      </c>
      <c r="J3843" t="str">
        <f>VLOOKUP(I3843,[2]categories!$A$1:$B$8,2,FALSE)</f>
        <v>Cruisers Bicycles</v>
      </c>
    </row>
    <row r="3844" customHeight="1" spans="1:10">
      <c r="A3844" s="1">
        <v>1323</v>
      </c>
      <c r="B3844" s="1">
        <v>3</v>
      </c>
      <c r="C3844" s="1">
        <v>70</v>
      </c>
      <c r="D3844" s="1">
        <v>1</v>
      </c>
      <c r="E3844" s="1">
        <v>659.99</v>
      </c>
      <c r="F3844" s="1">
        <v>0.05</v>
      </c>
      <c r="G3844">
        <f t="shared" si="60"/>
        <v>659.94</v>
      </c>
      <c r="H3844" t="str">
        <f>VLOOKUP(C3844,[1]products!$A:$B,2,FALSE)</f>
        <v>Electra Amsterdam Original 3i - 2015/2017</v>
      </c>
      <c r="I3844">
        <f>VLOOKUP(C3844,[1]products!$A:$D,4,FALSE)</f>
        <v>3</v>
      </c>
      <c r="J3844" t="str">
        <f>VLOOKUP(I3844,[2]categories!$A$1:$B$8,2,FALSE)</f>
        <v>Cruisers Bicycles</v>
      </c>
    </row>
    <row r="3845" customHeight="1" spans="1:10">
      <c r="A3845" s="1">
        <v>1324</v>
      </c>
      <c r="B3845" s="1">
        <v>1</v>
      </c>
      <c r="C3845" s="1">
        <v>66</v>
      </c>
      <c r="D3845" s="1">
        <v>1</v>
      </c>
      <c r="E3845" s="1">
        <v>250.99</v>
      </c>
      <c r="F3845" s="1">
        <v>0.1</v>
      </c>
      <c r="G3845">
        <f t="shared" si="60"/>
        <v>250.89</v>
      </c>
      <c r="H3845" t="str">
        <f>VLOOKUP(C3845,[1]products!$A:$B,2,FALSE)</f>
        <v>Sun Bicycles Revolutions 24 - 2017</v>
      </c>
      <c r="I3845">
        <f>VLOOKUP(C3845,[1]products!$A:$D,4,FALSE)</f>
        <v>3</v>
      </c>
      <c r="J3845" t="str">
        <f>VLOOKUP(I3845,[2]categories!$A$1:$B$8,2,FALSE)</f>
        <v>Cruisers Bicycles</v>
      </c>
    </row>
    <row r="3846" customHeight="1" spans="1:10">
      <c r="A3846" s="1">
        <v>1324</v>
      </c>
      <c r="B3846" s="1">
        <v>2</v>
      </c>
      <c r="C3846" s="1">
        <v>120</v>
      </c>
      <c r="D3846" s="1">
        <v>2</v>
      </c>
      <c r="E3846" s="1">
        <v>2499.99</v>
      </c>
      <c r="F3846" s="1">
        <v>0.2</v>
      </c>
      <c r="G3846">
        <f t="shared" si="60"/>
        <v>4999.78</v>
      </c>
      <c r="H3846" t="str">
        <f>VLOOKUP(C3846,[1]products!$A:$B,2,FALSE)</f>
        <v>Trek Fuel EX 7 29 - 2018</v>
      </c>
      <c r="I3846">
        <f>VLOOKUP(C3846,[1]products!$A:$D,4,FALSE)</f>
        <v>6</v>
      </c>
      <c r="J3846" t="str">
        <f>VLOOKUP(I3846,[2]categories!$A$1:$B$8,2,FALSE)</f>
        <v>Mountain Bikes</v>
      </c>
    </row>
    <row r="3847" customHeight="1" spans="1:10">
      <c r="A3847" s="1">
        <v>1324</v>
      </c>
      <c r="B3847" s="1">
        <v>3</v>
      </c>
      <c r="C3847" s="1">
        <v>235</v>
      </c>
      <c r="D3847" s="1">
        <v>1</v>
      </c>
      <c r="E3847" s="1">
        <v>899.99</v>
      </c>
      <c r="F3847" s="1">
        <v>0.1</v>
      </c>
      <c r="G3847">
        <f t="shared" si="60"/>
        <v>899.89</v>
      </c>
      <c r="H3847" t="str">
        <f>VLOOKUP(C3847,[1]products!$A:$B,2,FALSE)</f>
        <v>Electra Koa 3i Ladies' - 2018</v>
      </c>
      <c r="I3847">
        <f>VLOOKUP(C3847,[1]products!$A:$D,4,FALSE)</f>
        <v>3</v>
      </c>
      <c r="J3847" t="str">
        <f>VLOOKUP(I3847,[2]categories!$A$1:$B$8,2,FALSE)</f>
        <v>Cruisers Bicycles</v>
      </c>
    </row>
    <row r="3848" customHeight="1" spans="1:10">
      <c r="A3848" s="1">
        <v>1324</v>
      </c>
      <c r="B3848" s="1">
        <v>4</v>
      </c>
      <c r="C3848" s="1">
        <v>3</v>
      </c>
      <c r="D3848" s="1">
        <v>1</v>
      </c>
      <c r="E3848" s="1">
        <v>999.99</v>
      </c>
      <c r="F3848" s="1">
        <v>0.2</v>
      </c>
      <c r="G3848">
        <f t="shared" si="60"/>
        <v>999.79</v>
      </c>
      <c r="H3848" t="str">
        <f>VLOOKUP(C3848,[1]products!$A:$B,2,FALSE)</f>
        <v>Surly Wednesday Frameset - 2016</v>
      </c>
      <c r="I3848">
        <f>VLOOKUP(C3848,[1]products!$A:$D,4,FALSE)</f>
        <v>6</v>
      </c>
      <c r="J3848" t="str">
        <f>VLOOKUP(I3848,[2]categories!$A$1:$B$8,2,FALSE)</f>
        <v>Mountain Bikes</v>
      </c>
    </row>
    <row r="3849" customHeight="1" spans="1:10">
      <c r="A3849" s="1">
        <v>1325</v>
      </c>
      <c r="B3849" s="1">
        <v>1</v>
      </c>
      <c r="C3849" s="1">
        <v>139</v>
      </c>
      <c r="D3849" s="1">
        <v>1</v>
      </c>
      <c r="E3849" s="1">
        <v>2999.99</v>
      </c>
      <c r="F3849" s="1">
        <v>0.05</v>
      </c>
      <c r="G3849">
        <f t="shared" si="60"/>
        <v>2999.94</v>
      </c>
      <c r="H3849" t="str">
        <f>VLOOKUP(C3849,[1]products!$A:$B,2,FALSE)</f>
        <v>Trek Remedy 7 27.5 - 2018</v>
      </c>
      <c r="I3849">
        <f>VLOOKUP(C3849,[1]products!$A:$D,4,FALSE)</f>
        <v>6</v>
      </c>
      <c r="J3849" t="str">
        <f>VLOOKUP(I3849,[2]categories!$A$1:$B$8,2,FALSE)</f>
        <v>Mountain Bikes</v>
      </c>
    </row>
    <row r="3850" customHeight="1" spans="1:10">
      <c r="A3850" s="1">
        <v>1325</v>
      </c>
      <c r="B3850" s="1">
        <v>2</v>
      </c>
      <c r="C3850" s="1">
        <v>257</v>
      </c>
      <c r="D3850" s="1">
        <v>1</v>
      </c>
      <c r="E3850" s="1">
        <v>899.99</v>
      </c>
      <c r="F3850" s="1">
        <v>0.05</v>
      </c>
      <c r="G3850">
        <f t="shared" si="60"/>
        <v>899.94</v>
      </c>
      <c r="H3850" t="str">
        <f>VLOOKUP(C3850,[1]products!$A:$B,2,FALSE)</f>
        <v>Electra Amsterdam Fashion 3i Ladies' - 2017/2018</v>
      </c>
      <c r="I3850">
        <f>VLOOKUP(C3850,[1]products!$A:$D,4,FALSE)</f>
        <v>3</v>
      </c>
      <c r="J3850" t="str">
        <f>VLOOKUP(I3850,[2]categories!$A$1:$B$8,2,FALSE)</f>
        <v>Cruisers Bicycles</v>
      </c>
    </row>
    <row r="3851" customHeight="1" spans="1:10">
      <c r="A3851" s="1">
        <v>1325</v>
      </c>
      <c r="B3851" s="1">
        <v>3</v>
      </c>
      <c r="C3851" s="1">
        <v>209</v>
      </c>
      <c r="D3851" s="1">
        <v>1</v>
      </c>
      <c r="E3851" s="1">
        <v>2999.99</v>
      </c>
      <c r="F3851" s="1">
        <v>0.1</v>
      </c>
      <c r="G3851">
        <f t="shared" si="60"/>
        <v>2999.89</v>
      </c>
      <c r="H3851" t="str">
        <f>VLOOKUP(C3851,[1]products!$A:$B,2,FALSE)</f>
        <v>Trek Crockett 7 Disc - 2018</v>
      </c>
      <c r="I3851">
        <f>VLOOKUP(C3851,[1]products!$A:$D,4,FALSE)</f>
        <v>4</v>
      </c>
      <c r="J3851" t="str">
        <f>VLOOKUP(I3851,[2]categories!$A$1:$B$8,2,FALSE)</f>
        <v>Cyclocross Bicycles</v>
      </c>
    </row>
    <row r="3852" customHeight="1" spans="1:10">
      <c r="A3852" s="1">
        <v>1325</v>
      </c>
      <c r="B3852" s="1">
        <v>4</v>
      </c>
      <c r="C3852" s="1">
        <v>28</v>
      </c>
      <c r="D3852" s="1">
        <v>1</v>
      </c>
      <c r="E3852" s="1">
        <v>2499.99</v>
      </c>
      <c r="F3852" s="1">
        <v>0.07</v>
      </c>
      <c r="G3852">
        <f t="shared" si="60"/>
        <v>2499.92</v>
      </c>
      <c r="H3852" t="str">
        <f>VLOOKUP(C3852,[1]products!$A:$B,2,FALSE)</f>
        <v>Surly Karate Monkey 27.5+ Frameset - 2017</v>
      </c>
      <c r="I3852">
        <f>VLOOKUP(C3852,[1]products!$A:$D,4,FALSE)</f>
        <v>6</v>
      </c>
      <c r="J3852" t="str">
        <f>VLOOKUP(I3852,[2]categories!$A$1:$B$8,2,FALSE)</f>
        <v>Mountain Bikes</v>
      </c>
    </row>
    <row r="3853" customHeight="1" spans="1:10">
      <c r="A3853" s="1">
        <v>1326</v>
      </c>
      <c r="B3853" s="1">
        <v>1</v>
      </c>
      <c r="C3853" s="1">
        <v>190</v>
      </c>
      <c r="D3853" s="1">
        <v>2</v>
      </c>
      <c r="E3853" s="1">
        <v>2799.99</v>
      </c>
      <c r="F3853" s="1">
        <v>0.07</v>
      </c>
      <c r="G3853">
        <f t="shared" si="60"/>
        <v>5599.91</v>
      </c>
      <c r="H3853" t="str">
        <f>VLOOKUP(C3853,[1]products!$A:$B,2,FALSE)</f>
        <v>Trek Dual Sport+ - 2018</v>
      </c>
      <c r="I3853">
        <f>VLOOKUP(C3853,[1]products!$A:$D,4,FALSE)</f>
        <v>5</v>
      </c>
      <c r="J3853" t="str">
        <f>VLOOKUP(I3853,[2]categories!$A$1:$B$8,2,FALSE)</f>
        <v>Electric Bikes</v>
      </c>
    </row>
    <row r="3854" customHeight="1" spans="1:10">
      <c r="A3854" s="1">
        <v>1326</v>
      </c>
      <c r="B3854" s="1">
        <v>2</v>
      </c>
      <c r="C3854" s="1">
        <v>269</v>
      </c>
      <c r="D3854" s="1">
        <v>2</v>
      </c>
      <c r="E3854" s="1">
        <v>199.99</v>
      </c>
      <c r="F3854" s="1">
        <v>0.07</v>
      </c>
      <c r="G3854">
        <f t="shared" si="60"/>
        <v>399.91</v>
      </c>
      <c r="H3854" t="str">
        <f>VLOOKUP(C3854,[1]products!$A:$B,2,FALSE)</f>
        <v>Trek Precaliber 12 Boy's - 2018</v>
      </c>
      <c r="I3854">
        <f>VLOOKUP(C3854,[1]products!$A:$D,4,FALSE)</f>
        <v>1</v>
      </c>
      <c r="J3854" t="str">
        <f>VLOOKUP(I3854,[2]categories!$A$1:$B$8,2,FALSE)</f>
        <v>Children Bicycles</v>
      </c>
    </row>
    <row r="3855" customHeight="1" spans="1:10">
      <c r="A3855" s="1">
        <v>1327</v>
      </c>
      <c r="B3855" s="1">
        <v>1</v>
      </c>
      <c r="C3855" s="1">
        <v>151</v>
      </c>
      <c r="D3855" s="1">
        <v>2</v>
      </c>
      <c r="E3855" s="1">
        <v>1549.99</v>
      </c>
      <c r="F3855" s="1">
        <v>0.07</v>
      </c>
      <c r="G3855">
        <f t="shared" si="60"/>
        <v>3099.91</v>
      </c>
      <c r="H3855" t="str">
        <f>VLOOKUP(C3855,[1]products!$A:$B,2,FALSE)</f>
        <v>Trek Domane ALR 4 Disc Women's - 2018</v>
      </c>
      <c r="I3855">
        <f>VLOOKUP(C3855,[1]products!$A:$D,4,FALSE)</f>
        <v>7</v>
      </c>
      <c r="J3855" t="str">
        <f>VLOOKUP(I3855,[2]categories!$A$1:$B$8,2,FALSE)</f>
        <v>Road Bikes</v>
      </c>
    </row>
    <row r="3856" customHeight="1" spans="1:10">
      <c r="A3856" s="1">
        <v>1327</v>
      </c>
      <c r="B3856" s="1">
        <v>2</v>
      </c>
      <c r="C3856" s="1">
        <v>235</v>
      </c>
      <c r="D3856" s="1">
        <v>2</v>
      </c>
      <c r="E3856" s="1">
        <v>899.99</v>
      </c>
      <c r="F3856" s="1">
        <v>0.1</v>
      </c>
      <c r="G3856">
        <f t="shared" si="60"/>
        <v>1799.88</v>
      </c>
      <c r="H3856" t="str">
        <f>VLOOKUP(C3856,[1]products!$A:$B,2,FALSE)</f>
        <v>Electra Koa 3i Ladies' - 2018</v>
      </c>
      <c r="I3856">
        <f>VLOOKUP(C3856,[1]products!$A:$D,4,FALSE)</f>
        <v>3</v>
      </c>
      <c r="J3856" t="str">
        <f>VLOOKUP(I3856,[2]categories!$A$1:$B$8,2,FALSE)</f>
        <v>Cruisers Bicycles</v>
      </c>
    </row>
    <row r="3857" customHeight="1" spans="1:10">
      <c r="A3857" s="1">
        <v>1327</v>
      </c>
      <c r="B3857" s="1">
        <v>3</v>
      </c>
      <c r="C3857" s="1">
        <v>48</v>
      </c>
      <c r="D3857" s="1">
        <v>2</v>
      </c>
      <c r="E3857" s="1">
        <v>1499.99</v>
      </c>
      <c r="F3857" s="1">
        <v>0.1</v>
      </c>
      <c r="G3857">
        <f t="shared" si="60"/>
        <v>2999.88</v>
      </c>
      <c r="H3857" t="str">
        <f>VLOOKUP(C3857,[1]products!$A:$B,2,FALSE)</f>
        <v>Trek Emonda S 4 - 2017</v>
      </c>
      <c r="I3857">
        <f>VLOOKUP(C3857,[1]products!$A:$D,4,FALSE)</f>
        <v>7</v>
      </c>
      <c r="J3857" t="str">
        <f>VLOOKUP(I3857,[2]categories!$A$1:$B$8,2,FALSE)</f>
        <v>Road Bikes</v>
      </c>
    </row>
    <row r="3858" customHeight="1" spans="1:10">
      <c r="A3858" s="1">
        <v>1327</v>
      </c>
      <c r="B3858" s="1">
        <v>4</v>
      </c>
      <c r="C3858" s="1">
        <v>180</v>
      </c>
      <c r="D3858" s="1">
        <v>1</v>
      </c>
      <c r="E3858" s="1">
        <v>919.99</v>
      </c>
      <c r="F3858" s="1">
        <v>0.2</v>
      </c>
      <c r="G3858">
        <f t="shared" si="60"/>
        <v>919.79</v>
      </c>
      <c r="H3858" t="str">
        <f>VLOOKUP(C3858,[1]products!$A:$B,2,FALSE)</f>
        <v>Trek Domane AL 3 Women's - 2018</v>
      </c>
      <c r="I3858">
        <f>VLOOKUP(C3858,[1]products!$A:$D,4,FALSE)</f>
        <v>7</v>
      </c>
      <c r="J3858" t="str">
        <f>VLOOKUP(I3858,[2]categories!$A$1:$B$8,2,FALSE)</f>
        <v>Road Bikes</v>
      </c>
    </row>
    <row r="3859" customHeight="1" spans="1:10">
      <c r="A3859" s="1">
        <v>1328</v>
      </c>
      <c r="B3859" s="1">
        <v>1</v>
      </c>
      <c r="C3859" s="1">
        <v>241</v>
      </c>
      <c r="D3859" s="1">
        <v>1</v>
      </c>
      <c r="E3859" s="1">
        <v>749.99</v>
      </c>
      <c r="F3859" s="1">
        <v>0.07</v>
      </c>
      <c r="G3859">
        <f t="shared" si="60"/>
        <v>749.92</v>
      </c>
      <c r="H3859" t="str">
        <f>VLOOKUP(C3859,[1]products!$A:$B,2,FALSE)</f>
        <v>Electra Townie Commute 8D - 2018</v>
      </c>
      <c r="I3859">
        <f>VLOOKUP(C3859,[1]products!$A:$D,4,FALSE)</f>
        <v>3</v>
      </c>
      <c r="J3859" t="str">
        <f>VLOOKUP(I3859,[2]categories!$A$1:$B$8,2,FALSE)</f>
        <v>Cruisers Bicycles</v>
      </c>
    </row>
    <row r="3860" customHeight="1" spans="1:10">
      <c r="A3860" s="1">
        <v>1328</v>
      </c>
      <c r="B3860" s="1">
        <v>2</v>
      </c>
      <c r="C3860" s="1">
        <v>129</v>
      </c>
      <c r="D3860" s="1">
        <v>2</v>
      </c>
      <c r="E3860" s="1">
        <v>919.99</v>
      </c>
      <c r="F3860" s="1">
        <v>0.1</v>
      </c>
      <c r="G3860">
        <f t="shared" si="60"/>
        <v>1839.88</v>
      </c>
      <c r="H3860" t="str">
        <f>VLOOKUP(C3860,[1]products!$A:$B,2,FALSE)</f>
        <v>Trek X-Caliber 7 - 2018</v>
      </c>
      <c r="I3860">
        <f>VLOOKUP(C3860,[1]products!$A:$D,4,FALSE)</f>
        <v>6</v>
      </c>
      <c r="J3860" t="str">
        <f>VLOOKUP(I3860,[2]categories!$A$1:$B$8,2,FALSE)</f>
        <v>Mountain Bikes</v>
      </c>
    </row>
    <row r="3861" customHeight="1" spans="1:10">
      <c r="A3861" s="1">
        <v>1328</v>
      </c>
      <c r="B3861" s="1">
        <v>3</v>
      </c>
      <c r="C3861" s="1">
        <v>228</v>
      </c>
      <c r="D3861" s="1">
        <v>1</v>
      </c>
      <c r="E3861" s="1">
        <v>319.99</v>
      </c>
      <c r="F3861" s="1">
        <v>0.07</v>
      </c>
      <c r="G3861">
        <f t="shared" si="60"/>
        <v>319.92</v>
      </c>
      <c r="H3861" t="str">
        <f>VLOOKUP(C3861,[1]products!$A:$B,2,FALSE)</f>
        <v>Electra Cruiser 7D Tall - 2016/2018</v>
      </c>
      <c r="I3861">
        <f>VLOOKUP(C3861,[1]products!$A:$D,4,FALSE)</f>
        <v>3</v>
      </c>
      <c r="J3861" t="str">
        <f>VLOOKUP(I3861,[2]categories!$A$1:$B$8,2,FALSE)</f>
        <v>Cruisers Bicycles</v>
      </c>
    </row>
    <row r="3862" customHeight="1" spans="1:10">
      <c r="A3862" s="1">
        <v>1328</v>
      </c>
      <c r="B3862" s="1">
        <v>4</v>
      </c>
      <c r="C3862" s="1">
        <v>311</v>
      </c>
      <c r="D3862" s="1">
        <v>1</v>
      </c>
      <c r="E3862" s="1">
        <v>749.99</v>
      </c>
      <c r="F3862" s="1">
        <v>0.1</v>
      </c>
      <c r="G3862">
        <f t="shared" si="60"/>
        <v>749.89</v>
      </c>
      <c r="H3862" t="str">
        <f>VLOOKUP(C3862,[1]products!$A:$B,2,FALSE)</f>
        <v>Electra Townie Commute 8D - 2018</v>
      </c>
      <c r="I3862">
        <f>VLOOKUP(C3862,[1]products!$A:$D,4,FALSE)</f>
        <v>2</v>
      </c>
      <c r="J3862" t="str">
        <f>VLOOKUP(I3862,[2]categories!$A$1:$B$8,2,FALSE)</f>
        <v>Comfort Bicycles</v>
      </c>
    </row>
    <row r="3863" customHeight="1" spans="1:10">
      <c r="A3863" s="1">
        <v>1328</v>
      </c>
      <c r="B3863" s="1">
        <v>5</v>
      </c>
      <c r="C3863" s="1">
        <v>247</v>
      </c>
      <c r="D3863" s="1">
        <v>1</v>
      </c>
      <c r="E3863" s="1">
        <v>599.99</v>
      </c>
      <c r="F3863" s="1">
        <v>0.1</v>
      </c>
      <c r="G3863">
        <f t="shared" si="60"/>
        <v>599.89</v>
      </c>
      <c r="H3863" t="str">
        <f>VLOOKUP(C3863,[1]products!$A:$B,2,FALSE)</f>
        <v>Electra Townie Original 7D EQ - 2018</v>
      </c>
      <c r="I3863">
        <f>VLOOKUP(C3863,[1]products!$A:$D,4,FALSE)</f>
        <v>3</v>
      </c>
      <c r="J3863" t="str">
        <f>VLOOKUP(I3863,[2]categories!$A$1:$B$8,2,FALSE)</f>
        <v>Cruisers Bicycles</v>
      </c>
    </row>
    <row r="3864" customHeight="1" spans="1:10">
      <c r="A3864" s="1">
        <v>1329</v>
      </c>
      <c r="B3864" s="1">
        <v>1</v>
      </c>
      <c r="C3864" s="1">
        <v>143</v>
      </c>
      <c r="D3864" s="1">
        <v>1</v>
      </c>
      <c r="E3864" s="1">
        <v>1099.99</v>
      </c>
      <c r="F3864" s="1">
        <v>0.07</v>
      </c>
      <c r="G3864">
        <f t="shared" si="60"/>
        <v>1099.92</v>
      </c>
      <c r="H3864" t="str">
        <f>VLOOKUP(C3864,[1]products!$A:$B,2,FALSE)</f>
        <v>Trek Domane ALR 3 - 2018</v>
      </c>
      <c r="I3864">
        <f>VLOOKUP(C3864,[1]products!$A:$D,4,FALSE)</f>
        <v>7</v>
      </c>
      <c r="J3864" t="str">
        <f>VLOOKUP(I3864,[2]categories!$A$1:$B$8,2,FALSE)</f>
        <v>Road Bikes</v>
      </c>
    </row>
    <row r="3865" customHeight="1" spans="1:10">
      <c r="A3865" s="1">
        <v>1329</v>
      </c>
      <c r="B3865" s="1">
        <v>2</v>
      </c>
      <c r="C3865" s="1">
        <v>107</v>
      </c>
      <c r="D3865" s="1">
        <v>1</v>
      </c>
      <c r="E3865" s="1">
        <v>416.99</v>
      </c>
      <c r="F3865" s="1">
        <v>0.05</v>
      </c>
      <c r="G3865">
        <f t="shared" si="60"/>
        <v>416.94</v>
      </c>
      <c r="H3865" t="str">
        <f>VLOOKUP(C3865,[1]products!$A:$B,2,FALSE)</f>
        <v>Sun Bicycles Cruz 7 - 2017</v>
      </c>
      <c r="I3865">
        <f>VLOOKUP(C3865,[1]products!$A:$D,4,FALSE)</f>
        <v>2</v>
      </c>
      <c r="J3865" t="str">
        <f>VLOOKUP(I3865,[2]categories!$A$1:$B$8,2,FALSE)</f>
        <v>Comfort Bicycles</v>
      </c>
    </row>
    <row r="3866" customHeight="1" spans="1:10">
      <c r="A3866" s="1">
        <v>1329</v>
      </c>
      <c r="B3866" s="1">
        <v>3</v>
      </c>
      <c r="C3866" s="1">
        <v>55</v>
      </c>
      <c r="D3866" s="1">
        <v>1</v>
      </c>
      <c r="E3866" s="1">
        <v>2699.99</v>
      </c>
      <c r="F3866" s="1">
        <v>0.07</v>
      </c>
      <c r="G3866">
        <f t="shared" si="60"/>
        <v>2699.92</v>
      </c>
      <c r="H3866" t="str">
        <f>VLOOKUP(C3866,[1]products!$A:$B,2,FALSE)</f>
        <v>Trek Domane S 6 - 2017</v>
      </c>
      <c r="I3866">
        <f>VLOOKUP(C3866,[1]products!$A:$D,4,FALSE)</f>
        <v>7</v>
      </c>
      <c r="J3866" t="str">
        <f>VLOOKUP(I3866,[2]categories!$A$1:$B$8,2,FALSE)</f>
        <v>Road Bikes</v>
      </c>
    </row>
    <row r="3867" customHeight="1" spans="1:10">
      <c r="A3867" s="1">
        <v>1329</v>
      </c>
      <c r="B3867" s="1">
        <v>4</v>
      </c>
      <c r="C3867" s="1">
        <v>283</v>
      </c>
      <c r="D3867" s="1">
        <v>2</v>
      </c>
      <c r="E3867" s="1">
        <v>319.99</v>
      </c>
      <c r="F3867" s="1">
        <v>0.2</v>
      </c>
      <c r="G3867">
        <f t="shared" si="60"/>
        <v>639.78</v>
      </c>
      <c r="H3867" t="str">
        <f>VLOOKUP(C3867,[1]products!$A:$B,2,FALSE)</f>
        <v>Electra Heartchya 1 (20-inch) - Girl's - 2018</v>
      </c>
      <c r="I3867">
        <f>VLOOKUP(C3867,[1]products!$A:$D,4,FALSE)</f>
        <v>1</v>
      </c>
      <c r="J3867" t="str">
        <f>VLOOKUP(I3867,[2]categories!$A$1:$B$8,2,FALSE)</f>
        <v>Children Bicycles</v>
      </c>
    </row>
    <row r="3868" customHeight="1" spans="1:10">
      <c r="A3868" s="1">
        <v>1329</v>
      </c>
      <c r="B3868" s="1">
        <v>5</v>
      </c>
      <c r="C3868" s="1">
        <v>13</v>
      </c>
      <c r="D3868" s="1">
        <v>1</v>
      </c>
      <c r="E3868" s="1">
        <v>269.99</v>
      </c>
      <c r="F3868" s="1">
        <v>0.1</v>
      </c>
      <c r="G3868">
        <f t="shared" si="60"/>
        <v>269.89</v>
      </c>
      <c r="H3868" t="str">
        <f>VLOOKUP(C3868,[1]products!$A:$B,2,FALSE)</f>
        <v>Electra Cruiser 1 (24-Inch) - 2016</v>
      </c>
      <c r="I3868">
        <f>VLOOKUP(C3868,[1]products!$A:$D,4,FALSE)</f>
        <v>3</v>
      </c>
      <c r="J3868" t="str">
        <f>VLOOKUP(I3868,[2]categories!$A$1:$B$8,2,FALSE)</f>
        <v>Cruisers Bicycles</v>
      </c>
    </row>
    <row r="3869" customHeight="1" spans="1:10">
      <c r="A3869" s="1">
        <v>1330</v>
      </c>
      <c r="B3869" s="1">
        <v>1</v>
      </c>
      <c r="C3869" s="1">
        <v>232</v>
      </c>
      <c r="D3869" s="1">
        <v>1</v>
      </c>
      <c r="E3869" s="1">
        <v>479.99</v>
      </c>
      <c r="F3869" s="1">
        <v>0.2</v>
      </c>
      <c r="G3869">
        <f t="shared" si="60"/>
        <v>479.79</v>
      </c>
      <c r="H3869" t="str">
        <f>VLOOKUP(C3869,[1]products!$A:$B,2,FALSE)</f>
        <v>Electra Cruiser Lux 7D Ladies' - 2018</v>
      </c>
      <c r="I3869">
        <f>VLOOKUP(C3869,[1]products!$A:$D,4,FALSE)</f>
        <v>3</v>
      </c>
      <c r="J3869" t="str">
        <f>VLOOKUP(I3869,[2]categories!$A$1:$B$8,2,FALSE)</f>
        <v>Cruisers Bicycles</v>
      </c>
    </row>
    <row r="3870" customHeight="1" spans="1:10">
      <c r="A3870" s="1">
        <v>1330</v>
      </c>
      <c r="B3870" s="1">
        <v>2</v>
      </c>
      <c r="C3870" s="1">
        <v>243</v>
      </c>
      <c r="D3870" s="1">
        <v>2</v>
      </c>
      <c r="E3870" s="1">
        <v>679.99</v>
      </c>
      <c r="F3870" s="1">
        <v>0.05</v>
      </c>
      <c r="G3870">
        <f t="shared" si="60"/>
        <v>1359.93</v>
      </c>
      <c r="H3870" t="str">
        <f>VLOOKUP(C3870,[1]products!$A:$B,2,FALSE)</f>
        <v>Electra Townie Original 21D EQ Ladies' - 2018</v>
      </c>
      <c r="I3870">
        <f>VLOOKUP(C3870,[1]products!$A:$D,4,FALSE)</f>
        <v>3</v>
      </c>
      <c r="J3870" t="str">
        <f>VLOOKUP(I3870,[2]categories!$A$1:$B$8,2,FALSE)</f>
        <v>Cruisers Bicycles</v>
      </c>
    </row>
    <row r="3871" customHeight="1" spans="1:10">
      <c r="A3871" s="1">
        <v>1330</v>
      </c>
      <c r="B3871" s="1">
        <v>3</v>
      </c>
      <c r="C3871" s="1">
        <v>230</v>
      </c>
      <c r="D3871" s="1">
        <v>2</v>
      </c>
      <c r="E3871" s="1">
        <v>429.99</v>
      </c>
      <c r="F3871" s="1">
        <v>0.2</v>
      </c>
      <c r="G3871">
        <f t="shared" si="60"/>
        <v>859.78</v>
      </c>
      <c r="H3871" t="str">
        <f>VLOOKUP(C3871,[1]products!$A:$B,2,FALSE)</f>
        <v>Electra Cruiser Lux 1 Ladies' - 2018</v>
      </c>
      <c r="I3871">
        <f>VLOOKUP(C3871,[1]products!$A:$D,4,FALSE)</f>
        <v>3</v>
      </c>
      <c r="J3871" t="str">
        <f>VLOOKUP(I3871,[2]categories!$A$1:$B$8,2,FALSE)</f>
        <v>Cruisers Bicycles</v>
      </c>
    </row>
    <row r="3872" customHeight="1" spans="1:10">
      <c r="A3872" s="1">
        <v>1330</v>
      </c>
      <c r="B3872" s="1">
        <v>4</v>
      </c>
      <c r="C3872" s="1">
        <v>102</v>
      </c>
      <c r="D3872" s="1">
        <v>2</v>
      </c>
      <c r="E3872" s="1">
        <v>489.99</v>
      </c>
      <c r="F3872" s="1">
        <v>0.05</v>
      </c>
      <c r="G3872">
        <f t="shared" si="60"/>
        <v>979.93</v>
      </c>
      <c r="H3872" t="str">
        <f>VLOOKUP(C3872,[1]products!$A:$B,2,FALSE)</f>
        <v>Electra Townie Original 7D - 2017</v>
      </c>
      <c r="I3872">
        <f>VLOOKUP(C3872,[1]products!$A:$D,4,FALSE)</f>
        <v>2</v>
      </c>
      <c r="J3872" t="str">
        <f>VLOOKUP(I3872,[2]categories!$A$1:$B$8,2,FALSE)</f>
        <v>Comfort Bicycles</v>
      </c>
    </row>
    <row r="3873" customHeight="1" spans="1:10">
      <c r="A3873" s="1">
        <v>1330</v>
      </c>
      <c r="B3873" s="1">
        <v>5</v>
      </c>
      <c r="C3873" s="1">
        <v>282</v>
      </c>
      <c r="D3873" s="1">
        <v>1</v>
      </c>
      <c r="E3873" s="1">
        <v>279.99</v>
      </c>
      <c r="F3873" s="1">
        <v>0.1</v>
      </c>
      <c r="G3873">
        <f t="shared" si="60"/>
        <v>279.89</v>
      </c>
      <c r="H3873" t="str">
        <f>VLOOKUP(C3873,[1]products!$A:$B,2,FALSE)</f>
        <v>Electra Cyclosaurus 1 (16-inch) - Boy's - 2018</v>
      </c>
      <c r="I3873">
        <f>VLOOKUP(C3873,[1]products!$A:$D,4,FALSE)</f>
        <v>1</v>
      </c>
      <c r="J3873" t="str">
        <f>VLOOKUP(I3873,[2]categories!$A$1:$B$8,2,FALSE)</f>
        <v>Children Bicycles</v>
      </c>
    </row>
    <row r="3874" customHeight="1" spans="1:10">
      <c r="A3874" s="1">
        <v>1331</v>
      </c>
      <c r="B3874" s="1">
        <v>1</v>
      </c>
      <c r="C3874" s="1">
        <v>253</v>
      </c>
      <c r="D3874" s="1">
        <v>1</v>
      </c>
      <c r="E3874" s="1">
        <v>2599.99</v>
      </c>
      <c r="F3874" s="1">
        <v>0.05</v>
      </c>
      <c r="G3874">
        <f t="shared" si="60"/>
        <v>2599.94</v>
      </c>
      <c r="H3874" t="str">
        <f>VLOOKUP(C3874,[1]products!$A:$B,2,FALSE)</f>
        <v>Electra Townie Go! 8i Ladies' - 2018</v>
      </c>
      <c r="I3874">
        <f>VLOOKUP(C3874,[1]products!$A:$D,4,FALSE)</f>
        <v>3</v>
      </c>
      <c r="J3874" t="str">
        <f>VLOOKUP(I3874,[2]categories!$A$1:$B$8,2,FALSE)</f>
        <v>Cruisers Bicycles</v>
      </c>
    </row>
    <row r="3875" customHeight="1" spans="1:10">
      <c r="A3875" s="1">
        <v>1331</v>
      </c>
      <c r="B3875" s="1">
        <v>2</v>
      </c>
      <c r="C3875" s="1">
        <v>290</v>
      </c>
      <c r="D3875" s="1">
        <v>1</v>
      </c>
      <c r="E3875" s="1">
        <v>369.99</v>
      </c>
      <c r="F3875" s="1">
        <v>0.05</v>
      </c>
      <c r="G3875">
        <f t="shared" si="60"/>
        <v>369.94</v>
      </c>
      <c r="H3875" t="str">
        <f>VLOOKUP(C3875,[1]products!$A:$B,2,FALSE)</f>
        <v>Electra Superbolt 3i 20" - 2018</v>
      </c>
      <c r="I3875">
        <f>VLOOKUP(C3875,[1]products!$A:$D,4,FALSE)</f>
        <v>1</v>
      </c>
      <c r="J3875" t="str">
        <f>VLOOKUP(I3875,[2]categories!$A$1:$B$8,2,FALSE)</f>
        <v>Children Bicycles</v>
      </c>
    </row>
    <row r="3876" customHeight="1" spans="1:10">
      <c r="A3876" s="1">
        <v>1331</v>
      </c>
      <c r="B3876" s="1">
        <v>3</v>
      </c>
      <c r="C3876" s="1">
        <v>145</v>
      </c>
      <c r="D3876" s="1">
        <v>2</v>
      </c>
      <c r="E3876" s="1">
        <v>1799.99</v>
      </c>
      <c r="F3876" s="1">
        <v>0.1</v>
      </c>
      <c r="G3876">
        <f t="shared" si="60"/>
        <v>3599.88</v>
      </c>
      <c r="H3876" t="str">
        <f>VLOOKUP(C3876,[1]products!$A:$B,2,FALSE)</f>
        <v>Trek Domane ALR 5 Disc - 2018</v>
      </c>
      <c r="I3876">
        <f>VLOOKUP(C3876,[1]products!$A:$D,4,FALSE)</f>
        <v>7</v>
      </c>
      <c r="J3876" t="str">
        <f>VLOOKUP(I3876,[2]categories!$A$1:$B$8,2,FALSE)</f>
        <v>Road Bikes</v>
      </c>
    </row>
    <row r="3877" customHeight="1" spans="1:10">
      <c r="A3877" s="1">
        <v>1331</v>
      </c>
      <c r="B3877" s="1">
        <v>4</v>
      </c>
      <c r="C3877" s="1">
        <v>300</v>
      </c>
      <c r="D3877" s="1">
        <v>1</v>
      </c>
      <c r="E3877" s="1">
        <v>799.99</v>
      </c>
      <c r="F3877" s="1">
        <v>0.2</v>
      </c>
      <c r="G3877">
        <f t="shared" si="60"/>
        <v>799.79</v>
      </c>
      <c r="H3877" t="str">
        <f>VLOOKUP(C3877,[1]products!$A:$B,2,FALSE)</f>
        <v>Electra Townie Balloon 3i EQ Ladies' - 2018</v>
      </c>
      <c r="I3877">
        <f>VLOOKUP(C3877,[1]products!$A:$D,4,FALSE)</f>
        <v>2</v>
      </c>
      <c r="J3877" t="str">
        <f>VLOOKUP(I3877,[2]categories!$A$1:$B$8,2,FALSE)</f>
        <v>Comfort Bicycles</v>
      </c>
    </row>
    <row r="3878" customHeight="1" spans="1:10">
      <c r="A3878" s="1">
        <v>1332</v>
      </c>
      <c r="B3878" s="1">
        <v>1</v>
      </c>
      <c r="C3878" s="1">
        <v>296</v>
      </c>
      <c r="D3878" s="1">
        <v>1</v>
      </c>
      <c r="E3878" s="1">
        <v>369.99</v>
      </c>
      <c r="F3878" s="1">
        <v>0.2</v>
      </c>
      <c r="G3878">
        <f t="shared" si="60"/>
        <v>369.79</v>
      </c>
      <c r="H3878" t="str">
        <f>VLOOKUP(C3878,[1]products!$A:$B,2,FALSE)</f>
        <v>Electra Treasure 3i 20" - 2018</v>
      </c>
      <c r="I3878">
        <f>VLOOKUP(C3878,[1]products!$A:$D,4,FALSE)</f>
        <v>1</v>
      </c>
      <c r="J3878" t="str">
        <f>VLOOKUP(I3878,[2]categories!$A$1:$B$8,2,FALSE)</f>
        <v>Children Bicycles</v>
      </c>
    </row>
    <row r="3879" customHeight="1" spans="1:10">
      <c r="A3879" s="1">
        <v>1332</v>
      </c>
      <c r="B3879" s="1">
        <v>2</v>
      </c>
      <c r="C3879" s="1">
        <v>93</v>
      </c>
      <c r="D3879" s="1">
        <v>2</v>
      </c>
      <c r="E3879" s="1">
        <v>209.99</v>
      </c>
      <c r="F3879" s="1">
        <v>0.05</v>
      </c>
      <c r="G3879">
        <f t="shared" si="60"/>
        <v>419.93</v>
      </c>
      <c r="H3879" t="str">
        <f>VLOOKUP(C3879,[1]products!$A:$B,2,FALSE)</f>
        <v>Haro Shredder 20 Girls - 2017</v>
      </c>
      <c r="I3879">
        <f>VLOOKUP(C3879,[1]products!$A:$D,4,FALSE)</f>
        <v>1</v>
      </c>
      <c r="J3879" t="str">
        <f>VLOOKUP(I3879,[2]categories!$A$1:$B$8,2,FALSE)</f>
        <v>Children Bicycles</v>
      </c>
    </row>
    <row r="3880" customHeight="1" spans="1:10">
      <c r="A3880" s="1">
        <v>1332</v>
      </c>
      <c r="B3880" s="1">
        <v>3</v>
      </c>
      <c r="C3880" s="1">
        <v>179</v>
      </c>
      <c r="D3880" s="1">
        <v>2</v>
      </c>
      <c r="E3880" s="1">
        <v>919.99</v>
      </c>
      <c r="F3880" s="1">
        <v>0.07</v>
      </c>
      <c r="G3880">
        <f t="shared" si="60"/>
        <v>1839.91</v>
      </c>
      <c r="H3880" t="str">
        <f>VLOOKUP(C3880,[1]products!$A:$B,2,FALSE)</f>
        <v>Trek Domane AL 3 - 2018</v>
      </c>
      <c r="I3880">
        <f>VLOOKUP(C3880,[1]products!$A:$D,4,FALSE)</f>
        <v>7</v>
      </c>
      <c r="J3880" t="str">
        <f>VLOOKUP(I3880,[2]categories!$A$1:$B$8,2,FALSE)</f>
        <v>Road Bikes</v>
      </c>
    </row>
    <row r="3881" customHeight="1" spans="1:10">
      <c r="A3881" s="1">
        <v>1332</v>
      </c>
      <c r="B3881" s="1">
        <v>4</v>
      </c>
      <c r="C3881" s="1">
        <v>298</v>
      </c>
      <c r="D3881" s="1">
        <v>1</v>
      </c>
      <c r="E3881" s="1">
        <v>279.99</v>
      </c>
      <c r="F3881" s="1">
        <v>0.1</v>
      </c>
      <c r="G3881">
        <f t="shared" si="60"/>
        <v>279.89</v>
      </c>
      <c r="H3881" t="str">
        <f>VLOOKUP(C3881,[1]products!$A:$B,2,FALSE)</f>
        <v>Electra Water Lily 1 (16-inch) - Girl's - 2018</v>
      </c>
      <c r="I3881">
        <f>VLOOKUP(C3881,[1]products!$A:$D,4,FALSE)</f>
        <v>1</v>
      </c>
      <c r="J3881" t="str">
        <f>VLOOKUP(I3881,[2]categories!$A$1:$B$8,2,FALSE)</f>
        <v>Children Bicycles</v>
      </c>
    </row>
    <row r="3882" customHeight="1" spans="1:10">
      <c r="A3882" s="1">
        <v>1333</v>
      </c>
      <c r="B3882" s="1">
        <v>1</v>
      </c>
      <c r="C3882" s="1">
        <v>205</v>
      </c>
      <c r="D3882" s="1">
        <v>2</v>
      </c>
      <c r="E3882" s="1">
        <v>4999.99</v>
      </c>
      <c r="F3882" s="1">
        <v>0.05</v>
      </c>
      <c r="G3882">
        <f t="shared" si="60"/>
        <v>9999.93</v>
      </c>
      <c r="H3882" t="str">
        <f>VLOOKUP(C3882,[1]products!$A:$B,2,FALSE)</f>
        <v>Trek Super Commuter+ 8S - 2018</v>
      </c>
      <c r="I3882">
        <f>VLOOKUP(C3882,[1]products!$A:$D,4,FALSE)</f>
        <v>5</v>
      </c>
      <c r="J3882" t="str">
        <f>VLOOKUP(I3882,[2]categories!$A$1:$B$8,2,FALSE)</f>
        <v>Electric Bikes</v>
      </c>
    </row>
    <row r="3883" customHeight="1" spans="1:10">
      <c r="A3883" s="1">
        <v>1333</v>
      </c>
      <c r="B3883" s="1">
        <v>2</v>
      </c>
      <c r="C3883" s="1">
        <v>304</v>
      </c>
      <c r="D3883" s="1">
        <v>2</v>
      </c>
      <c r="E3883" s="1">
        <v>679.99</v>
      </c>
      <c r="F3883" s="1">
        <v>0.1</v>
      </c>
      <c r="G3883">
        <f t="shared" si="60"/>
        <v>1359.88</v>
      </c>
      <c r="H3883" t="str">
        <f>VLOOKUP(C3883,[1]products!$A:$B,2,FALSE)</f>
        <v>Electra Townie Original 21D EQ - 2017/2018</v>
      </c>
      <c r="I3883">
        <f>VLOOKUP(C3883,[1]products!$A:$D,4,FALSE)</f>
        <v>2</v>
      </c>
      <c r="J3883" t="str">
        <f>VLOOKUP(I3883,[2]categories!$A$1:$B$8,2,FALSE)</f>
        <v>Comfort Bicycles</v>
      </c>
    </row>
    <row r="3884" customHeight="1" spans="1:10">
      <c r="A3884" s="1">
        <v>1333</v>
      </c>
      <c r="B3884" s="1">
        <v>3</v>
      </c>
      <c r="C3884" s="1">
        <v>99</v>
      </c>
      <c r="D3884" s="1">
        <v>2</v>
      </c>
      <c r="E3884" s="1">
        <v>299.99</v>
      </c>
      <c r="F3884" s="1">
        <v>0.1</v>
      </c>
      <c r="G3884">
        <f t="shared" si="60"/>
        <v>599.88</v>
      </c>
      <c r="H3884" t="str">
        <f>VLOOKUP(C3884,[1]products!$A:$B,2,FALSE)</f>
        <v>Electra Sugar Skulls 1 (20-inch) - Girl's - 2017</v>
      </c>
      <c r="I3884">
        <f>VLOOKUP(C3884,[1]products!$A:$D,4,FALSE)</f>
        <v>1</v>
      </c>
      <c r="J3884" t="str">
        <f>VLOOKUP(I3884,[2]categories!$A$1:$B$8,2,FALSE)</f>
        <v>Children Bicycles</v>
      </c>
    </row>
    <row r="3885" customHeight="1" spans="1:10">
      <c r="A3885" s="1">
        <v>1333</v>
      </c>
      <c r="B3885" s="1">
        <v>4</v>
      </c>
      <c r="C3885" s="1">
        <v>12</v>
      </c>
      <c r="D3885" s="1">
        <v>1</v>
      </c>
      <c r="E3885" s="1">
        <v>549.99</v>
      </c>
      <c r="F3885" s="1">
        <v>0.05</v>
      </c>
      <c r="G3885">
        <f t="shared" si="60"/>
        <v>549.94</v>
      </c>
      <c r="H3885" t="str">
        <f>VLOOKUP(C3885,[1]products!$A:$B,2,FALSE)</f>
        <v>Electra Townie Original 21D - 2016</v>
      </c>
      <c r="I3885">
        <f>VLOOKUP(C3885,[1]products!$A:$D,4,FALSE)</f>
        <v>3</v>
      </c>
      <c r="J3885" t="str">
        <f>VLOOKUP(I3885,[2]categories!$A$1:$B$8,2,FALSE)</f>
        <v>Cruisers Bicycles</v>
      </c>
    </row>
    <row r="3886" customHeight="1" spans="1:10">
      <c r="A3886" s="1">
        <v>1333</v>
      </c>
      <c r="B3886" s="1">
        <v>5</v>
      </c>
      <c r="C3886" s="1">
        <v>78</v>
      </c>
      <c r="D3886" s="1">
        <v>1</v>
      </c>
      <c r="E3886" s="1">
        <v>647.99</v>
      </c>
      <c r="F3886" s="1">
        <v>0.1</v>
      </c>
      <c r="G3886">
        <f t="shared" si="60"/>
        <v>647.89</v>
      </c>
      <c r="H3886" t="str">
        <f>VLOOKUP(C3886,[1]products!$A:$B,2,FALSE)</f>
        <v>Sun Bicycles Biscayne Tandem CB - 2017</v>
      </c>
      <c r="I3886">
        <f>VLOOKUP(C3886,[1]products!$A:$D,4,FALSE)</f>
        <v>3</v>
      </c>
      <c r="J3886" t="str">
        <f>VLOOKUP(I3886,[2]categories!$A$1:$B$8,2,FALSE)</f>
        <v>Cruisers Bicycles</v>
      </c>
    </row>
    <row r="3887" customHeight="1" spans="1:10">
      <c r="A3887" s="1">
        <v>1334</v>
      </c>
      <c r="B3887" s="1">
        <v>1</v>
      </c>
      <c r="C3887" s="1">
        <v>203</v>
      </c>
      <c r="D3887" s="1">
        <v>2</v>
      </c>
      <c r="E3887" s="1">
        <v>4999.99</v>
      </c>
      <c r="F3887" s="1">
        <v>0.05</v>
      </c>
      <c r="G3887">
        <f t="shared" si="60"/>
        <v>9999.93</v>
      </c>
      <c r="H3887" t="str">
        <f>VLOOKUP(C3887,[1]products!$A:$B,2,FALSE)</f>
        <v>Trek Powerfly 7 FS - 2018</v>
      </c>
      <c r="I3887">
        <f>VLOOKUP(C3887,[1]products!$A:$D,4,FALSE)</f>
        <v>5</v>
      </c>
      <c r="J3887" t="str">
        <f>VLOOKUP(I3887,[2]categories!$A$1:$B$8,2,FALSE)</f>
        <v>Electric Bikes</v>
      </c>
    </row>
    <row r="3888" customHeight="1" spans="1:10">
      <c r="A3888" s="1">
        <v>1334</v>
      </c>
      <c r="B3888" s="1">
        <v>2</v>
      </c>
      <c r="C3888" s="1">
        <v>160</v>
      </c>
      <c r="D3888" s="1">
        <v>2</v>
      </c>
      <c r="E3888" s="1">
        <v>4499.99</v>
      </c>
      <c r="F3888" s="1">
        <v>0.07</v>
      </c>
      <c r="G3888">
        <f t="shared" si="60"/>
        <v>8999.91</v>
      </c>
      <c r="H3888" t="str">
        <f>VLOOKUP(C3888,[1]products!$A:$B,2,FALSE)</f>
        <v>Trek Emonda SLR 6 - 2018</v>
      </c>
      <c r="I3888">
        <f>VLOOKUP(C3888,[1]products!$A:$D,4,FALSE)</f>
        <v>7</v>
      </c>
      <c r="J3888" t="str">
        <f>VLOOKUP(I3888,[2]categories!$A$1:$B$8,2,FALSE)</f>
        <v>Road Bikes</v>
      </c>
    </row>
    <row r="3889" customHeight="1" spans="1:10">
      <c r="A3889" s="1">
        <v>1334</v>
      </c>
      <c r="B3889" s="1">
        <v>3</v>
      </c>
      <c r="C3889" s="1">
        <v>84</v>
      </c>
      <c r="D3889" s="1">
        <v>2</v>
      </c>
      <c r="E3889" s="1">
        <v>109.99</v>
      </c>
      <c r="F3889" s="1">
        <v>0.1</v>
      </c>
      <c r="G3889">
        <f t="shared" si="60"/>
        <v>219.88</v>
      </c>
      <c r="H3889" t="str">
        <f>VLOOKUP(C3889,[1]products!$A:$B,2,FALSE)</f>
        <v>Sun Bicycles Lil Kitt'n - 2017</v>
      </c>
      <c r="I3889">
        <f>VLOOKUP(C3889,[1]products!$A:$D,4,FALSE)</f>
        <v>1</v>
      </c>
      <c r="J3889" t="str">
        <f>VLOOKUP(I3889,[2]categories!$A$1:$B$8,2,FALSE)</f>
        <v>Children Bicycles</v>
      </c>
    </row>
    <row r="3890" customHeight="1" spans="1:10">
      <c r="A3890" s="1">
        <v>1334</v>
      </c>
      <c r="B3890" s="1">
        <v>4</v>
      </c>
      <c r="C3890" s="1">
        <v>13</v>
      </c>
      <c r="D3890" s="1">
        <v>1</v>
      </c>
      <c r="E3890" s="1">
        <v>269.99</v>
      </c>
      <c r="F3890" s="1">
        <v>0.05</v>
      </c>
      <c r="G3890">
        <f t="shared" si="60"/>
        <v>269.94</v>
      </c>
      <c r="H3890" t="str">
        <f>VLOOKUP(C3890,[1]products!$A:$B,2,FALSE)</f>
        <v>Electra Cruiser 1 (24-Inch) - 2016</v>
      </c>
      <c r="I3890">
        <f>VLOOKUP(C3890,[1]products!$A:$D,4,FALSE)</f>
        <v>3</v>
      </c>
      <c r="J3890" t="str">
        <f>VLOOKUP(I3890,[2]categories!$A$1:$B$8,2,FALSE)</f>
        <v>Cruisers Bicycles</v>
      </c>
    </row>
    <row r="3891" customHeight="1" spans="1:10">
      <c r="A3891" s="1">
        <v>1334</v>
      </c>
      <c r="B3891" s="1">
        <v>5</v>
      </c>
      <c r="C3891" s="1">
        <v>42</v>
      </c>
      <c r="D3891" s="1">
        <v>1</v>
      </c>
      <c r="E3891" s="1">
        <v>2299.99</v>
      </c>
      <c r="F3891" s="1">
        <v>0.05</v>
      </c>
      <c r="G3891">
        <f t="shared" si="60"/>
        <v>2299.94</v>
      </c>
      <c r="H3891" t="str">
        <f>VLOOKUP(C3891,[1]products!$A:$B,2,FALSE)</f>
        <v>Trek Fuel EX 5 27.5 Plus - 2017</v>
      </c>
      <c r="I3891">
        <f>VLOOKUP(C3891,[1]products!$A:$D,4,FALSE)</f>
        <v>6</v>
      </c>
      <c r="J3891" t="str">
        <f>VLOOKUP(I3891,[2]categories!$A$1:$B$8,2,FALSE)</f>
        <v>Mountain Bikes</v>
      </c>
    </row>
    <row r="3892" customHeight="1" spans="1:10">
      <c r="A3892" s="1">
        <v>1335</v>
      </c>
      <c r="B3892" s="1">
        <v>1</v>
      </c>
      <c r="C3892" s="1">
        <v>138</v>
      </c>
      <c r="D3892" s="1">
        <v>2</v>
      </c>
      <c r="E3892" s="1">
        <v>2249.99</v>
      </c>
      <c r="F3892" s="1">
        <v>0.05</v>
      </c>
      <c r="G3892">
        <f t="shared" si="60"/>
        <v>4499.93</v>
      </c>
      <c r="H3892" t="str">
        <f>VLOOKUP(C3892,[1]products!$A:$B,2,FALSE)</f>
        <v>Trek Fuel EX 5 Plus - 2018</v>
      </c>
      <c r="I3892">
        <f>VLOOKUP(C3892,[1]products!$A:$D,4,FALSE)</f>
        <v>6</v>
      </c>
      <c r="J3892" t="str">
        <f>VLOOKUP(I3892,[2]categories!$A$1:$B$8,2,FALSE)</f>
        <v>Mountain Bikes</v>
      </c>
    </row>
    <row r="3893" customHeight="1" spans="1:10">
      <c r="A3893" s="1">
        <v>1336</v>
      </c>
      <c r="B3893" s="1">
        <v>1</v>
      </c>
      <c r="C3893" s="1">
        <v>29</v>
      </c>
      <c r="D3893" s="1">
        <v>2</v>
      </c>
      <c r="E3893" s="1">
        <v>999.99</v>
      </c>
      <c r="F3893" s="1">
        <v>0.2</v>
      </c>
      <c r="G3893">
        <f t="shared" si="60"/>
        <v>1999.78</v>
      </c>
      <c r="H3893" t="str">
        <f>VLOOKUP(C3893,[1]products!$A:$B,2,FALSE)</f>
        <v>Trek X-Caliber 8 - 2017</v>
      </c>
      <c r="I3893">
        <f>VLOOKUP(C3893,[1]products!$A:$D,4,FALSE)</f>
        <v>6</v>
      </c>
      <c r="J3893" t="str">
        <f>VLOOKUP(I3893,[2]categories!$A$1:$B$8,2,FALSE)</f>
        <v>Mountain Bikes</v>
      </c>
    </row>
    <row r="3894" customHeight="1" spans="1:10">
      <c r="A3894" s="1">
        <v>1336</v>
      </c>
      <c r="B3894" s="1">
        <v>2</v>
      </c>
      <c r="C3894" s="1">
        <v>157</v>
      </c>
      <c r="D3894" s="1">
        <v>1</v>
      </c>
      <c r="E3894" s="1">
        <v>6499.99</v>
      </c>
      <c r="F3894" s="1">
        <v>0.05</v>
      </c>
      <c r="G3894">
        <f t="shared" si="60"/>
        <v>6499.94</v>
      </c>
      <c r="H3894" t="str">
        <f>VLOOKUP(C3894,[1]products!$A:$B,2,FALSE)</f>
        <v>Trek Domane SL Frameset Women's - 2018</v>
      </c>
      <c r="I3894">
        <f>VLOOKUP(C3894,[1]products!$A:$D,4,FALSE)</f>
        <v>7</v>
      </c>
      <c r="J3894" t="str">
        <f>VLOOKUP(I3894,[2]categories!$A$1:$B$8,2,FALSE)</f>
        <v>Road Bikes</v>
      </c>
    </row>
    <row r="3895" customHeight="1" spans="1:10">
      <c r="A3895" s="1">
        <v>1336</v>
      </c>
      <c r="B3895" s="1">
        <v>3</v>
      </c>
      <c r="C3895" s="1">
        <v>21</v>
      </c>
      <c r="D3895" s="1">
        <v>2</v>
      </c>
      <c r="E3895" s="1">
        <v>269.99</v>
      </c>
      <c r="F3895" s="1">
        <v>0.07</v>
      </c>
      <c r="G3895">
        <f t="shared" si="60"/>
        <v>539.91</v>
      </c>
      <c r="H3895" t="str">
        <f>VLOOKUP(C3895,[1]products!$A:$B,2,FALSE)</f>
        <v>Electra Cruiser 1 (24-Inch) - 2016</v>
      </c>
      <c r="I3895">
        <f>VLOOKUP(C3895,[1]products!$A:$D,4,FALSE)</f>
        <v>1</v>
      </c>
      <c r="J3895" t="str">
        <f>VLOOKUP(I3895,[2]categories!$A$1:$B$8,2,FALSE)</f>
        <v>Children Bicycles</v>
      </c>
    </row>
    <row r="3896" customHeight="1" spans="1:10">
      <c r="A3896" s="1">
        <v>1336</v>
      </c>
      <c r="B3896" s="1">
        <v>4</v>
      </c>
      <c r="C3896" s="1">
        <v>207</v>
      </c>
      <c r="D3896" s="1">
        <v>1</v>
      </c>
      <c r="E3896" s="1">
        <v>3999.99</v>
      </c>
      <c r="F3896" s="1">
        <v>0.1</v>
      </c>
      <c r="G3896">
        <f t="shared" si="60"/>
        <v>3999.89</v>
      </c>
      <c r="H3896" t="str">
        <f>VLOOKUP(C3896,[1]products!$A:$B,2,FALSE)</f>
        <v>Trek Boone 7 Disc - 2018</v>
      </c>
      <c r="I3896">
        <f>VLOOKUP(C3896,[1]products!$A:$D,4,FALSE)</f>
        <v>4</v>
      </c>
      <c r="J3896" t="str">
        <f>VLOOKUP(I3896,[2]categories!$A$1:$B$8,2,FALSE)</f>
        <v>Cyclocross Bicycles</v>
      </c>
    </row>
    <row r="3897" customHeight="1" spans="1:10">
      <c r="A3897" s="1">
        <v>1336</v>
      </c>
      <c r="B3897" s="1">
        <v>5</v>
      </c>
      <c r="C3897" s="1">
        <v>185</v>
      </c>
      <c r="D3897" s="1">
        <v>1</v>
      </c>
      <c r="E3897" s="1">
        <v>2799.99</v>
      </c>
      <c r="F3897" s="1">
        <v>0.1</v>
      </c>
      <c r="G3897">
        <f t="shared" si="60"/>
        <v>2799.89</v>
      </c>
      <c r="H3897" t="str">
        <f>VLOOKUP(C3897,[1]products!$A:$B,2,FALSE)</f>
        <v>Trek Conduit+ - 2018</v>
      </c>
      <c r="I3897">
        <f>VLOOKUP(C3897,[1]products!$A:$D,4,FALSE)</f>
        <v>5</v>
      </c>
      <c r="J3897" t="str">
        <f>VLOOKUP(I3897,[2]categories!$A$1:$B$8,2,FALSE)</f>
        <v>Electric Bikes</v>
      </c>
    </row>
    <row r="3898" customHeight="1" spans="1:10">
      <c r="A3898" s="1">
        <v>1337</v>
      </c>
      <c r="B3898" s="1">
        <v>1</v>
      </c>
      <c r="C3898" s="1">
        <v>153</v>
      </c>
      <c r="D3898" s="1">
        <v>1</v>
      </c>
      <c r="E3898" s="1">
        <v>4999.99</v>
      </c>
      <c r="F3898" s="1">
        <v>0.1</v>
      </c>
      <c r="G3898">
        <f t="shared" si="60"/>
        <v>4999.89</v>
      </c>
      <c r="H3898" t="str">
        <f>VLOOKUP(C3898,[1]products!$A:$B,2,FALSE)</f>
        <v>Trek Domane SL 7 Women's - 2018</v>
      </c>
      <c r="I3898">
        <f>VLOOKUP(C3898,[1]products!$A:$D,4,FALSE)</f>
        <v>7</v>
      </c>
      <c r="J3898" t="str">
        <f>VLOOKUP(I3898,[2]categories!$A$1:$B$8,2,FALSE)</f>
        <v>Road Bikes</v>
      </c>
    </row>
    <row r="3899" customHeight="1" spans="1:10">
      <c r="A3899" s="1">
        <v>1338</v>
      </c>
      <c r="B3899" s="1">
        <v>1</v>
      </c>
      <c r="C3899" s="1">
        <v>169</v>
      </c>
      <c r="D3899" s="1">
        <v>2</v>
      </c>
      <c r="E3899" s="1">
        <v>6499.99</v>
      </c>
      <c r="F3899" s="1">
        <v>0.07</v>
      </c>
      <c r="G3899">
        <f t="shared" si="60"/>
        <v>12999.91</v>
      </c>
      <c r="H3899" t="str">
        <f>VLOOKUP(C3899,[1]products!$A:$B,2,FALSE)</f>
        <v>Trek Emonda SLR 8 - 2018</v>
      </c>
      <c r="I3899">
        <f>VLOOKUP(C3899,[1]products!$A:$D,4,FALSE)</f>
        <v>7</v>
      </c>
      <c r="J3899" t="str">
        <f>VLOOKUP(I3899,[2]categories!$A$1:$B$8,2,FALSE)</f>
        <v>Road Bikes</v>
      </c>
    </row>
    <row r="3900" customHeight="1" spans="1:10">
      <c r="A3900" s="1">
        <v>1339</v>
      </c>
      <c r="B3900" s="1">
        <v>1</v>
      </c>
      <c r="C3900" s="1">
        <v>175</v>
      </c>
      <c r="D3900" s="1">
        <v>1</v>
      </c>
      <c r="E3900" s="1">
        <v>3199.99</v>
      </c>
      <c r="F3900" s="1">
        <v>0.07</v>
      </c>
      <c r="G3900">
        <f t="shared" si="60"/>
        <v>3199.92</v>
      </c>
      <c r="H3900" t="str">
        <f>VLOOKUP(C3900,[1]products!$A:$B,2,FALSE)</f>
        <v>Trek Domane SLR Frameset - 2018</v>
      </c>
      <c r="I3900">
        <f>VLOOKUP(C3900,[1]products!$A:$D,4,FALSE)</f>
        <v>7</v>
      </c>
      <c r="J3900" t="str">
        <f>VLOOKUP(I3900,[2]categories!$A$1:$B$8,2,FALSE)</f>
        <v>Road Bikes</v>
      </c>
    </row>
    <row r="3901" customHeight="1" spans="1:10">
      <c r="A3901" s="1">
        <v>1340</v>
      </c>
      <c r="B3901" s="1">
        <v>1</v>
      </c>
      <c r="C3901" s="1">
        <v>253</v>
      </c>
      <c r="D3901" s="1">
        <v>1</v>
      </c>
      <c r="E3901" s="1">
        <v>2599.99</v>
      </c>
      <c r="F3901" s="1">
        <v>0.2</v>
      </c>
      <c r="G3901">
        <f t="shared" si="60"/>
        <v>2599.79</v>
      </c>
      <c r="H3901" t="str">
        <f>VLOOKUP(C3901,[1]products!$A:$B,2,FALSE)</f>
        <v>Electra Townie Go! 8i Ladies' - 2018</v>
      </c>
      <c r="I3901">
        <f>VLOOKUP(C3901,[1]products!$A:$D,4,FALSE)</f>
        <v>3</v>
      </c>
      <c r="J3901" t="str">
        <f>VLOOKUP(I3901,[2]categories!$A$1:$B$8,2,FALSE)</f>
        <v>Cruisers Bicycles</v>
      </c>
    </row>
    <row r="3902" customHeight="1" spans="1:10">
      <c r="A3902" s="1">
        <v>1340</v>
      </c>
      <c r="B3902" s="1">
        <v>2</v>
      </c>
      <c r="C3902" s="1">
        <v>92</v>
      </c>
      <c r="D3902" s="1">
        <v>2</v>
      </c>
      <c r="E3902" s="1">
        <v>209.99</v>
      </c>
      <c r="F3902" s="1">
        <v>0.2</v>
      </c>
      <c r="G3902">
        <f t="shared" si="60"/>
        <v>419.78</v>
      </c>
      <c r="H3902" t="str">
        <f>VLOOKUP(C3902,[1]products!$A:$B,2,FALSE)</f>
        <v>Haro Shredder 20 - 2017</v>
      </c>
      <c r="I3902">
        <f>VLOOKUP(C3902,[1]products!$A:$D,4,FALSE)</f>
        <v>1</v>
      </c>
      <c r="J3902" t="str">
        <f>VLOOKUP(I3902,[2]categories!$A$1:$B$8,2,FALSE)</f>
        <v>Children Bicycles</v>
      </c>
    </row>
    <row r="3903" customHeight="1" spans="1:10">
      <c r="A3903" s="1">
        <v>1340</v>
      </c>
      <c r="B3903" s="1">
        <v>3</v>
      </c>
      <c r="C3903" s="1">
        <v>237</v>
      </c>
      <c r="D3903" s="1">
        <v>2</v>
      </c>
      <c r="E3903" s="1">
        <v>849.99</v>
      </c>
      <c r="F3903" s="1">
        <v>0.05</v>
      </c>
      <c r="G3903">
        <f t="shared" si="60"/>
        <v>1699.93</v>
      </c>
      <c r="H3903" t="str">
        <f>VLOOKUP(C3903,[1]products!$A:$B,2,FALSE)</f>
        <v>Electra Relic 3i - 2018</v>
      </c>
      <c r="I3903">
        <f>VLOOKUP(C3903,[1]products!$A:$D,4,FALSE)</f>
        <v>3</v>
      </c>
      <c r="J3903" t="str">
        <f>VLOOKUP(I3903,[2]categories!$A$1:$B$8,2,FALSE)</f>
        <v>Cruisers Bicycles</v>
      </c>
    </row>
    <row r="3904" customHeight="1" spans="1:10">
      <c r="A3904" s="1">
        <v>1341</v>
      </c>
      <c r="B3904" s="1">
        <v>1</v>
      </c>
      <c r="C3904" s="1">
        <v>215</v>
      </c>
      <c r="D3904" s="1">
        <v>2</v>
      </c>
      <c r="E3904" s="1">
        <v>749.99</v>
      </c>
      <c r="F3904" s="1">
        <v>0.07</v>
      </c>
      <c r="G3904">
        <f t="shared" si="60"/>
        <v>1499.91</v>
      </c>
      <c r="H3904" t="str">
        <f>VLOOKUP(C3904,[1]products!$A:$B,2,FALSE)</f>
        <v>Electra Queen of Hearts 3i - 2018</v>
      </c>
      <c r="I3904">
        <f>VLOOKUP(C3904,[1]products!$A:$D,4,FALSE)</f>
        <v>3</v>
      </c>
      <c r="J3904" t="str">
        <f>VLOOKUP(I3904,[2]categories!$A$1:$B$8,2,FALSE)</f>
        <v>Cruisers Bicycles</v>
      </c>
    </row>
    <row r="3905" customHeight="1" spans="1:10">
      <c r="A3905" s="1">
        <v>1341</v>
      </c>
      <c r="B3905" s="1">
        <v>2</v>
      </c>
      <c r="C3905" s="1">
        <v>56</v>
      </c>
      <c r="D3905" s="1">
        <v>2</v>
      </c>
      <c r="E3905" s="1">
        <v>5499.99</v>
      </c>
      <c r="F3905" s="1">
        <v>0.2</v>
      </c>
      <c r="G3905">
        <f t="shared" si="60"/>
        <v>10999.78</v>
      </c>
      <c r="H3905" t="str">
        <f>VLOOKUP(C3905,[1]products!$A:$B,2,FALSE)</f>
        <v>Trek Domane SLR 6 Disc - 2017</v>
      </c>
      <c r="I3905">
        <f>VLOOKUP(C3905,[1]products!$A:$D,4,FALSE)</f>
        <v>7</v>
      </c>
      <c r="J3905" t="str">
        <f>VLOOKUP(I3905,[2]categories!$A$1:$B$8,2,FALSE)</f>
        <v>Road Bikes</v>
      </c>
    </row>
    <row r="3906" customHeight="1" spans="1:10">
      <c r="A3906" s="1">
        <v>1341</v>
      </c>
      <c r="B3906" s="1">
        <v>3</v>
      </c>
      <c r="C3906" s="1">
        <v>234</v>
      </c>
      <c r="D3906" s="1">
        <v>2</v>
      </c>
      <c r="E3906" s="1">
        <v>899.99</v>
      </c>
      <c r="F3906" s="1">
        <v>0.05</v>
      </c>
      <c r="G3906">
        <f t="shared" si="60"/>
        <v>1799.93</v>
      </c>
      <c r="H3906" t="str">
        <f>VLOOKUP(C3906,[1]products!$A:$B,2,FALSE)</f>
        <v>Electra Daydreamer 3i Ladies' - 2018</v>
      </c>
      <c r="I3906">
        <f>VLOOKUP(C3906,[1]products!$A:$D,4,FALSE)</f>
        <v>3</v>
      </c>
      <c r="J3906" t="str">
        <f>VLOOKUP(I3906,[2]categories!$A$1:$B$8,2,FALSE)</f>
        <v>Cruisers Bicycles</v>
      </c>
    </row>
    <row r="3907" customHeight="1" spans="1:10">
      <c r="A3907" s="1">
        <v>1341</v>
      </c>
      <c r="B3907" s="1">
        <v>4</v>
      </c>
      <c r="C3907" s="1">
        <v>66</v>
      </c>
      <c r="D3907" s="1">
        <v>2</v>
      </c>
      <c r="E3907" s="1">
        <v>250.99</v>
      </c>
      <c r="F3907" s="1">
        <v>0.05</v>
      </c>
      <c r="G3907">
        <f t="shared" ref="G3907:G3970" si="61">(E3907*D3907)-F3907</f>
        <v>501.93</v>
      </c>
      <c r="H3907" t="str">
        <f>VLOOKUP(C3907,[1]products!$A:$B,2,FALSE)</f>
        <v>Sun Bicycles Revolutions 24 - 2017</v>
      </c>
      <c r="I3907">
        <f>VLOOKUP(C3907,[1]products!$A:$D,4,FALSE)</f>
        <v>3</v>
      </c>
      <c r="J3907" t="str">
        <f>VLOOKUP(I3907,[2]categories!$A$1:$B$8,2,FALSE)</f>
        <v>Cruisers Bicycles</v>
      </c>
    </row>
    <row r="3908" customHeight="1" spans="1:10">
      <c r="A3908" s="1">
        <v>1342</v>
      </c>
      <c r="B3908" s="1">
        <v>1</v>
      </c>
      <c r="C3908" s="1">
        <v>60</v>
      </c>
      <c r="D3908" s="1">
        <v>1</v>
      </c>
      <c r="E3908" s="1">
        <v>1559.99</v>
      </c>
      <c r="F3908" s="1">
        <v>0.05</v>
      </c>
      <c r="G3908">
        <f t="shared" si="61"/>
        <v>1559.94</v>
      </c>
      <c r="H3908" t="str">
        <f>VLOOKUP(C3908,[1]products!$A:$B,2,FALSE)</f>
        <v>Sun Bicycles ElectroLite - 2017</v>
      </c>
      <c r="I3908">
        <f>VLOOKUP(C3908,[1]products!$A:$D,4,FALSE)</f>
        <v>5</v>
      </c>
      <c r="J3908" t="str">
        <f>VLOOKUP(I3908,[2]categories!$A$1:$B$8,2,FALSE)</f>
        <v>Electric Bikes</v>
      </c>
    </row>
    <row r="3909" customHeight="1" spans="1:10">
      <c r="A3909" s="1">
        <v>1342</v>
      </c>
      <c r="B3909" s="1">
        <v>2</v>
      </c>
      <c r="C3909" s="1">
        <v>270</v>
      </c>
      <c r="D3909" s="1">
        <v>1</v>
      </c>
      <c r="E3909" s="1">
        <v>209.99</v>
      </c>
      <c r="F3909" s="1">
        <v>0.05</v>
      </c>
      <c r="G3909">
        <f t="shared" si="61"/>
        <v>209.94</v>
      </c>
      <c r="H3909" t="str">
        <f>VLOOKUP(C3909,[1]products!$A:$B,2,FALSE)</f>
        <v>Trek Precaliber 16 Boy's - 2018</v>
      </c>
      <c r="I3909">
        <f>VLOOKUP(C3909,[1]products!$A:$D,4,FALSE)</f>
        <v>1</v>
      </c>
      <c r="J3909" t="str">
        <f>VLOOKUP(I3909,[2]categories!$A$1:$B$8,2,FALSE)</f>
        <v>Children Bicycles</v>
      </c>
    </row>
    <row r="3910" customHeight="1" spans="1:10">
      <c r="A3910" s="1">
        <v>1343</v>
      </c>
      <c r="B3910" s="1">
        <v>1</v>
      </c>
      <c r="C3910" s="1">
        <v>244</v>
      </c>
      <c r="D3910" s="1">
        <v>1</v>
      </c>
      <c r="E3910" s="1">
        <v>559.99</v>
      </c>
      <c r="F3910" s="1">
        <v>0.05</v>
      </c>
      <c r="G3910">
        <f t="shared" si="61"/>
        <v>559.94</v>
      </c>
      <c r="H3910" t="str">
        <f>VLOOKUP(C3910,[1]products!$A:$B,2,FALSE)</f>
        <v>Electra Townie Original 21D Ladies' - 2018</v>
      </c>
      <c r="I3910">
        <f>VLOOKUP(C3910,[1]products!$A:$D,4,FALSE)</f>
        <v>3</v>
      </c>
      <c r="J3910" t="str">
        <f>VLOOKUP(I3910,[2]categories!$A$1:$B$8,2,FALSE)</f>
        <v>Cruisers Bicycles</v>
      </c>
    </row>
    <row r="3911" customHeight="1" spans="1:10">
      <c r="A3911" s="1">
        <v>1343</v>
      </c>
      <c r="B3911" s="1">
        <v>2</v>
      </c>
      <c r="C3911" s="1">
        <v>99</v>
      </c>
      <c r="D3911" s="1">
        <v>1</v>
      </c>
      <c r="E3911" s="1">
        <v>299.99</v>
      </c>
      <c r="F3911" s="1">
        <v>0.05</v>
      </c>
      <c r="G3911">
        <f t="shared" si="61"/>
        <v>299.94</v>
      </c>
      <c r="H3911" t="str">
        <f>VLOOKUP(C3911,[1]products!$A:$B,2,FALSE)</f>
        <v>Electra Sugar Skulls 1 (20-inch) - Girl's - 2017</v>
      </c>
      <c r="I3911">
        <f>VLOOKUP(C3911,[1]products!$A:$D,4,FALSE)</f>
        <v>1</v>
      </c>
      <c r="J3911" t="str">
        <f>VLOOKUP(I3911,[2]categories!$A$1:$B$8,2,FALSE)</f>
        <v>Children Bicycles</v>
      </c>
    </row>
    <row r="3912" customHeight="1" spans="1:10">
      <c r="A3912" s="1">
        <v>1343</v>
      </c>
      <c r="B3912" s="1">
        <v>3</v>
      </c>
      <c r="C3912" s="1">
        <v>184</v>
      </c>
      <c r="D3912" s="1">
        <v>2</v>
      </c>
      <c r="E3912" s="1">
        <v>3499.99</v>
      </c>
      <c r="F3912" s="1">
        <v>0.2</v>
      </c>
      <c r="G3912">
        <f t="shared" si="61"/>
        <v>6999.78</v>
      </c>
      <c r="H3912" t="str">
        <f>VLOOKUP(C3912,[1]products!$A:$B,2,FALSE)</f>
        <v>Trek Domane SL 6 Disc - 2018</v>
      </c>
      <c r="I3912">
        <f>VLOOKUP(C3912,[1]products!$A:$D,4,FALSE)</f>
        <v>7</v>
      </c>
      <c r="J3912" t="str">
        <f>VLOOKUP(I3912,[2]categories!$A$1:$B$8,2,FALSE)</f>
        <v>Road Bikes</v>
      </c>
    </row>
    <row r="3913" customHeight="1" spans="1:10">
      <c r="A3913" s="1">
        <v>1343</v>
      </c>
      <c r="B3913" s="1">
        <v>4</v>
      </c>
      <c r="C3913" s="1">
        <v>65</v>
      </c>
      <c r="D3913" s="1">
        <v>2</v>
      </c>
      <c r="E3913" s="1">
        <v>346.99</v>
      </c>
      <c r="F3913" s="1">
        <v>0.2</v>
      </c>
      <c r="G3913">
        <f t="shared" si="61"/>
        <v>693.78</v>
      </c>
      <c r="H3913" t="str">
        <f>VLOOKUP(C3913,[1]products!$A:$B,2,FALSE)</f>
        <v>Sun Bicycles Lil Bolt Type-R - 2017</v>
      </c>
      <c r="I3913">
        <f>VLOOKUP(C3913,[1]products!$A:$D,4,FALSE)</f>
        <v>3</v>
      </c>
      <c r="J3913" t="str">
        <f>VLOOKUP(I3913,[2]categories!$A$1:$B$8,2,FALSE)</f>
        <v>Cruisers Bicycles</v>
      </c>
    </row>
    <row r="3914" customHeight="1" spans="1:10">
      <c r="A3914" s="1">
        <v>1343</v>
      </c>
      <c r="B3914" s="1">
        <v>5</v>
      </c>
      <c r="C3914" s="1">
        <v>206</v>
      </c>
      <c r="D3914" s="1">
        <v>1</v>
      </c>
      <c r="E3914" s="1">
        <v>3299.99</v>
      </c>
      <c r="F3914" s="1">
        <v>0.1</v>
      </c>
      <c r="G3914">
        <f t="shared" si="61"/>
        <v>3299.89</v>
      </c>
      <c r="H3914" t="str">
        <f>VLOOKUP(C3914,[1]products!$A:$B,2,FALSE)</f>
        <v>Trek Boone 5 Disc - 2018</v>
      </c>
      <c r="I3914">
        <f>VLOOKUP(C3914,[1]products!$A:$D,4,FALSE)</f>
        <v>4</v>
      </c>
      <c r="J3914" t="str">
        <f>VLOOKUP(I3914,[2]categories!$A$1:$B$8,2,FALSE)</f>
        <v>Cyclocross Bicycles</v>
      </c>
    </row>
    <row r="3915" customHeight="1" spans="1:10">
      <c r="A3915" s="1">
        <v>1344</v>
      </c>
      <c r="B3915" s="1">
        <v>1</v>
      </c>
      <c r="C3915" s="1">
        <v>77</v>
      </c>
      <c r="D3915" s="1">
        <v>2</v>
      </c>
      <c r="E3915" s="1">
        <v>799.99</v>
      </c>
      <c r="F3915" s="1">
        <v>0.07</v>
      </c>
      <c r="G3915">
        <f t="shared" si="61"/>
        <v>1599.91</v>
      </c>
      <c r="H3915" t="str">
        <f>VLOOKUP(C3915,[1]products!$A:$B,2,FALSE)</f>
        <v>Electra Glam Punk 3i Ladies' - 2017</v>
      </c>
      <c r="I3915">
        <f>VLOOKUP(C3915,[1]products!$A:$D,4,FALSE)</f>
        <v>3</v>
      </c>
      <c r="J3915" t="str">
        <f>VLOOKUP(I3915,[2]categories!$A$1:$B$8,2,FALSE)</f>
        <v>Cruisers Bicycles</v>
      </c>
    </row>
    <row r="3916" customHeight="1" spans="1:10">
      <c r="A3916" s="1">
        <v>1344</v>
      </c>
      <c r="B3916" s="1">
        <v>2</v>
      </c>
      <c r="C3916" s="1">
        <v>103</v>
      </c>
      <c r="D3916" s="1">
        <v>2</v>
      </c>
      <c r="E3916" s="1">
        <v>551.99</v>
      </c>
      <c r="F3916" s="1">
        <v>0.2</v>
      </c>
      <c r="G3916">
        <f t="shared" si="61"/>
        <v>1103.78</v>
      </c>
      <c r="H3916" t="str">
        <f>VLOOKUP(C3916,[1]products!$A:$B,2,FALSE)</f>
        <v>Sun Bicycles Streamway 3 - 2017</v>
      </c>
      <c r="I3916">
        <f>VLOOKUP(C3916,[1]products!$A:$D,4,FALSE)</f>
        <v>2</v>
      </c>
      <c r="J3916" t="str">
        <f>VLOOKUP(I3916,[2]categories!$A$1:$B$8,2,FALSE)</f>
        <v>Comfort Bicycles</v>
      </c>
    </row>
    <row r="3917" customHeight="1" spans="1:10">
      <c r="A3917" s="1">
        <v>1344</v>
      </c>
      <c r="B3917" s="1">
        <v>3</v>
      </c>
      <c r="C3917" s="1">
        <v>3</v>
      </c>
      <c r="D3917" s="1">
        <v>1</v>
      </c>
      <c r="E3917" s="1">
        <v>999.99</v>
      </c>
      <c r="F3917" s="1">
        <v>0.07</v>
      </c>
      <c r="G3917">
        <f t="shared" si="61"/>
        <v>999.92</v>
      </c>
      <c r="H3917" t="str">
        <f>VLOOKUP(C3917,[1]products!$A:$B,2,FALSE)</f>
        <v>Surly Wednesday Frameset - 2016</v>
      </c>
      <c r="I3917">
        <f>VLOOKUP(C3917,[1]products!$A:$D,4,FALSE)</f>
        <v>6</v>
      </c>
      <c r="J3917" t="str">
        <f>VLOOKUP(I3917,[2]categories!$A$1:$B$8,2,FALSE)</f>
        <v>Mountain Bikes</v>
      </c>
    </row>
    <row r="3918" customHeight="1" spans="1:10">
      <c r="A3918" s="1">
        <v>1344</v>
      </c>
      <c r="B3918" s="1">
        <v>4</v>
      </c>
      <c r="C3918" s="1">
        <v>61</v>
      </c>
      <c r="D3918" s="1">
        <v>1</v>
      </c>
      <c r="E3918" s="1">
        <v>4999.99</v>
      </c>
      <c r="F3918" s="1">
        <v>0.07</v>
      </c>
      <c r="G3918">
        <f t="shared" si="61"/>
        <v>4999.92</v>
      </c>
      <c r="H3918" t="str">
        <f>VLOOKUP(C3918,[1]products!$A:$B,2,FALSE)</f>
        <v>Trek Powerfly 8 FS Plus - 2017</v>
      </c>
      <c r="I3918">
        <f>VLOOKUP(C3918,[1]products!$A:$D,4,FALSE)</f>
        <v>5</v>
      </c>
      <c r="J3918" t="str">
        <f>VLOOKUP(I3918,[2]categories!$A$1:$B$8,2,FALSE)</f>
        <v>Electric Bikes</v>
      </c>
    </row>
    <row r="3919" customHeight="1" spans="1:10">
      <c r="A3919" s="1">
        <v>1345</v>
      </c>
      <c r="B3919" s="1">
        <v>1</v>
      </c>
      <c r="C3919" s="1">
        <v>40</v>
      </c>
      <c r="D3919" s="1">
        <v>2</v>
      </c>
      <c r="E3919" s="1">
        <v>4999.99</v>
      </c>
      <c r="F3919" s="1">
        <v>0.2</v>
      </c>
      <c r="G3919">
        <f t="shared" si="61"/>
        <v>9999.78</v>
      </c>
      <c r="H3919" t="str">
        <f>VLOOKUP(C3919,[1]products!$A:$B,2,FALSE)</f>
        <v>Trek Fuel EX 9.8 29 - 2017</v>
      </c>
      <c r="I3919">
        <f>VLOOKUP(C3919,[1]products!$A:$D,4,FALSE)</f>
        <v>6</v>
      </c>
      <c r="J3919" t="str">
        <f>VLOOKUP(I3919,[2]categories!$A$1:$B$8,2,FALSE)</f>
        <v>Mountain Bikes</v>
      </c>
    </row>
    <row r="3920" customHeight="1" spans="1:10">
      <c r="A3920" s="1">
        <v>1345</v>
      </c>
      <c r="B3920" s="1">
        <v>2</v>
      </c>
      <c r="C3920" s="1">
        <v>172</v>
      </c>
      <c r="D3920" s="1">
        <v>2</v>
      </c>
      <c r="E3920" s="1">
        <v>3199.99</v>
      </c>
      <c r="F3920" s="1">
        <v>0.05</v>
      </c>
      <c r="G3920">
        <f t="shared" si="61"/>
        <v>6399.93</v>
      </c>
      <c r="H3920" t="str">
        <f>VLOOKUP(C3920,[1]products!$A:$B,2,FALSE)</f>
        <v>Trek Domane ALR Disc Frameset - 2018</v>
      </c>
      <c r="I3920">
        <f>VLOOKUP(C3920,[1]products!$A:$D,4,FALSE)</f>
        <v>7</v>
      </c>
      <c r="J3920" t="str">
        <f>VLOOKUP(I3920,[2]categories!$A$1:$B$8,2,FALSE)</f>
        <v>Road Bikes</v>
      </c>
    </row>
    <row r="3921" customHeight="1" spans="1:10">
      <c r="A3921" s="1">
        <v>1345</v>
      </c>
      <c r="B3921" s="1">
        <v>3</v>
      </c>
      <c r="C3921" s="1">
        <v>164</v>
      </c>
      <c r="D3921" s="1">
        <v>2</v>
      </c>
      <c r="E3921" s="1">
        <v>1549</v>
      </c>
      <c r="F3921" s="1">
        <v>0.2</v>
      </c>
      <c r="G3921">
        <f t="shared" si="61"/>
        <v>3097.8</v>
      </c>
      <c r="H3921" t="str">
        <f>VLOOKUP(C3921,[1]products!$A:$B,2,FALSE)</f>
        <v>Surly Straggler 650b - 2018</v>
      </c>
      <c r="I3921">
        <f>VLOOKUP(C3921,[1]products!$A:$D,4,FALSE)</f>
        <v>7</v>
      </c>
      <c r="J3921" t="str">
        <f>VLOOKUP(I3921,[2]categories!$A$1:$B$8,2,FALSE)</f>
        <v>Road Bikes</v>
      </c>
    </row>
    <row r="3922" customHeight="1" spans="1:10">
      <c r="A3922" s="1">
        <v>1345</v>
      </c>
      <c r="B3922" s="1">
        <v>4</v>
      </c>
      <c r="C3922" s="1">
        <v>2</v>
      </c>
      <c r="D3922" s="1">
        <v>2</v>
      </c>
      <c r="E3922" s="1">
        <v>749.99</v>
      </c>
      <c r="F3922" s="1">
        <v>0.2</v>
      </c>
      <c r="G3922">
        <f t="shared" si="61"/>
        <v>1499.78</v>
      </c>
      <c r="H3922" t="str">
        <f>VLOOKUP(C3922,[1]products!$A:$B,2,FALSE)</f>
        <v>Ritchey Timberwolf Frameset - 2016</v>
      </c>
      <c r="I3922">
        <f>VLOOKUP(C3922,[1]products!$A:$D,4,FALSE)</f>
        <v>6</v>
      </c>
      <c r="J3922" t="str">
        <f>VLOOKUP(I3922,[2]categories!$A$1:$B$8,2,FALSE)</f>
        <v>Mountain Bikes</v>
      </c>
    </row>
    <row r="3923" customHeight="1" spans="1:10">
      <c r="A3923" s="1">
        <v>1346</v>
      </c>
      <c r="B3923" s="1">
        <v>1</v>
      </c>
      <c r="C3923" s="1">
        <v>134</v>
      </c>
      <c r="D3923" s="1">
        <v>2</v>
      </c>
      <c r="E3923" s="1">
        <v>1499.99</v>
      </c>
      <c r="F3923" s="1">
        <v>0.05</v>
      </c>
      <c r="G3923">
        <f t="shared" si="61"/>
        <v>2999.93</v>
      </c>
      <c r="H3923" t="str">
        <f>VLOOKUP(C3923,[1]products!$A:$B,2,FALSE)</f>
        <v>Trek Remedy 27.5 C Frameset - 2018</v>
      </c>
      <c r="I3923">
        <f>VLOOKUP(C3923,[1]products!$A:$D,4,FALSE)</f>
        <v>6</v>
      </c>
      <c r="J3923" t="str">
        <f>VLOOKUP(I3923,[2]categories!$A$1:$B$8,2,FALSE)</f>
        <v>Mountain Bikes</v>
      </c>
    </row>
    <row r="3924" customHeight="1" spans="1:10">
      <c r="A3924" s="1">
        <v>1346</v>
      </c>
      <c r="B3924" s="1">
        <v>2</v>
      </c>
      <c r="C3924" s="1">
        <v>150</v>
      </c>
      <c r="D3924" s="1">
        <v>1</v>
      </c>
      <c r="E3924" s="1">
        <v>4499.99</v>
      </c>
      <c r="F3924" s="1">
        <v>0.05</v>
      </c>
      <c r="G3924">
        <f t="shared" si="61"/>
        <v>4499.94</v>
      </c>
      <c r="H3924" t="str">
        <f>VLOOKUP(C3924,[1]products!$A:$B,2,FALSE)</f>
        <v>Trek Emonda SL 7 - 2018</v>
      </c>
      <c r="I3924">
        <f>VLOOKUP(C3924,[1]products!$A:$D,4,FALSE)</f>
        <v>7</v>
      </c>
      <c r="J3924" t="str">
        <f>VLOOKUP(I3924,[2]categories!$A$1:$B$8,2,FALSE)</f>
        <v>Road Bikes</v>
      </c>
    </row>
    <row r="3925" customHeight="1" spans="1:10">
      <c r="A3925" s="1">
        <v>1346</v>
      </c>
      <c r="B3925" s="1">
        <v>3</v>
      </c>
      <c r="C3925" s="1">
        <v>18</v>
      </c>
      <c r="D3925" s="1">
        <v>2</v>
      </c>
      <c r="E3925" s="1">
        <v>449</v>
      </c>
      <c r="F3925" s="1">
        <v>0.05</v>
      </c>
      <c r="G3925">
        <f t="shared" si="61"/>
        <v>897.95</v>
      </c>
      <c r="H3925" t="str">
        <f>VLOOKUP(C3925,[1]products!$A:$B,2,FALSE)</f>
        <v>Pure Cycles Western 3-Speed - Women's - 2015/2016</v>
      </c>
      <c r="I3925">
        <f>VLOOKUP(C3925,[1]products!$A:$D,4,FALSE)</f>
        <v>3</v>
      </c>
      <c r="J3925" t="str">
        <f>VLOOKUP(I3925,[2]categories!$A$1:$B$8,2,FALSE)</f>
        <v>Cruisers Bicycles</v>
      </c>
    </row>
    <row r="3926" customHeight="1" spans="1:10">
      <c r="A3926" s="1">
        <v>1346</v>
      </c>
      <c r="B3926" s="1">
        <v>4</v>
      </c>
      <c r="C3926" s="1">
        <v>249</v>
      </c>
      <c r="D3926" s="1">
        <v>1</v>
      </c>
      <c r="E3926" s="1">
        <v>749.99</v>
      </c>
      <c r="F3926" s="1">
        <v>0.1</v>
      </c>
      <c r="G3926">
        <f t="shared" si="61"/>
        <v>749.89</v>
      </c>
      <c r="H3926" t="str">
        <f>VLOOKUP(C3926,[1]products!$A:$B,2,FALSE)</f>
        <v>Electra White Water 3i - 2018</v>
      </c>
      <c r="I3926">
        <f>VLOOKUP(C3926,[1]products!$A:$D,4,FALSE)</f>
        <v>3</v>
      </c>
      <c r="J3926" t="str">
        <f>VLOOKUP(I3926,[2]categories!$A$1:$B$8,2,FALSE)</f>
        <v>Cruisers Bicycles</v>
      </c>
    </row>
    <row r="3927" customHeight="1" spans="1:10">
      <c r="A3927" s="1">
        <v>1346</v>
      </c>
      <c r="B3927" s="1">
        <v>5</v>
      </c>
      <c r="C3927" s="1">
        <v>263</v>
      </c>
      <c r="D3927" s="1">
        <v>2</v>
      </c>
      <c r="E3927" s="1">
        <v>89.99</v>
      </c>
      <c r="F3927" s="1">
        <v>0.2</v>
      </c>
      <c r="G3927">
        <f t="shared" si="61"/>
        <v>179.78</v>
      </c>
      <c r="H3927" t="str">
        <f>VLOOKUP(C3927,[1]products!$A:$B,2,FALSE)</f>
        <v>Strider Classic 12 Balance Bike - 2018</v>
      </c>
      <c r="I3927">
        <f>VLOOKUP(C3927,[1]products!$A:$D,4,FALSE)</f>
        <v>1</v>
      </c>
      <c r="J3927" t="str">
        <f>VLOOKUP(I3927,[2]categories!$A$1:$B$8,2,FALSE)</f>
        <v>Children Bicycles</v>
      </c>
    </row>
    <row r="3928" customHeight="1" spans="1:10">
      <c r="A3928" s="1">
        <v>1347</v>
      </c>
      <c r="B3928" s="1">
        <v>1</v>
      </c>
      <c r="C3928" s="1">
        <v>43</v>
      </c>
      <c r="D3928" s="1">
        <v>2</v>
      </c>
      <c r="E3928" s="1">
        <v>5299.99</v>
      </c>
      <c r="F3928" s="1">
        <v>0.07</v>
      </c>
      <c r="G3928">
        <f t="shared" si="61"/>
        <v>10599.91</v>
      </c>
      <c r="H3928" t="str">
        <f>VLOOKUP(C3928,[1]products!$A:$B,2,FALSE)</f>
        <v>Trek Fuel EX 9.8 27.5 Plus - 2017</v>
      </c>
      <c r="I3928">
        <f>VLOOKUP(C3928,[1]products!$A:$D,4,FALSE)</f>
        <v>6</v>
      </c>
      <c r="J3928" t="str">
        <f>VLOOKUP(I3928,[2]categories!$A$1:$B$8,2,FALSE)</f>
        <v>Mountain Bikes</v>
      </c>
    </row>
    <row r="3929" customHeight="1" spans="1:10">
      <c r="A3929" s="1">
        <v>1347</v>
      </c>
      <c r="B3929" s="1">
        <v>2</v>
      </c>
      <c r="C3929" s="1">
        <v>53</v>
      </c>
      <c r="D3929" s="1">
        <v>1</v>
      </c>
      <c r="E3929" s="1">
        <v>749.99</v>
      </c>
      <c r="F3929" s="1">
        <v>0.05</v>
      </c>
      <c r="G3929">
        <f t="shared" si="61"/>
        <v>749.94</v>
      </c>
      <c r="H3929" t="str">
        <f>VLOOKUP(C3929,[1]products!$A:$B,2,FALSE)</f>
        <v>Surly Ogre Frameset - 2017</v>
      </c>
      <c r="I3929">
        <f>VLOOKUP(C3929,[1]products!$A:$D,4,FALSE)</f>
        <v>7</v>
      </c>
      <c r="J3929" t="str">
        <f>VLOOKUP(I3929,[2]categories!$A$1:$B$8,2,FALSE)</f>
        <v>Road Bikes</v>
      </c>
    </row>
    <row r="3930" customHeight="1" spans="1:10">
      <c r="A3930" s="1">
        <v>1348</v>
      </c>
      <c r="B3930" s="1">
        <v>1</v>
      </c>
      <c r="C3930" s="1">
        <v>203</v>
      </c>
      <c r="D3930" s="1">
        <v>1</v>
      </c>
      <c r="E3930" s="1">
        <v>4999.99</v>
      </c>
      <c r="F3930" s="1">
        <v>0.05</v>
      </c>
      <c r="G3930">
        <f t="shared" si="61"/>
        <v>4999.94</v>
      </c>
      <c r="H3930" t="str">
        <f>VLOOKUP(C3930,[1]products!$A:$B,2,FALSE)</f>
        <v>Trek Powerfly 7 FS - 2018</v>
      </c>
      <c r="I3930">
        <f>VLOOKUP(C3930,[1]products!$A:$D,4,FALSE)</f>
        <v>5</v>
      </c>
      <c r="J3930" t="str">
        <f>VLOOKUP(I3930,[2]categories!$A$1:$B$8,2,FALSE)</f>
        <v>Electric Bikes</v>
      </c>
    </row>
    <row r="3931" customHeight="1" spans="1:10">
      <c r="A3931" s="1">
        <v>1348</v>
      </c>
      <c r="B3931" s="1">
        <v>2</v>
      </c>
      <c r="C3931" s="1">
        <v>148</v>
      </c>
      <c r="D3931" s="1">
        <v>1</v>
      </c>
      <c r="E3931" s="1">
        <v>5499.99</v>
      </c>
      <c r="F3931" s="1">
        <v>0.05</v>
      </c>
      <c r="G3931">
        <f t="shared" si="61"/>
        <v>5499.94</v>
      </c>
      <c r="H3931" t="str">
        <f>VLOOKUP(C3931,[1]products!$A:$B,2,FALSE)</f>
        <v>Trek Domane SL 8 Disc - 2018</v>
      </c>
      <c r="I3931">
        <f>VLOOKUP(C3931,[1]products!$A:$D,4,FALSE)</f>
        <v>7</v>
      </c>
      <c r="J3931" t="str">
        <f>VLOOKUP(I3931,[2]categories!$A$1:$B$8,2,FALSE)</f>
        <v>Road Bikes</v>
      </c>
    </row>
    <row r="3932" customHeight="1" spans="1:10">
      <c r="A3932" s="1">
        <v>1348</v>
      </c>
      <c r="B3932" s="1">
        <v>3</v>
      </c>
      <c r="C3932" s="1">
        <v>58</v>
      </c>
      <c r="D3932" s="1">
        <v>2</v>
      </c>
      <c r="E3932" s="1">
        <v>4999.99</v>
      </c>
      <c r="F3932" s="1">
        <v>0.1</v>
      </c>
      <c r="G3932">
        <f t="shared" si="61"/>
        <v>9999.88</v>
      </c>
      <c r="H3932" t="str">
        <f>VLOOKUP(C3932,[1]products!$A:$B,2,FALSE)</f>
        <v>Trek Madone 9.2 - 2017</v>
      </c>
      <c r="I3932">
        <f>VLOOKUP(C3932,[1]products!$A:$D,4,FALSE)</f>
        <v>7</v>
      </c>
      <c r="J3932" t="str">
        <f>VLOOKUP(I3932,[2]categories!$A$1:$B$8,2,FALSE)</f>
        <v>Road Bikes</v>
      </c>
    </row>
    <row r="3933" customHeight="1" spans="1:10">
      <c r="A3933" s="1">
        <v>1348</v>
      </c>
      <c r="B3933" s="1">
        <v>4</v>
      </c>
      <c r="C3933" s="1">
        <v>147</v>
      </c>
      <c r="D3933" s="1">
        <v>1</v>
      </c>
      <c r="E3933" s="1">
        <v>1799.99</v>
      </c>
      <c r="F3933" s="1">
        <v>0.07</v>
      </c>
      <c r="G3933">
        <f t="shared" si="61"/>
        <v>1799.92</v>
      </c>
      <c r="H3933" t="str">
        <f>VLOOKUP(C3933,[1]products!$A:$B,2,FALSE)</f>
        <v>Trek Domane ALR 5 Gravel - 2018</v>
      </c>
      <c r="I3933">
        <f>VLOOKUP(C3933,[1]products!$A:$D,4,FALSE)</f>
        <v>7</v>
      </c>
      <c r="J3933" t="str">
        <f>VLOOKUP(I3933,[2]categories!$A$1:$B$8,2,FALSE)</f>
        <v>Road Bikes</v>
      </c>
    </row>
    <row r="3934" customHeight="1" spans="1:10">
      <c r="A3934" s="1">
        <v>1349</v>
      </c>
      <c r="B3934" s="1">
        <v>1</v>
      </c>
      <c r="C3934" s="1">
        <v>138</v>
      </c>
      <c r="D3934" s="1">
        <v>2</v>
      </c>
      <c r="E3934" s="1">
        <v>2249.99</v>
      </c>
      <c r="F3934" s="1">
        <v>0.05</v>
      </c>
      <c r="G3934">
        <f t="shared" si="61"/>
        <v>4499.93</v>
      </c>
      <c r="H3934" t="str">
        <f>VLOOKUP(C3934,[1]products!$A:$B,2,FALSE)</f>
        <v>Trek Fuel EX 5 Plus - 2018</v>
      </c>
      <c r="I3934">
        <f>VLOOKUP(C3934,[1]products!$A:$D,4,FALSE)</f>
        <v>6</v>
      </c>
      <c r="J3934" t="str">
        <f>VLOOKUP(I3934,[2]categories!$A$1:$B$8,2,FALSE)</f>
        <v>Mountain Bikes</v>
      </c>
    </row>
    <row r="3935" customHeight="1" spans="1:10">
      <c r="A3935" s="1">
        <v>1349</v>
      </c>
      <c r="B3935" s="1">
        <v>2</v>
      </c>
      <c r="C3935" s="1">
        <v>205</v>
      </c>
      <c r="D3935" s="1">
        <v>2</v>
      </c>
      <c r="E3935" s="1">
        <v>4999.99</v>
      </c>
      <c r="F3935" s="1">
        <v>0.07</v>
      </c>
      <c r="G3935">
        <f t="shared" si="61"/>
        <v>9999.91</v>
      </c>
      <c r="H3935" t="str">
        <f>VLOOKUP(C3935,[1]products!$A:$B,2,FALSE)</f>
        <v>Trek Super Commuter+ 8S - 2018</v>
      </c>
      <c r="I3935">
        <f>VLOOKUP(C3935,[1]products!$A:$D,4,FALSE)</f>
        <v>5</v>
      </c>
      <c r="J3935" t="str">
        <f>VLOOKUP(I3935,[2]categories!$A$1:$B$8,2,FALSE)</f>
        <v>Electric Bikes</v>
      </c>
    </row>
    <row r="3936" customHeight="1" spans="1:10">
      <c r="A3936" s="1">
        <v>1349</v>
      </c>
      <c r="B3936" s="1">
        <v>3</v>
      </c>
      <c r="C3936" s="1">
        <v>168</v>
      </c>
      <c r="D3936" s="1">
        <v>2</v>
      </c>
      <c r="E3936" s="1">
        <v>1549</v>
      </c>
      <c r="F3936" s="1">
        <v>0.2</v>
      </c>
      <c r="G3936">
        <f t="shared" si="61"/>
        <v>3097.8</v>
      </c>
      <c r="H3936" t="str">
        <f>VLOOKUP(C3936,[1]products!$A:$B,2,FALSE)</f>
        <v>Surly Straggler - 2018</v>
      </c>
      <c r="I3936">
        <f>VLOOKUP(C3936,[1]products!$A:$D,4,FALSE)</f>
        <v>7</v>
      </c>
      <c r="J3936" t="str">
        <f>VLOOKUP(I3936,[2]categories!$A$1:$B$8,2,FALSE)</f>
        <v>Road Bikes</v>
      </c>
    </row>
    <row r="3937" customHeight="1" spans="1:10">
      <c r="A3937" s="1">
        <v>1349</v>
      </c>
      <c r="B3937" s="1">
        <v>4</v>
      </c>
      <c r="C3937" s="1">
        <v>184</v>
      </c>
      <c r="D3937" s="1">
        <v>1</v>
      </c>
      <c r="E3937" s="1">
        <v>3499.99</v>
      </c>
      <c r="F3937" s="1">
        <v>0.2</v>
      </c>
      <c r="G3937">
        <f t="shared" si="61"/>
        <v>3499.79</v>
      </c>
      <c r="H3937" t="str">
        <f>VLOOKUP(C3937,[1]products!$A:$B,2,FALSE)</f>
        <v>Trek Domane SL 6 Disc - 2018</v>
      </c>
      <c r="I3937">
        <f>VLOOKUP(C3937,[1]products!$A:$D,4,FALSE)</f>
        <v>7</v>
      </c>
      <c r="J3937" t="str">
        <f>VLOOKUP(I3937,[2]categories!$A$1:$B$8,2,FALSE)</f>
        <v>Road Bikes</v>
      </c>
    </row>
    <row r="3938" customHeight="1" spans="1:10">
      <c r="A3938" s="1">
        <v>1350</v>
      </c>
      <c r="B3938" s="1">
        <v>1</v>
      </c>
      <c r="C3938" s="1">
        <v>305</v>
      </c>
      <c r="D3938" s="1">
        <v>1</v>
      </c>
      <c r="E3938" s="1">
        <v>749.99</v>
      </c>
      <c r="F3938" s="1">
        <v>0.1</v>
      </c>
      <c r="G3938">
        <f t="shared" si="61"/>
        <v>749.89</v>
      </c>
      <c r="H3938" t="str">
        <f>VLOOKUP(C3938,[1]products!$A:$B,2,FALSE)</f>
        <v>Electra Townie Balloon 3i EQ - 2017/2018</v>
      </c>
      <c r="I3938">
        <f>VLOOKUP(C3938,[1]products!$A:$D,4,FALSE)</f>
        <v>2</v>
      </c>
      <c r="J3938" t="str">
        <f>VLOOKUP(I3938,[2]categories!$A$1:$B$8,2,FALSE)</f>
        <v>Comfort Bicycles</v>
      </c>
    </row>
    <row r="3939" customHeight="1" spans="1:10">
      <c r="A3939" s="1">
        <v>1350</v>
      </c>
      <c r="B3939" s="1">
        <v>2</v>
      </c>
      <c r="C3939" s="1">
        <v>250</v>
      </c>
      <c r="D3939" s="1">
        <v>1</v>
      </c>
      <c r="E3939" s="1">
        <v>2599.99</v>
      </c>
      <c r="F3939" s="1">
        <v>0.07</v>
      </c>
      <c r="G3939">
        <f t="shared" si="61"/>
        <v>2599.92</v>
      </c>
      <c r="H3939" t="str">
        <f>VLOOKUP(C3939,[1]products!$A:$B,2,FALSE)</f>
        <v>Electra Townie Go! 8i - 2017/2018</v>
      </c>
      <c r="I3939">
        <f>VLOOKUP(C3939,[1]products!$A:$D,4,FALSE)</f>
        <v>3</v>
      </c>
      <c r="J3939" t="str">
        <f>VLOOKUP(I3939,[2]categories!$A$1:$B$8,2,FALSE)</f>
        <v>Cruisers Bicycles</v>
      </c>
    </row>
    <row r="3940" customHeight="1" spans="1:10">
      <c r="A3940" s="1">
        <v>1350</v>
      </c>
      <c r="B3940" s="1">
        <v>3</v>
      </c>
      <c r="C3940" s="1">
        <v>253</v>
      </c>
      <c r="D3940" s="1">
        <v>1</v>
      </c>
      <c r="E3940" s="1">
        <v>2599.99</v>
      </c>
      <c r="F3940" s="1">
        <v>0.07</v>
      </c>
      <c r="G3940">
        <f t="shared" si="61"/>
        <v>2599.92</v>
      </c>
      <c r="H3940" t="str">
        <f>VLOOKUP(C3940,[1]products!$A:$B,2,FALSE)</f>
        <v>Electra Townie Go! 8i Ladies' - 2018</v>
      </c>
      <c r="I3940">
        <f>VLOOKUP(C3940,[1]products!$A:$D,4,FALSE)</f>
        <v>3</v>
      </c>
      <c r="J3940" t="str">
        <f>VLOOKUP(I3940,[2]categories!$A$1:$B$8,2,FALSE)</f>
        <v>Cruisers Bicycles</v>
      </c>
    </row>
    <row r="3941" customHeight="1" spans="1:10">
      <c r="A3941" s="1">
        <v>1350</v>
      </c>
      <c r="B3941" s="1">
        <v>4</v>
      </c>
      <c r="C3941" s="1">
        <v>159</v>
      </c>
      <c r="D3941" s="1">
        <v>1</v>
      </c>
      <c r="E3941" s="1">
        <v>2299.99</v>
      </c>
      <c r="F3941" s="1">
        <v>0.05</v>
      </c>
      <c r="G3941">
        <f t="shared" si="61"/>
        <v>2299.94</v>
      </c>
      <c r="H3941" t="str">
        <f>VLOOKUP(C3941,[1]products!$A:$B,2,FALSE)</f>
        <v>Trek Emonda ALR 6 - 2018</v>
      </c>
      <c r="I3941">
        <f>VLOOKUP(C3941,[1]products!$A:$D,4,FALSE)</f>
        <v>7</v>
      </c>
      <c r="J3941" t="str">
        <f>VLOOKUP(I3941,[2]categories!$A$1:$B$8,2,FALSE)</f>
        <v>Road Bikes</v>
      </c>
    </row>
    <row r="3942" customHeight="1" spans="1:10">
      <c r="A3942" s="1">
        <v>1350</v>
      </c>
      <c r="B3942" s="1">
        <v>5</v>
      </c>
      <c r="C3942" s="1">
        <v>13</v>
      </c>
      <c r="D3942" s="1">
        <v>2</v>
      </c>
      <c r="E3942" s="1">
        <v>269.99</v>
      </c>
      <c r="F3942" s="1">
        <v>0.2</v>
      </c>
      <c r="G3942">
        <f t="shared" si="61"/>
        <v>539.78</v>
      </c>
      <c r="H3942" t="str">
        <f>VLOOKUP(C3942,[1]products!$A:$B,2,FALSE)</f>
        <v>Electra Cruiser 1 (24-Inch) - 2016</v>
      </c>
      <c r="I3942">
        <f>VLOOKUP(C3942,[1]products!$A:$D,4,FALSE)</f>
        <v>3</v>
      </c>
      <c r="J3942" t="str">
        <f>VLOOKUP(I3942,[2]categories!$A$1:$B$8,2,FALSE)</f>
        <v>Cruisers Bicycles</v>
      </c>
    </row>
    <row r="3943" customHeight="1" spans="1:10">
      <c r="A3943" s="1">
        <v>1351</v>
      </c>
      <c r="B3943" s="1">
        <v>1</v>
      </c>
      <c r="C3943" s="1">
        <v>297</v>
      </c>
      <c r="D3943" s="1">
        <v>2</v>
      </c>
      <c r="E3943" s="1">
        <v>279.99</v>
      </c>
      <c r="F3943" s="1">
        <v>0.2</v>
      </c>
      <c r="G3943">
        <f t="shared" si="61"/>
        <v>559.78</v>
      </c>
      <c r="H3943" t="str">
        <f>VLOOKUP(C3943,[1]products!$A:$B,2,FALSE)</f>
        <v>Electra Under-The-Sea 1 16" - 2018</v>
      </c>
      <c r="I3943">
        <f>VLOOKUP(C3943,[1]products!$A:$D,4,FALSE)</f>
        <v>1</v>
      </c>
      <c r="J3943" t="str">
        <f>VLOOKUP(I3943,[2]categories!$A$1:$B$8,2,FALSE)</f>
        <v>Children Bicycles</v>
      </c>
    </row>
    <row r="3944" customHeight="1" spans="1:10">
      <c r="A3944" s="1">
        <v>1351</v>
      </c>
      <c r="B3944" s="1">
        <v>2</v>
      </c>
      <c r="C3944" s="1">
        <v>133</v>
      </c>
      <c r="D3944" s="1">
        <v>1</v>
      </c>
      <c r="E3944" s="1">
        <v>1499.99</v>
      </c>
      <c r="F3944" s="1">
        <v>0.1</v>
      </c>
      <c r="G3944">
        <f t="shared" si="61"/>
        <v>1499.89</v>
      </c>
      <c r="H3944" t="str">
        <f>VLOOKUP(C3944,[1]products!$A:$B,2,FALSE)</f>
        <v>Trek Procaliber Frameset - 2018</v>
      </c>
      <c r="I3944">
        <f>VLOOKUP(C3944,[1]products!$A:$D,4,FALSE)</f>
        <v>6</v>
      </c>
      <c r="J3944" t="str">
        <f>VLOOKUP(I3944,[2]categories!$A$1:$B$8,2,FALSE)</f>
        <v>Mountain Bikes</v>
      </c>
    </row>
    <row r="3945" customHeight="1" spans="1:10">
      <c r="A3945" s="1">
        <v>1352</v>
      </c>
      <c r="B3945" s="1">
        <v>1</v>
      </c>
      <c r="C3945" s="1">
        <v>136</v>
      </c>
      <c r="D3945" s="1">
        <v>1</v>
      </c>
      <c r="E3945" s="1">
        <v>1799.99</v>
      </c>
      <c r="F3945" s="1">
        <v>0.2</v>
      </c>
      <c r="G3945">
        <f t="shared" si="61"/>
        <v>1799.79</v>
      </c>
      <c r="H3945" t="str">
        <f>VLOOKUP(C3945,[1]products!$A:$B,2,FALSE)</f>
        <v>Trek Procaliber 6 - 2018</v>
      </c>
      <c r="I3945">
        <f>VLOOKUP(C3945,[1]products!$A:$D,4,FALSE)</f>
        <v>6</v>
      </c>
      <c r="J3945" t="str">
        <f>VLOOKUP(I3945,[2]categories!$A$1:$B$8,2,FALSE)</f>
        <v>Mountain Bikes</v>
      </c>
    </row>
    <row r="3946" customHeight="1" spans="1:10">
      <c r="A3946" s="1">
        <v>1352</v>
      </c>
      <c r="B3946" s="1">
        <v>2</v>
      </c>
      <c r="C3946" s="1">
        <v>52</v>
      </c>
      <c r="D3946" s="1">
        <v>2</v>
      </c>
      <c r="E3946" s="1">
        <v>875.99</v>
      </c>
      <c r="F3946" s="1">
        <v>0.1</v>
      </c>
      <c r="G3946">
        <f t="shared" si="61"/>
        <v>1751.88</v>
      </c>
      <c r="H3946" t="str">
        <f>VLOOKUP(C3946,[1]products!$A:$B,2,FALSE)</f>
        <v>Surly Steamroller - 2017</v>
      </c>
      <c r="I3946">
        <f>VLOOKUP(C3946,[1]products!$A:$D,4,FALSE)</f>
        <v>7</v>
      </c>
      <c r="J3946" t="str">
        <f>VLOOKUP(I3946,[2]categories!$A$1:$B$8,2,FALSE)</f>
        <v>Road Bikes</v>
      </c>
    </row>
    <row r="3947" customHeight="1" spans="1:10">
      <c r="A3947" s="1">
        <v>1352</v>
      </c>
      <c r="B3947" s="1">
        <v>3</v>
      </c>
      <c r="C3947" s="1">
        <v>282</v>
      </c>
      <c r="D3947" s="1">
        <v>2</v>
      </c>
      <c r="E3947" s="1">
        <v>279.99</v>
      </c>
      <c r="F3947" s="1">
        <v>0.1</v>
      </c>
      <c r="G3947">
        <f t="shared" si="61"/>
        <v>559.88</v>
      </c>
      <c r="H3947" t="str">
        <f>VLOOKUP(C3947,[1]products!$A:$B,2,FALSE)</f>
        <v>Electra Cyclosaurus 1 (16-inch) - Boy's - 2018</v>
      </c>
      <c r="I3947">
        <f>VLOOKUP(C3947,[1]products!$A:$D,4,FALSE)</f>
        <v>1</v>
      </c>
      <c r="J3947" t="str">
        <f>VLOOKUP(I3947,[2]categories!$A$1:$B$8,2,FALSE)</f>
        <v>Children Bicycles</v>
      </c>
    </row>
    <row r="3948" customHeight="1" spans="1:10">
      <c r="A3948" s="1">
        <v>1352</v>
      </c>
      <c r="B3948" s="1">
        <v>4</v>
      </c>
      <c r="C3948" s="1">
        <v>86</v>
      </c>
      <c r="D3948" s="1">
        <v>2</v>
      </c>
      <c r="E3948" s="1">
        <v>149.99</v>
      </c>
      <c r="F3948" s="1">
        <v>0.2</v>
      </c>
      <c r="G3948">
        <f t="shared" si="61"/>
        <v>299.78</v>
      </c>
      <c r="H3948" t="str">
        <f>VLOOKUP(C3948,[1]products!$A:$B,2,FALSE)</f>
        <v>Trek Girl's Kickster - 2017</v>
      </c>
      <c r="I3948">
        <f>VLOOKUP(C3948,[1]products!$A:$D,4,FALSE)</f>
        <v>1</v>
      </c>
      <c r="J3948" t="str">
        <f>VLOOKUP(I3948,[2]categories!$A$1:$B$8,2,FALSE)</f>
        <v>Children Bicycles</v>
      </c>
    </row>
    <row r="3949" customHeight="1" spans="1:10">
      <c r="A3949" s="1">
        <v>1352</v>
      </c>
      <c r="B3949" s="1">
        <v>5</v>
      </c>
      <c r="C3949" s="1">
        <v>100</v>
      </c>
      <c r="D3949" s="1">
        <v>1</v>
      </c>
      <c r="E3949" s="1">
        <v>489.99</v>
      </c>
      <c r="F3949" s="1">
        <v>0.05</v>
      </c>
      <c r="G3949">
        <f t="shared" si="61"/>
        <v>489.94</v>
      </c>
      <c r="H3949" t="str">
        <f>VLOOKUP(C3949,[1]products!$A:$B,2,FALSE)</f>
        <v>Electra Townie 3i EQ (20-inch) - Boys' - 2017</v>
      </c>
      <c r="I3949">
        <f>VLOOKUP(C3949,[1]products!$A:$D,4,FALSE)</f>
        <v>1</v>
      </c>
      <c r="J3949" t="str">
        <f>VLOOKUP(I3949,[2]categories!$A$1:$B$8,2,FALSE)</f>
        <v>Children Bicycles</v>
      </c>
    </row>
    <row r="3950" customHeight="1" spans="1:10">
      <c r="A3950" s="1">
        <v>1353</v>
      </c>
      <c r="B3950" s="1">
        <v>1</v>
      </c>
      <c r="C3950" s="1">
        <v>107</v>
      </c>
      <c r="D3950" s="1">
        <v>2</v>
      </c>
      <c r="E3950" s="1">
        <v>416.99</v>
      </c>
      <c r="F3950" s="1">
        <v>0.05</v>
      </c>
      <c r="G3950">
        <f t="shared" si="61"/>
        <v>833.93</v>
      </c>
      <c r="H3950" t="str">
        <f>VLOOKUP(C3950,[1]products!$A:$B,2,FALSE)</f>
        <v>Sun Bicycles Cruz 7 - 2017</v>
      </c>
      <c r="I3950">
        <f>VLOOKUP(C3950,[1]products!$A:$D,4,FALSE)</f>
        <v>2</v>
      </c>
      <c r="J3950" t="str">
        <f>VLOOKUP(I3950,[2]categories!$A$1:$B$8,2,FALSE)</f>
        <v>Comfort Bicycles</v>
      </c>
    </row>
    <row r="3951" customHeight="1" spans="1:10">
      <c r="A3951" s="1">
        <v>1353</v>
      </c>
      <c r="B3951" s="1">
        <v>2</v>
      </c>
      <c r="C3951" s="1">
        <v>233</v>
      </c>
      <c r="D3951" s="1">
        <v>1</v>
      </c>
      <c r="E3951" s="1">
        <v>639.99</v>
      </c>
      <c r="F3951" s="1">
        <v>0.07</v>
      </c>
      <c r="G3951">
        <f t="shared" si="61"/>
        <v>639.92</v>
      </c>
      <c r="H3951" t="str">
        <f>VLOOKUP(C3951,[1]products!$A:$B,2,FALSE)</f>
        <v>Electra Cruiser Lux Fat Tire 7D - 2018</v>
      </c>
      <c r="I3951">
        <f>VLOOKUP(C3951,[1]products!$A:$D,4,FALSE)</f>
        <v>3</v>
      </c>
      <c r="J3951" t="str">
        <f>VLOOKUP(I3951,[2]categories!$A$1:$B$8,2,FALSE)</f>
        <v>Cruisers Bicycles</v>
      </c>
    </row>
    <row r="3952" customHeight="1" spans="1:10">
      <c r="A3952" s="1">
        <v>1353</v>
      </c>
      <c r="B3952" s="1">
        <v>3</v>
      </c>
      <c r="C3952" s="1">
        <v>300</v>
      </c>
      <c r="D3952" s="1">
        <v>1</v>
      </c>
      <c r="E3952" s="1">
        <v>799.99</v>
      </c>
      <c r="F3952" s="1">
        <v>0.2</v>
      </c>
      <c r="G3952">
        <f t="shared" si="61"/>
        <v>799.79</v>
      </c>
      <c r="H3952" t="str">
        <f>VLOOKUP(C3952,[1]products!$A:$B,2,FALSE)</f>
        <v>Electra Townie Balloon 3i EQ Ladies' - 2018</v>
      </c>
      <c r="I3952">
        <f>VLOOKUP(C3952,[1]products!$A:$D,4,FALSE)</f>
        <v>2</v>
      </c>
      <c r="J3952" t="str">
        <f>VLOOKUP(I3952,[2]categories!$A$1:$B$8,2,FALSE)</f>
        <v>Comfort Bicycles</v>
      </c>
    </row>
    <row r="3953" customHeight="1" spans="1:10">
      <c r="A3953" s="1">
        <v>1353</v>
      </c>
      <c r="B3953" s="1">
        <v>4</v>
      </c>
      <c r="C3953" s="1">
        <v>86</v>
      </c>
      <c r="D3953" s="1">
        <v>2</v>
      </c>
      <c r="E3953" s="1">
        <v>149.99</v>
      </c>
      <c r="F3953" s="1">
        <v>0.05</v>
      </c>
      <c r="G3953">
        <f t="shared" si="61"/>
        <v>299.93</v>
      </c>
      <c r="H3953" t="str">
        <f>VLOOKUP(C3953,[1]products!$A:$B,2,FALSE)</f>
        <v>Trek Girl's Kickster - 2017</v>
      </c>
      <c r="I3953">
        <f>VLOOKUP(C3953,[1]products!$A:$D,4,FALSE)</f>
        <v>1</v>
      </c>
      <c r="J3953" t="str">
        <f>VLOOKUP(I3953,[2]categories!$A$1:$B$8,2,FALSE)</f>
        <v>Children Bicycles</v>
      </c>
    </row>
    <row r="3954" customHeight="1" spans="1:10">
      <c r="A3954" s="1">
        <v>1354</v>
      </c>
      <c r="B3954" s="1">
        <v>1</v>
      </c>
      <c r="C3954" s="1">
        <v>166</v>
      </c>
      <c r="D3954" s="1">
        <v>2</v>
      </c>
      <c r="E3954" s="1">
        <v>749.99</v>
      </c>
      <c r="F3954" s="1">
        <v>0.07</v>
      </c>
      <c r="G3954">
        <f t="shared" si="61"/>
        <v>1499.91</v>
      </c>
      <c r="H3954" t="str">
        <f>VLOOKUP(C3954,[1]products!$A:$B,2,FALSE)</f>
        <v>Trek Domane AL 2 Women's - 2018</v>
      </c>
      <c r="I3954">
        <f>VLOOKUP(C3954,[1]products!$A:$D,4,FALSE)</f>
        <v>7</v>
      </c>
      <c r="J3954" t="str">
        <f>VLOOKUP(I3954,[2]categories!$A$1:$B$8,2,FALSE)</f>
        <v>Road Bikes</v>
      </c>
    </row>
    <row r="3955" customHeight="1" spans="1:10">
      <c r="A3955" s="1">
        <v>1355</v>
      </c>
      <c r="B3955" s="1">
        <v>1</v>
      </c>
      <c r="C3955" s="1">
        <v>297</v>
      </c>
      <c r="D3955" s="1">
        <v>1</v>
      </c>
      <c r="E3955" s="1">
        <v>279.99</v>
      </c>
      <c r="F3955" s="1">
        <v>0.1</v>
      </c>
      <c r="G3955">
        <f t="shared" si="61"/>
        <v>279.89</v>
      </c>
      <c r="H3955" t="str">
        <f>VLOOKUP(C3955,[1]products!$A:$B,2,FALSE)</f>
        <v>Electra Under-The-Sea 1 16" - 2018</v>
      </c>
      <c r="I3955">
        <f>VLOOKUP(C3955,[1]products!$A:$D,4,FALSE)</f>
        <v>1</v>
      </c>
      <c r="J3955" t="str">
        <f>VLOOKUP(I3955,[2]categories!$A$1:$B$8,2,FALSE)</f>
        <v>Children Bicycles</v>
      </c>
    </row>
    <row r="3956" customHeight="1" spans="1:10">
      <c r="A3956" s="1">
        <v>1355</v>
      </c>
      <c r="B3956" s="1">
        <v>2</v>
      </c>
      <c r="C3956" s="1">
        <v>253</v>
      </c>
      <c r="D3956" s="1">
        <v>1</v>
      </c>
      <c r="E3956" s="1">
        <v>2599.99</v>
      </c>
      <c r="F3956" s="1">
        <v>0.07</v>
      </c>
      <c r="G3956">
        <f t="shared" si="61"/>
        <v>2599.92</v>
      </c>
      <c r="H3956" t="str">
        <f>VLOOKUP(C3956,[1]products!$A:$B,2,FALSE)</f>
        <v>Electra Townie Go! 8i Ladies' - 2018</v>
      </c>
      <c r="I3956">
        <f>VLOOKUP(C3956,[1]products!$A:$D,4,FALSE)</f>
        <v>3</v>
      </c>
      <c r="J3956" t="str">
        <f>VLOOKUP(I3956,[2]categories!$A$1:$B$8,2,FALSE)</f>
        <v>Cruisers Bicycles</v>
      </c>
    </row>
    <row r="3957" customHeight="1" spans="1:10">
      <c r="A3957" s="1">
        <v>1355</v>
      </c>
      <c r="B3957" s="1">
        <v>3</v>
      </c>
      <c r="C3957" s="1">
        <v>149</v>
      </c>
      <c r="D3957" s="1">
        <v>1</v>
      </c>
      <c r="E3957" s="1">
        <v>7499.99</v>
      </c>
      <c r="F3957" s="1">
        <v>0.2</v>
      </c>
      <c r="G3957">
        <f t="shared" si="61"/>
        <v>7499.79</v>
      </c>
      <c r="H3957" t="str">
        <f>VLOOKUP(C3957,[1]products!$A:$B,2,FALSE)</f>
        <v>Trek Domane SLR 8 Disc - 2018</v>
      </c>
      <c r="I3957">
        <f>VLOOKUP(C3957,[1]products!$A:$D,4,FALSE)</f>
        <v>7</v>
      </c>
      <c r="J3957" t="str">
        <f>VLOOKUP(I3957,[2]categories!$A$1:$B$8,2,FALSE)</f>
        <v>Road Bikes</v>
      </c>
    </row>
    <row r="3958" customHeight="1" spans="1:10">
      <c r="A3958" s="1">
        <v>1355</v>
      </c>
      <c r="B3958" s="1">
        <v>4</v>
      </c>
      <c r="C3958" s="1">
        <v>313</v>
      </c>
      <c r="D3958" s="1">
        <v>2</v>
      </c>
      <c r="E3958" s="1">
        <v>449.99</v>
      </c>
      <c r="F3958" s="1">
        <v>0.1</v>
      </c>
      <c r="G3958">
        <f t="shared" si="61"/>
        <v>899.88</v>
      </c>
      <c r="H3958" t="str">
        <f>VLOOKUP(C3958,[1]products!$A:$B,2,FALSE)</f>
        <v>Electra Townie Original 1 Ladies' - 2018</v>
      </c>
      <c r="I3958">
        <f>VLOOKUP(C3958,[1]products!$A:$D,4,FALSE)</f>
        <v>2</v>
      </c>
      <c r="J3958" t="str">
        <f>VLOOKUP(I3958,[2]categories!$A$1:$B$8,2,FALSE)</f>
        <v>Comfort Bicycles</v>
      </c>
    </row>
    <row r="3959" customHeight="1" spans="1:10">
      <c r="A3959" s="1">
        <v>1356</v>
      </c>
      <c r="B3959" s="1">
        <v>1</v>
      </c>
      <c r="C3959" s="1">
        <v>192</v>
      </c>
      <c r="D3959" s="1">
        <v>1</v>
      </c>
      <c r="E3959" s="1">
        <v>2599.99</v>
      </c>
      <c r="F3959" s="1">
        <v>0.05</v>
      </c>
      <c r="G3959">
        <f t="shared" si="61"/>
        <v>2599.94</v>
      </c>
      <c r="H3959" t="str">
        <f>VLOOKUP(C3959,[1]products!$A:$B,2,FALSE)</f>
        <v>Electra Townie Go! 8i - 2017/2018</v>
      </c>
      <c r="I3959">
        <f>VLOOKUP(C3959,[1]products!$A:$D,4,FALSE)</f>
        <v>5</v>
      </c>
      <c r="J3959" t="str">
        <f>VLOOKUP(I3959,[2]categories!$A$1:$B$8,2,FALSE)</f>
        <v>Electric Bikes</v>
      </c>
    </row>
    <row r="3960" customHeight="1" spans="1:10">
      <c r="A3960" s="1">
        <v>1356</v>
      </c>
      <c r="B3960" s="1">
        <v>2</v>
      </c>
      <c r="C3960" s="1">
        <v>199</v>
      </c>
      <c r="D3960" s="1">
        <v>2</v>
      </c>
      <c r="E3960" s="1">
        <v>2999.99</v>
      </c>
      <c r="F3960" s="1">
        <v>0.1</v>
      </c>
      <c r="G3960">
        <f t="shared" si="61"/>
        <v>5999.88</v>
      </c>
      <c r="H3960" t="str">
        <f>VLOOKUP(C3960,[1]products!$A:$B,2,FALSE)</f>
        <v>Electra Townie Commute Go! Ladies' - 2018</v>
      </c>
      <c r="I3960">
        <f>VLOOKUP(C3960,[1]products!$A:$D,4,FALSE)</f>
        <v>5</v>
      </c>
      <c r="J3960" t="str">
        <f>VLOOKUP(I3960,[2]categories!$A$1:$B$8,2,FALSE)</f>
        <v>Electric Bikes</v>
      </c>
    </row>
    <row r="3961" customHeight="1" spans="1:10">
      <c r="A3961" s="1">
        <v>1356</v>
      </c>
      <c r="B3961" s="1">
        <v>3</v>
      </c>
      <c r="C3961" s="1">
        <v>276</v>
      </c>
      <c r="D3961" s="1">
        <v>2</v>
      </c>
      <c r="E3961" s="1">
        <v>319.99</v>
      </c>
      <c r="F3961" s="1">
        <v>0.1</v>
      </c>
      <c r="G3961">
        <f t="shared" si="61"/>
        <v>639.88</v>
      </c>
      <c r="H3961" t="str">
        <f>VLOOKUP(C3961,[1]products!$A:$B,2,FALSE)</f>
        <v>Trek Precaliber 24 (7-Speed) - Boys - 2018</v>
      </c>
      <c r="I3961">
        <f>VLOOKUP(C3961,[1]products!$A:$D,4,FALSE)</f>
        <v>1</v>
      </c>
      <c r="J3961" t="str">
        <f>VLOOKUP(I3961,[2]categories!$A$1:$B$8,2,FALSE)</f>
        <v>Children Bicycles</v>
      </c>
    </row>
    <row r="3962" customHeight="1" spans="1:10">
      <c r="A3962" s="1">
        <v>1357</v>
      </c>
      <c r="B3962" s="1">
        <v>1</v>
      </c>
      <c r="C3962" s="1">
        <v>145</v>
      </c>
      <c r="D3962" s="1">
        <v>2</v>
      </c>
      <c r="E3962" s="1">
        <v>1799.99</v>
      </c>
      <c r="F3962" s="1">
        <v>0.2</v>
      </c>
      <c r="G3962">
        <f t="shared" si="61"/>
        <v>3599.78</v>
      </c>
      <c r="H3962" t="str">
        <f>VLOOKUP(C3962,[1]products!$A:$B,2,FALSE)</f>
        <v>Trek Domane ALR 5 Disc - 2018</v>
      </c>
      <c r="I3962">
        <f>VLOOKUP(C3962,[1]products!$A:$D,4,FALSE)</f>
        <v>7</v>
      </c>
      <c r="J3962" t="str">
        <f>VLOOKUP(I3962,[2]categories!$A$1:$B$8,2,FALSE)</f>
        <v>Road Bikes</v>
      </c>
    </row>
    <row r="3963" customHeight="1" spans="1:10">
      <c r="A3963" s="1">
        <v>1357</v>
      </c>
      <c r="B3963" s="1">
        <v>2</v>
      </c>
      <c r="C3963" s="1">
        <v>60</v>
      </c>
      <c r="D3963" s="1">
        <v>1</v>
      </c>
      <c r="E3963" s="1">
        <v>1559.99</v>
      </c>
      <c r="F3963" s="1">
        <v>0.2</v>
      </c>
      <c r="G3963">
        <f t="shared" si="61"/>
        <v>1559.79</v>
      </c>
      <c r="H3963" t="str">
        <f>VLOOKUP(C3963,[1]products!$A:$B,2,FALSE)</f>
        <v>Sun Bicycles ElectroLite - 2017</v>
      </c>
      <c r="I3963">
        <f>VLOOKUP(C3963,[1]products!$A:$D,4,FALSE)</f>
        <v>5</v>
      </c>
      <c r="J3963" t="str">
        <f>VLOOKUP(I3963,[2]categories!$A$1:$B$8,2,FALSE)</f>
        <v>Electric Bikes</v>
      </c>
    </row>
    <row r="3964" customHeight="1" spans="1:10">
      <c r="A3964" s="1">
        <v>1357</v>
      </c>
      <c r="B3964" s="1">
        <v>3</v>
      </c>
      <c r="C3964" s="1">
        <v>130</v>
      </c>
      <c r="D3964" s="1">
        <v>1</v>
      </c>
      <c r="E3964" s="1">
        <v>919.99</v>
      </c>
      <c r="F3964" s="1">
        <v>0.2</v>
      </c>
      <c r="G3964">
        <f t="shared" si="61"/>
        <v>919.79</v>
      </c>
      <c r="H3964" t="str">
        <f>VLOOKUP(C3964,[1]products!$A:$B,2,FALSE)</f>
        <v>Trek Stache Carbon Frameset - 2018</v>
      </c>
      <c r="I3964">
        <f>VLOOKUP(C3964,[1]products!$A:$D,4,FALSE)</f>
        <v>6</v>
      </c>
      <c r="J3964" t="str">
        <f>VLOOKUP(I3964,[2]categories!$A$1:$B$8,2,FALSE)</f>
        <v>Mountain Bikes</v>
      </c>
    </row>
    <row r="3965" customHeight="1" spans="1:10">
      <c r="A3965" s="1">
        <v>1358</v>
      </c>
      <c r="B3965" s="1">
        <v>1</v>
      </c>
      <c r="C3965" s="1">
        <v>257</v>
      </c>
      <c r="D3965" s="1">
        <v>2</v>
      </c>
      <c r="E3965" s="1">
        <v>899.99</v>
      </c>
      <c r="F3965" s="1">
        <v>0.2</v>
      </c>
      <c r="G3965">
        <f t="shared" si="61"/>
        <v>1799.78</v>
      </c>
      <c r="H3965" t="str">
        <f>VLOOKUP(C3965,[1]products!$A:$B,2,FALSE)</f>
        <v>Electra Amsterdam Fashion 3i Ladies' - 2017/2018</v>
      </c>
      <c r="I3965">
        <f>VLOOKUP(C3965,[1]products!$A:$D,4,FALSE)</f>
        <v>3</v>
      </c>
      <c r="J3965" t="str">
        <f>VLOOKUP(I3965,[2]categories!$A$1:$B$8,2,FALSE)</f>
        <v>Cruisers Bicycles</v>
      </c>
    </row>
    <row r="3966" customHeight="1" spans="1:10">
      <c r="A3966" s="1">
        <v>1359</v>
      </c>
      <c r="B3966" s="1">
        <v>1</v>
      </c>
      <c r="C3966" s="1">
        <v>282</v>
      </c>
      <c r="D3966" s="1">
        <v>1</v>
      </c>
      <c r="E3966" s="1">
        <v>279.99</v>
      </c>
      <c r="F3966" s="1">
        <v>0.05</v>
      </c>
      <c r="G3966">
        <f t="shared" si="61"/>
        <v>279.94</v>
      </c>
      <c r="H3966" t="str">
        <f>VLOOKUP(C3966,[1]products!$A:$B,2,FALSE)</f>
        <v>Electra Cyclosaurus 1 (16-inch) - Boy's - 2018</v>
      </c>
      <c r="I3966">
        <f>VLOOKUP(C3966,[1]products!$A:$D,4,FALSE)</f>
        <v>1</v>
      </c>
      <c r="J3966" t="str">
        <f>VLOOKUP(I3966,[2]categories!$A$1:$B$8,2,FALSE)</f>
        <v>Children Bicycles</v>
      </c>
    </row>
    <row r="3967" customHeight="1" spans="1:10">
      <c r="A3967" s="1">
        <v>1359</v>
      </c>
      <c r="B3967" s="1">
        <v>2</v>
      </c>
      <c r="C3967" s="1">
        <v>82</v>
      </c>
      <c r="D3967" s="1">
        <v>1</v>
      </c>
      <c r="E3967" s="1">
        <v>659.99</v>
      </c>
      <c r="F3967" s="1">
        <v>0.05</v>
      </c>
      <c r="G3967">
        <f t="shared" si="61"/>
        <v>659.94</v>
      </c>
      <c r="H3967" t="str">
        <f>VLOOKUP(C3967,[1]products!$A:$B,2,FALSE)</f>
        <v>Electra Amsterdam Original 3i Ladies' - 2017</v>
      </c>
      <c r="I3967">
        <f>VLOOKUP(C3967,[1]products!$A:$D,4,FALSE)</f>
        <v>3</v>
      </c>
      <c r="J3967" t="str">
        <f>VLOOKUP(I3967,[2]categories!$A$1:$B$8,2,FALSE)</f>
        <v>Cruisers Bicycles</v>
      </c>
    </row>
    <row r="3968" customHeight="1" spans="1:10">
      <c r="A3968" s="1">
        <v>1360</v>
      </c>
      <c r="B3968" s="1">
        <v>1</v>
      </c>
      <c r="C3968" s="1">
        <v>31</v>
      </c>
      <c r="D3968" s="1">
        <v>1</v>
      </c>
      <c r="E3968" s="1">
        <v>1632.99</v>
      </c>
      <c r="F3968" s="1">
        <v>0.05</v>
      </c>
      <c r="G3968">
        <f t="shared" si="61"/>
        <v>1632.94</v>
      </c>
      <c r="H3968" t="str">
        <f>VLOOKUP(C3968,[1]products!$A:$B,2,FALSE)</f>
        <v>Surly Wednesday - 2017</v>
      </c>
      <c r="I3968">
        <f>VLOOKUP(C3968,[1]products!$A:$D,4,FALSE)</f>
        <v>6</v>
      </c>
      <c r="J3968" t="str">
        <f>VLOOKUP(I3968,[2]categories!$A$1:$B$8,2,FALSE)</f>
        <v>Mountain Bikes</v>
      </c>
    </row>
    <row r="3969" customHeight="1" spans="1:10">
      <c r="A3969" s="1">
        <v>1361</v>
      </c>
      <c r="B3969" s="1">
        <v>1</v>
      </c>
      <c r="C3969" s="1">
        <v>307</v>
      </c>
      <c r="D3969" s="1">
        <v>2</v>
      </c>
      <c r="E3969" s="1">
        <v>749.99</v>
      </c>
      <c r="F3969" s="1">
        <v>0.07</v>
      </c>
      <c r="G3969">
        <f t="shared" si="61"/>
        <v>1499.91</v>
      </c>
      <c r="H3969" t="str">
        <f>VLOOKUP(C3969,[1]products!$A:$B,2,FALSE)</f>
        <v>Electra Townie Balloon 8D EQ - 2016/2017/2018</v>
      </c>
      <c r="I3969">
        <f>VLOOKUP(C3969,[1]products!$A:$D,4,FALSE)</f>
        <v>2</v>
      </c>
      <c r="J3969" t="str">
        <f>VLOOKUP(I3969,[2]categories!$A$1:$B$8,2,FALSE)</f>
        <v>Comfort Bicycles</v>
      </c>
    </row>
    <row r="3970" customHeight="1" spans="1:10">
      <c r="A3970" s="1">
        <v>1361</v>
      </c>
      <c r="B3970" s="1">
        <v>2</v>
      </c>
      <c r="C3970" s="1">
        <v>153</v>
      </c>
      <c r="D3970" s="1">
        <v>1</v>
      </c>
      <c r="E3970" s="1">
        <v>4999.99</v>
      </c>
      <c r="F3970" s="1">
        <v>0.05</v>
      </c>
      <c r="G3970">
        <f t="shared" si="61"/>
        <v>4999.94</v>
      </c>
      <c r="H3970" t="str">
        <f>VLOOKUP(C3970,[1]products!$A:$B,2,FALSE)</f>
        <v>Trek Domane SL 7 Women's - 2018</v>
      </c>
      <c r="I3970">
        <f>VLOOKUP(C3970,[1]products!$A:$D,4,FALSE)</f>
        <v>7</v>
      </c>
      <c r="J3970" t="str">
        <f>VLOOKUP(I3970,[2]categories!$A$1:$B$8,2,FALSE)</f>
        <v>Road Bikes</v>
      </c>
    </row>
    <row r="3971" customHeight="1" spans="1:10">
      <c r="A3971" s="1">
        <v>1361</v>
      </c>
      <c r="B3971" s="1">
        <v>3</v>
      </c>
      <c r="C3971" s="1">
        <v>163</v>
      </c>
      <c r="D3971" s="1">
        <v>2</v>
      </c>
      <c r="E3971" s="1">
        <v>1349</v>
      </c>
      <c r="F3971" s="1">
        <v>0.2</v>
      </c>
      <c r="G3971">
        <f t="shared" ref="G3971:G4034" si="62">(E3971*D3971)-F3971</f>
        <v>2697.8</v>
      </c>
      <c r="H3971" t="str">
        <f>VLOOKUP(C3971,[1]products!$A:$B,2,FALSE)</f>
        <v>Surly Pack Rat - 2018</v>
      </c>
      <c r="I3971">
        <f>VLOOKUP(C3971,[1]products!$A:$D,4,FALSE)</f>
        <v>7</v>
      </c>
      <c r="J3971" t="str">
        <f>VLOOKUP(I3971,[2]categories!$A$1:$B$8,2,FALSE)</f>
        <v>Road Bikes</v>
      </c>
    </row>
    <row r="3972" customHeight="1" spans="1:10">
      <c r="A3972" s="1">
        <v>1362</v>
      </c>
      <c r="B3972" s="1">
        <v>1</v>
      </c>
      <c r="C3972" s="1">
        <v>27</v>
      </c>
      <c r="D3972" s="1">
        <v>2</v>
      </c>
      <c r="E3972" s="1">
        <v>999.99</v>
      </c>
      <c r="F3972" s="1">
        <v>0.2</v>
      </c>
      <c r="G3972">
        <f t="shared" si="62"/>
        <v>1999.78</v>
      </c>
      <c r="H3972" t="str">
        <f>VLOOKUP(C3972,[1]products!$A:$B,2,FALSE)</f>
        <v>Surly Big Dummy Frameset - 2017</v>
      </c>
      <c r="I3972">
        <f>VLOOKUP(C3972,[1]products!$A:$D,4,FALSE)</f>
        <v>6</v>
      </c>
      <c r="J3972" t="str">
        <f>VLOOKUP(I3972,[2]categories!$A$1:$B$8,2,FALSE)</f>
        <v>Mountain Bikes</v>
      </c>
    </row>
    <row r="3973" customHeight="1" spans="1:10">
      <c r="A3973" s="1">
        <v>1362</v>
      </c>
      <c r="B3973" s="1">
        <v>2</v>
      </c>
      <c r="C3973" s="1">
        <v>204</v>
      </c>
      <c r="D3973" s="1">
        <v>2</v>
      </c>
      <c r="E3973" s="1">
        <v>3599.99</v>
      </c>
      <c r="F3973" s="1">
        <v>0.07</v>
      </c>
      <c r="G3973">
        <f t="shared" si="62"/>
        <v>7199.91</v>
      </c>
      <c r="H3973" t="str">
        <f>VLOOKUP(C3973,[1]products!$A:$B,2,FALSE)</f>
        <v>Trek Super Commuter+ 7 - 2018</v>
      </c>
      <c r="I3973">
        <f>VLOOKUP(C3973,[1]products!$A:$D,4,FALSE)</f>
        <v>5</v>
      </c>
      <c r="J3973" t="str">
        <f>VLOOKUP(I3973,[2]categories!$A$1:$B$8,2,FALSE)</f>
        <v>Electric Bikes</v>
      </c>
    </row>
    <row r="3974" customHeight="1" spans="1:10">
      <c r="A3974" s="1">
        <v>1362</v>
      </c>
      <c r="B3974" s="1">
        <v>3</v>
      </c>
      <c r="C3974" s="1">
        <v>4</v>
      </c>
      <c r="D3974" s="1">
        <v>2</v>
      </c>
      <c r="E3974" s="1">
        <v>2899.99</v>
      </c>
      <c r="F3974" s="1">
        <v>0.2</v>
      </c>
      <c r="G3974">
        <f t="shared" si="62"/>
        <v>5799.78</v>
      </c>
      <c r="H3974" t="str">
        <f>VLOOKUP(C3974,[1]products!$A:$B,2,FALSE)</f>
        <v>Trek Fuel EX 8 29 - 2016</v>
      </c>
      <c r="I3974">
        <f>VLOOKUP(C3974,[1]products!$A:$D,4,FALSE)</f>
        <v>6</v>
      </c>
      <c r="J3974" t="str">
        <f>VLOOKUP(I3974,[2]categories!$A$1:$B$8,2,FALSE)</f>
        <v>Mountain Bikes</v>
      </c>
    </row>
    <row r="3975" customHeight="1" spans="1:10">
      <c r="A3975" s="1">
        <v>1363</v>
      </c>
      <c r="B3975" s="1">
        <v>1</v>
      </c>
      <c r="C3975" s="1">
        <v>66</v>
      </c>
      <c r="D3975" s="1">
        <v>2</v>
      </c>
      <c r="E3975" s="1">
        <v>250.99</v>
      </c>
      <c r="F3975" s="1">
        <v>0.1</v>
      </c>
      <c r="G3975">
        <f t="shared" si="62"/>
        <v>501.88</v>
      </c>
      <c r="H3975" t="str">
        <f>VLOOKUP(C3975,[1]products!$A:$B,2,FALSE)</f>
        <v>Sun Bicycles Revolutions 24 - 2017</v>
      </c>
      <c r="I3975">
        <f>VLOOKUP(C3975,[1]products!$A:$D,4,FALSE)</f>
        <v>3</v>
      </c>
      <c r="J3975" t="str">
        <f>VLOOKUP(I3975,[2]categories!$A$1:$B$8,2,FALSE)</f>
        <v>Cruisers Bicycles</v>
      </c>
    </row>
    <row r="3976" customHeight="1" spans="1:10">
      <c r="A3976" s="1">
        <v>1364</v>
      </c>
      <c r="B3976" s="1">
        <v>1</v>
      </c>
      <c r="C3976" s="1">
        <v>78</v>
      </c>
      <c r="D3976" s="1">
        <v>1</v>
      </c>
      <c r="E3976" s="1">
        <v>647.99</v>
      </c>
      <c r="F3976" s="1">
        <v>0.07</v>
      </c>
      <c r="G3976">
        <f t="shared" si="62"/>
        <v>647.92</v>
      </c>
      <c r="H3976" t="str">
        <f>VLOOKUP(C3976,[1]products!$A:$B,2,FALSE)</f>
        <v>Sun Bicycles Biscayne Tandem CB - 2017</v>
      </c>
      <c r="I3976">
        <f>VLOOKUP(C3976,[1]products!$A:$D,4,FALSE)</f>
        <v>3</v>
      </c>
      <c r="J3976" t="str">
        <f>VLOOKUP(I3976,[2]categories!$A$1:$B$8,2,FALSE)</f>
        <v>Cruisers Bicycles</v>
      </c>
    </row>
    <row r="3977" customHeight="1" spans="1:10">
      <c r="A3977" s="1">
        <v>1364</v>
      </c>
      <c r="B3977" s="1">
        <v>2</v>
      </c>
      <c r="C3977" s="1">
        <v>155</v>
      </c>
      <c r="D3977" s="1">
        <v>2</v>
      </c>
      <c r="E3977" s="1">
        <v>11999.99</v>
      </c>
      <c r="F3977" s="1">
        <v>0.1</v>
      </c>
      <c r="G3977">
        <f t="shared" si="62"/>
        <v>23999.88</v>
      </c>
      <c r="H3977" t="str">
        <f>VLOOKUP(C3977,[1]products!$A:$B,2,FALSE)</f>
        <v>Trek Domane SLR 9 Disc - 2018</v>
      </c>
      <c r="I3977">
        <f>VLOOKUP(C3977,[1]products!$A:$D,4,FALSE)</f>
        <v>7</v>
      </c>
      <c r="J3977" t="str">
        <f>VLOOKUP(I3977,[2]categories!$A$1:$B$8,2,FALSE)</f>
        <v>Road Bikes</v>
      </c>
    </row>
    <row r="3978" customHeight="1" spans="1:10">
      <c r="A3978" s="1">
        <v>1364</v>
      </c>
      <c r="B3978" s="1">
        <v>3</v>
      </c>
      <c r="C3978" s="1">
        <v>152</v>
      </c>
      <c r="D3978" s="1">
        <v>1</v>
      </c>
      <c r="E3978" s="1">
        <v>2499.99</v>
      </c>
      <c r="F3978" s="1">
        <v>0.1</v>
      </c>
      <c r="G3978">
        <f t="shared" si="62"/>
        <v>2499.89</v>
      </c>
      <c r="H3978" t="str">
        <f>VLOOKUP(C3978,[1]products!$A:$B,2,FALSE)</f>
        <v>Trek Domane SL 5 Disc Women's - 2018</v>
      </c>
      <c r="I3978">
        <f>VLOOKUP(C3978,[1]products!$A:$D,4,FALSE)</f>
        <v>7</v>
      </c>
      <c r="J3978" t="str">
        <f>VLOOKUP(I3978,[2]categories!$A$1:$B$8,2,FALSE)</f>
        <v>Road Bikes</v>
      </c>
    </row>
    <row r="3979" customHeight="1" spans="1:10">
      <c r="A3979" s="1">
        <v>1364</v>
      </c>
      <c r="B3979" s="1">
        <v>4</v>
      </c>
      <c r="C3979" s="1">
        <v>110</v>
      </c>
      <c r="D3979" s="1">
        <v>1</v>
      </c>
      <c r="E3979" s="1">
        <v>470.99</v>
      </c>
      <c r="F3979" s="1">
        <v>0.07</v>
      </c>
      <c r="G3979">
        <f t="shared" si="62"/>
        <v>470.92</v>
      </c>
      <c r="H3979" t="str">
        <f>VLOOKUP(C3979,[1]products!$A:$B,2,FALSE)</f>
        <v>Sun Bicycles Drifter 7 - 2017</v>
      </c>
      <c r="I3979">
        <f>VLOOKUP(C3979,[1]products!$A:$D,4,FALSE)</f>
        <v>2</v>
      </c>
      <c r="J3979" t="str">
        <f>VLOOKUP(I3979,[2]categories!$A$1:$B$8,2,FALSE)</f>
        <v>Comfort Bicycles</v>
      </c>
    </row>
    <row r="3980" customHeight="1" spans="1:10">
      <c r="A3980" s="1">
        <v>1365</v>
      </c>
      <c r="B3980" s="1">
        <v>1</v>
      </c>
      <c r="C3980" s="1">
        <v>144</v>
      </c>
      <c r="D3980" s="1">
        <v>1</v>
      </c>
      <c r="E3980" s="1">
        <v>1549.99</v>
      </c>
      <c r="F3980" s="1">
        <v>0.07</v>
      </c>
      <c r="G3980">
        <f t="shared" si="62"/>
        <v>1549.92</v>
      </c>
      <c r="H3980" t="str">
        <f>VLOOKUP(C3980,[1]products!$A:$B,2,FALSE)</f>
        <v>Trek Domane ALR 4 Disc - 2018</v>
      </c>
      <c r="I3980">
        <f>VLOOKUP(C3980,[1]products!$A:$D,4,FALSE)</f>
        <v>7</v>
      </c>
      <c r="J3980" t="str">
        <f>VLOOKUP(I3980,[2]categories!$A$1:$B$8,2,FALSE)</f>
        <v>Road Bikes</v>
      </c>
    </row>
    <row r="3981" customHeight="1" spans="1:10">
      <c r="A3981" s="1">
        <v>1365</v>
      </c>
      <c r="B3981" s="1">
        <v>2</v>
      </c>
      <c r="C3981" s="1">
        <v>58</v>
      </c>
      <c r="D3981" s="1">
        <v>1</v>
      </c>
      <c r="E3981" s="1">
        <v>4999.99</v>
      </c>
      <c r="F3981" s="1">
        <v>0.07</v>
      </c>
      <c r="G3981">
        <f t="shared" si="62"/>
        <v>4999.92</v>
      </c>
      <c r="H3981" t="str">
        <f>VLOOKUP(C3981,[1]products!$A:$B,2,FALSE)</f>
        <v>Trek Madone 9.2 - 2017</v>
      </c>
      <c r="I3981">
        <f>VLOOKUP(C3981,[1]products!$A:$D,4,FALSE)</f>
        <v>7</v>
      </c>
      <c r="J3981" t="str">
        <f>VLOOKUP(I3981,[2]categories!$A$1:$B$8,2,FALSE)</f>
        <v>Road Bikes</v>
      </c>
    </row>
    <row r="3982" customHeight="1" spans="1:10">
      <c r="A3982" s="1">
        <v>1365</v>
      </c>
      <c r="B3982" s="1">
        <v>3</v>
      </c>
      <c r="C3982" s="1">
        <v>236</v>
      </c>
      <c r="D3982" s="1">
        <v>1</v>
      </c>
      <c r="E3982" s="1">
        <v>749.99</v>
      </c>
      <c r="F3982" s="1">
        <v>0.05</v>
      </c>
      <c r="G3982">
        <f t="shared" si="62"/>
        <v>749.94</v>
      </c>
      <c r="H3982" t="str">
        <f>VLOOKUP(C3982,[1]products!$A:$B,2,FALSE)</f>
        <v>Electra Morningstar 3i Ladies' - 2018</v>
      </c>
      <c r="I3982">
        <f>VLOOKUP(C3982,[1]products!$A:$D,4,FALSE)</f>
        <v>3</v>
      </c>
      <c r="J3982" t="str">
        <f>VLOOKUP(I3982,[2]categories!$A$1:$B$8,2,FALSE)</f>
        <v>Cruisers Bicycles</v>
      </c>
    </row>
    <row r="3983" customHeight="1" spans="1:10">
      <c r="A3983" s="1">
        <v>1366</v>
      </c>
      <c r="B3983" s="1">
        <v>1</v>
      </c>
      <c r="C3983" s="1">
        <v>115</v>
      </c>
      <c r="D3983" s="1">
        <v>1</v>
      </c>
      <c r="E3983" s="1">
        <v>3199.99</v>
      </c>
      <c r="F3983" s="1">
        <v>0.1</v>
      </c>
      <c r="G3983">
        <f t="shared" si="62"/>
        <v>3199.89</v>
      </c>
      <c r="H3983" t="str">
        <f>VLOOKUP(C3983,[1]products!$A:$B,2,FALSE)</f>
        <v>Trek Fuel EX 8 29 - 2018</v>
      </c>
      <c r="I3983">
        <f>VLOOKUP(C3983,[1]products!$A:$D,4,FALSE)</f>
        <v>6</v>
      </c>
      <c r="J3983" t="str">
        <f>VLOOKUP(I3983,[2]categories!$A$1:$B$8,2,FALSE)</f>
        <v>Mountain Bikes</v>
      </c>
    </row>
    <row r="3984" customHeight="1" spans="1:10">
      <c r="A3984" s="1">
        <v>1366</v>
      </c>
      <c r="B3984" s="1">
        <v>2</v>
      </c>
      <c r="C3984" s="1">
        <v>128</v>
      </c>
      <c r="D3984" s="1">
        <v>2</v>
      </c>
      <c r="E3984" s="1">
        <v>1899</v>
      </c>
      <c r="F3984" s="1">
        <v>0.2</v>
      </c>
      <c r="G3984">
        <f t="shared" si="62"/>
        <v>3797.8</v>
      </c>
      <c r="H3984" t="str">
        <f>VLOOKUP(C3984,[1]products!$A:$B,2,FALSE)</f>
        <v>Surly ECR 27.5 - 2018</v>
      </c>
      <c r="I3984">
        <f>VLOOKUP(C3984,[1]products!$A:$D,4,FALSE)</f>
        <v>6</v>
      </c>
      <c r="J3984" t="str">
        <f>VLOOKUP(I3984,[2]categories!$A$1:$B$8,2,FALSE)</f>
        <v>Mountain Bikes</v>
      </c>
    </row>
    <row r="3985" customHeight="1" spans="1:10">
      <c r="A3985" s="1">
        <v>1366</v>
      </c>
      <c r="B3985" s="1">
        <v>3</v>
      </c>
      <c r="C3985" s="1">
        <v>200</v>
      </c>
      <c r="D3985" s="1">
        <v>1</v>
      </c>
      <c r="E3985" s="1">
        <v>3499.99</v>
      </c>
      <c r="F3985" s="1">
        <v>0.07</v>
      </c>
      <c r="G3985">
        <f t="shared" si="62"/>
        <v>3499.92</v>
      </c>
      <c r="H3985" t="str">
        <f>VLOOKUP(C3985,[1]products!$A:$B,2,FALSE)</f>
        <v>Trek Powerfly 5 - 2018</v>
      </c>
      <c r="I3985">
        <f>VLOOKUP(C3985,[1]products!$A:$D,4,FALSE)</f>
        <v>5</v>
      </c>
      <c r="J3985" t="str">
        <f>VLOOKUP(I3985,[2]categories!$A$1:$B$8,2,FALSE)</f>
        <v>Electric Bikes</v>
      </c>
    </row>
    <row r="3986" customHeight="1" spans="1:10">
      <c r="A3986" s="1">
        <v>1367</v>
      </c>
      <c r="B3986" s="1">
        <v>1</v>
      </c>
      <c r="C3986" s="1">
        <v>132</v>
      </c>
      <c r="D3986" s="1">
        <v>1</v>
      </c>
      <c r="E3986" s="1">
        <v>1499.99</v>
      </c>
      <c r="F3986" s="1">
        <v>0.1</v>
      </c>
      <c r="G3986">
        <f t="shared" si="62"/>
        <v>1499.89</v>
      </c>
      <c r="H3986" t="str">
        <f>VLOOKUP(C3986,[1]products!$A:$B,2,FALSE)</f>
        <v>Trek Procal AL Frameset - 2018</v>
      </c>
      <c r="I3986">
        <f>VLOOKUP(C3986,[1]products!$A:$D,4,FALSE)</f>
        <v>6</v>
      </c>
      <c r="J3986" t="str">
        <f>VLOOKUP(I3986,[2]categories!$A$1:$B$8,2,FALSE)</f>
        <v>Mountain Bikes</v>
      </c>
    </row>
    <row r="3987" customHeight="1" spans="1:10">
      <c r="A3987" s="1">
        <v>1367</v>
      </c>
      <c r="B3987" s="1">
        <v>2</v>
      </c>
      <c r="C3987" s="1">
        <v>131</v>
      </c>
      <c r="D3987" s="1">
        <v>2</v>
      </c>
      <c r="E3987" s="1">
        <v>2599</v>
      </c>
      <c r="F3987" s="1">
        <v>0.2</v>
      </c>
      <c r="G3987">
        <f t="shared" si="62"/>
        <v>5197.8</v>
      </c>
      <c r="H3987" t="str">
        <f>VLOOKUP(C3987,[1]products!$A:$B,2,FALSE)</f>
        <v>Heller Bloodhound Trail - 2018</v>
      </c>
      <c r="I3987">
        <f>VLOOKUP(C3987,[1]products!$A:$D,4,FALSE)</f>
        <v>6</v>
      </c>
      <c r="J3987" t="str">
        <f>VLOOKUP(I3987,[2]categories!$A$1:$B$8,2,FALSE)</f>
        <v>Mountain Bikes</v>
      </c>
    </row>
    <row r="3988" customHeight="1" spans="1:10">
      <c r="A3988" s="1">
        <v>1367</v>
      </c>
      <c r="B3988" s="1">
        <v>3</v>
      </c>
      <c r="C3988" s="1">
        <v>124</v>
      </c>
      <c r="D3988" s="1">
        <v>1</v>
      </c>
      <c r="E3988" s="1">
        <v>1499</v>
      </c>
      <c r="F3988" s="1">
        <v>0.07</v>
      </c>
      <c r="G3988">
        <f t="shared" si="62"/>
        <v>1498.93</v>
      </c>
      <c r="H3988" t="str">
        <f>VLOOKUP(C3988,[1]products!$A:$B,2,FALSE)</f>
        <v>Surly Krampus - 2018</v>
      </c>
      <c r="I3988">
        <f>VLOOKUP(C3988,[1]products!$A:$D,4,FALSE)</f>
        <v>6</v>
      </c>
      <c r="J3988" t="str">
        <f>VLOOKUP(I3988,[2]categories!$A$1:$B$8,2,FALSE)</f>
        <v>Mountain Bikes</v>
      </c>
    </row>
    <row r="3989" customHeight="1" spans="1:10">
      <c r="A3989" s="1">
        <v>1367</v>
      </c>
      <c r="B3989" s="1">
        <v>4</v>
      </c>
      <c r="C3989" s="1">
        <v>24</v>
      </c>
      <c r="D3989" s="1">
        <v>2</v>
      </c>
      <c r="E3989" s="1">
        <v>549.99</v>
      </c>
      <c r="F3989" s="1">
        <v>0.05</v>
      </c>
      <c r="G3989">
        <f t="shared" si="62"/>
        <v>1099.93</v>
      </c>
      <c r="H3989" t="str">
        <f>VLOOKUP(C3989,[1]products!$A:$B,2,FALSE)</f>
        <v>Electra Townie Original 21D - 2016</v>
      </c>
      <c r="I3989">
        <f>VLOOKUP(C3989,[1]products!$A:$D,4,FALSE)</f>
        <v>2</v>
      </c>
      <c r="J3989" t="str">
        <f>VLOOKUP(I3989,[2]categories!$A$1:$B$8,2,FALSE)</f>
        <v>Comfort Bicycles</v>
      </c>
    </row>
    <row r="3990" customHeight="1" spans="1:10">
      <c r="A3990" s="1">
        <v>1368</v>
      </c>
      <c r="B3990" s="1">
        <v>1</v>
      </c>
      <c r="C3990" s="1">
        <v>66</v>
      </c>
      <c r="D3990" s="1">
        <v>1</v>
      </c>
      <c r="E3990" s="1">
        <v>250.99</v>
      </c>
      <c r="F3990" s="1">
        <v>0.1</v>
      </c>
      <c r="G3990">
        <f t="shared" si="62"/>
        <v>250.89</v>
      </c>
      <c r="H3990" t="str">
        <f>VLOOKUP(C3990,[1]products!$A:$B,2,FALSE)</f>
        <v>Sun Bicycles Revolutions 24 - 2017</v>
      </c>
      <c r="I3990">
        <f>VLOOKUP(C3990,[1]products!$A:$D,4,FALSE)</f>
        <v>3</v>
      </c>
      <c r="J3990" t="str">
        <f>VLOOKUP(I3990,[2]categories!$A$1:$B$8,2,FALSE)</f>
        <v>Cruisers Bicycles</v>
      </c>
    </row>
    <row r="3991" customHeight="1" spans="1:10">
      <c r="A3991" s="1">
        <v>1368</v>
      </c>
      <c r="B3991" s="1">
        <v>2</v>
      </c>
      <c r="C3991" s="1">
        <v>113</v>
      </c>
      <c r="D3991" s="1">
        <v>2</v>
      </c>
      <c r="E3991" s="1">
        <v>489.99</v>
      </c>
      <c r="F3991" s="1">
        <v>0.07</v>
      </c>
      <c r="G3991">
        <f t="shared" si="62"/>
        <v>979.91</v>
      </c>
      <c r="H3991" t="str">
        <f>VLOOKUP(C3991,[1]products!$A:$B,2,FALSE)</f>
        <v>Trek Marlin 5 - 2018</v>
      </c>
      <c r="I3991">
        <f>VLOOKUP(C3991,[1]products!$A:$D,4,FALSE)</f>
        <v>6</v>
      </c>
      <c r="J3991" t="str">
        <f>VLOOKUP(I3991,[2]categories!$A$1:$B$8,2,FALSE)</f>
        <v>Mountain Bikes</v>
      </c>
    </row>
    <row r="3992" customHeight="1" spans="1:10">
      <c r="A3992" s="1">
        <v>1368</v>
      </c>
      <c r="B3992" s="1">
        <v>3</v>
      </c>
      <c r="C3992" s="1">
        <v>186</v>
      </c>
      <c r="D3992" s="1">
        <v>1</v>
      </c>
      <c r="E3992" s="1">
        <v>4499.99</v>
      </c>
      <c r="F3992" s="1">
        <v>0.2</v>
      </c>
      <c r="G3992">
        <f t="shared" si="62"/>
        <v>4499.79</v>
      </c>
      <c r="H3992" t="str">
        <f>VLOOKUP(C3992,[1]products!$A:$B,2,FALSE)</f>
        <v>Trek CrossRip+ - 2018</v>
      </c>
      <c r="I3992">
        <f>VLOOKUP(C3992,[1]products!$A:$D,4,FALSE)</f>
        <v>5</v>
      </c>
      <c r="J3992" t="str">
        <f>VLOOKUP(I3992,[2]categories!$A$1:$B$8,2,FALSE)</f>
        <v>Electric Bikes</v>
      </c>
    </row>
    <row r="3993" customHeight="1" spans="1:10">
      <c r="A3993" s="1">
        <v>1369</v>
      </c>
      <c r="B3993" s="1">
        <v>1</v>
      </c>
      <c r="C3993" s="1">
        <v>213</v>
      </c>
      <c r="D3993" s="1">
        <v>2</v>
      </c>
      <c r="E3993" s="1">
        <v>269.99</v>
      </c>
      <c r="F3993" s="1">
        <v>0.05</v>
      </c>
      <c r="G3993">
        <f t="shared" si="62"/>
        <v>539.93</v>
      </c>
      <c r="H3993" t="str">
        <f>VLOOKUP(C3993,[1]products!$A:$B,2,FALSE)</f>
        <v>Electra Cruiser 1 - 2016/2017/2018</v>
      </c>
      <c r="I3993">
        <f>VLOOKUP(C3993,[1]products!$A:$D,4,FALSE)</f>
        <v>3</v>
      </c>
      <c r="J3993" t="str">
        <f>VLOOKUP(I3993,[2]categories!$A$1:$B$8,2,FALSE)</f>
        <v>Cruisers Bicycles</v>
      </c>
    </row>
    <row r="3994" customHeight="1" spans="1:10">
      <c r="A3994" s="1">
        <v>1370</v>
      </c>
      <c r="B3994" s="1">
        <v>1</v>
      </c>
      <c r="C3994" s="1">
        <v>7</v>
      </c>
      <c r="D3994" s="1">
        <v>1</v>
      </c>
      <c r="E3994" s="1">
        <v>3999.99</v>
      </c>
      <c r="F3994" s="1">
        <v>0.07</v>
      </c>
      <c r="G3994">
        <f t="shared" si="62"/>
        <v>3999.92</v>
      </c>
      <c r="H3994" t="str">
        <f>VLOOKUP(C3994,[1]products!$A:$B,2,FALSE)</f>
        <v>Trek Slash 8 27.5 - 2016</v>
      </c>
      <c r="I3994">
        <f>VLOOKUP(C3994,[1]products!$A:$D,4,FALSE)</f>
        <v>6</v>
      </c>
      <c r="J3994" t="str">
        <f>VLOOKUP(I3994,[2]categories!$A$1:$B$8,2,FALSE)</f>
        <v>Mountain Bikes</v>
      </c>
    </row>
    <row r="3995" customHeight="1" spans="1:10">
      <c r="A3995" s="1">
        <v>1370</v>
      </c>
      <c r="B3995" s="1">
        <v>2</v>
      </c>
      <c r="C3995" s="1">
        <v>89</v>
      </c>
      <c r="D3995" s="1">
        <v>2</v>
      </c>
      <c r="E3995" s="1">
        <v>209.99</v>
      </c>
      <c r="F3995" s="1">
        <v>0.1</v>
      </c>
      <c r="G3995">
        <f t="shared" si="62"/>
        <v>419.88</v>
      </c>
      <c r="H3995" t="str">
        <f>VLOOKUP(C3995,[1]products!$A:$B,2,FALSE)</f>
        <v>Trek Precaliber 16 Boys - 2017</v>
      </c>
      <c r="I3995">
        <f>VLOOKUP(C3995,[1]products!$A:$D,4,FALSE)</f>
        <v>1</v>
      </c>
      <c r="J3995" t="str">
        <f>VLOOKUP(I3995,[2]categories!$A$1:$B$8,2,FALSE)</f>
        <v>Children Bicycles</v>
      </c>
    </row>
    <row r="3996" customHeight="1" spans="1:10">
      <c r="A3996" s="1">
        <v>1370</v>
      </c>
      <c r="B3996" s="1">
        <v>3</v>
      </c>
      <c r="C3996" s="1">
        <v>208</v>
      </c>
      <c r="D3996" s="1">
        <v>2</v>
      </c>
      <c r="E3996" s="1">
        <v>1799.99</v>
      </c>
      <c r="F3996" s="1">
        <v>0.2</v>
      </c>
      <c r="G3996">
        <f t="shared" si="62"/>
        <v>3599.78</v>
      </c>
      <c r="H3996" t="str">
        <f>VLOOKUP(C3996,[1]products!$A:$B,2,FALSE)</f>
        <v>Trek Crockett 5 Disc - 2018</v>
      </c>
      <c r="I3996">
        <f>VLOOKUP(C3996,[1]products!$A:$D,4,FALSE)</f>
        <v>4</v>
      </c>
      <c r="J3996" t="str">
        <f>VLOOKUP(I3996,[2]categories!$A$1:$B$8,2,FALSE)</f>
        <v>Cyclocross Bicycles</v>
      </c>
    </row>
    <row r="3997" customHeight="1" spans="1:10">
      <c r="A3997" s="1">
        <v>1370</v>
      </c>
      <c r="B3997" s="1">
        <v>4</v>
      </c>
      <c r="C3997" s="1">
        <v>134</v>
      </c>
      <c r="D3997" s="1">
        <v>1</v>
      </c>
      <c r="E3997" s="1">
        <v>1499.99</v>
      </c>
      <c r="F3997" s="1">
        <v>0.1</v>
      </c>
      <c r="G3997">
        <f t="shared" si="62"/>
        <v>1499.89</v>
      </c>
      <c r="H3997" t="str">
        <f>VLOOKUP(C3997,[1]products!$A:$B,2,FALSE)</f>
        <v>Trek Remedy 27.5 C Frameset - 2018</v>
      </c>
      <c r="I3997">
        <f>VLOOKUP(C3997,[1]products!$A:$D,4,FALSE)</f>
        <v>6</v>
      </c>
      <c r="J3997" t="str">
        <f>VLOOKUP(I3997,[2]categories!$A$1:$B$8,2,FALSE)</f>
        <v>Mountain Bikes</v>
      </c>
    </row>
    <row r="3998" customHeight="1" spans="1:10">
      <c r="A3998" s="1">
        <v>1371</v>
      </c>
      <c r="B3998" s="1">
        <v>1</v>
      </c>
      <c r="C3998" s="1">
        <v>223</v>
      </c>
      <c r="D3998" s="1">
        <v>2</v>
      </c>
      <c r="E3998" s="1">
        <v>529.99</v>
      </c>
      <c r="F3998" s="1">
        <v>0.07</v>
      </c>
      <c r="G3998">
        <f t="shared" si="62"/>
        <v>1059.91</v>
      </c>
      <c r="H3998" t="str">
        <f>VLOOKUP(C3998,[1]products!$A:$B,2,FALSE)</f>
        <v>Electra Cruiser Lux 3i - 2018</v>
      </c>
      <c r="I3998">
        <f>VLOOKUP(C3998,[1]products!$A:$D,4,FALSE)</f>
        <v>3</v>
      </c>
      <c r="J3998" t="str">
        <f>VLOOKUP(I3998,[2]categories!$A$1:$B$8,2,FALSE)</f>
        <v>Cruisers Bicycles</v>
      </c>
    </row>
    <row r="3999" customHeight="1" spans="1:10">
      <c r="A3999" s="1">
        <v>1371</v>
      </c>
      <c r="B3999" s="1">
        <v>2</v>
      </c>
      <c r="C3999" s="1">
        <v>8</v>
      </c>
      <c r="D3999" s="1">
        <v>2</v>
      </c>
      <c r="E3999" s="1">
        <v>1799.99</v>
      </c>
      <c r="F3999" s="1">
        <v>0.2</v>
      </c>
      <c r="G3999">
        <f t="shared" si="62"/>
        <v>3599.78</v>
      </c>
      <c r="H3999" t="str">
        <f>VLOOKUP(C3999,[1]products!$A:$B,2,FALSE)</f>
        <v>Trek Remedy 29 Carbon Frameset - 2016</v>
      </c>
      <c r="I3999">
        <f>VLOOKUP(C3999,[1]products!$A:$D,4,FALSE)</f>
        <v>6</v>
      </c>
      <c r="J3999" t="str">
        <f>VLOOKUP(I3999,[2]categories!$A$1:$B$8,2,FALSE)</f>
        <v>Mountain Bikes</v>
      </c>
    </row>
    <row r="4000" customHeight="1" spans="1:10">
      <c r="A4000" s="1">
        <v>1372</v>
      </c>
      <c r="B4000" s="1">
        <v>1</v>
      </c>
      <c r="C4000" s="1">
        <v>307</v>
      </c>
      <c r="D4000" s="1">
        <v>1</v>
      </c>
      <c r="E4000" s="1">
        <v>749.99</v>
      </c>
      <c r="F4000" s="1">
        <v>0.07</v>
      </c>
      <c r="G4000">
        <f t="shared" si="62"/>
        <v>749.92</v>
      </c>
      <c r="H4000" t="str">
        <f>VLOOKUP(C4000,[1]products!$A:$B,2,FALSE)</f>
        <v>Electra Townie Balloon 8D EQ - 2016/2017/2018</v>
      </c>
      <c r="I4000">
        <f>VLOOKUP(C4000,[1]products!$A:$D,4,FALSE)</f>
        <v>2</v>
      </c>
      <c r="J4000" t="str">
        <f>VLOOKUP(I4000,[2]categories!$A$1:$B$8,2,FALSE)</f>
        <v>Comfort Bicycles</v>
      </c>
    </row>
    <row r="4001" customHeight="1" spans="1:10">
      <c r="A4001" s="1">
        <v>1372</v>
      </c>
      <c r="B4001" s="1">
        <v>2</v>
      </c>
      <c r="C4001" s="1">
        <v>283</v>
      </c>
      <c r="D4001" s="1">
        <v>2</v>
      </c>
      <c r="E4001" s="1">
        <v>319.99</v>
      </c>
      <c r="F4001" s="1">
        <v>0.2</v>
      </c>
      <c r="G4001">
        <f t="shared" si="62"/>
        <v>639.78</v>
      </c>
      <c r="H4001" t="str">
        <f>VLOOKUP(C4001,[1]products!$A:$B,2,FALSE)</f>
        <v>Electra Heartchya 1 (20-inch) - Girl's - 2018</v>
      </c>
      <c r="I4001">
        <f>VLOOKUP(C4001,[1]products!$A:$D,4,FALSE)</f>
        <v>1</v>
      </c>
      <c r="J4001" t="str">
        <f>VLOOKUP(I4001,[2]categories!$A$1:$B$8,2,FALSE)</f>
        <v>Children Bicycles</v>
      </c>
    </row>
    <row r="4002" customHeight="1" spans="1:10">
      <c r="A4002" s="1">
        <v>1373</v>
      </c>
      <c r="B4002" s="1">
        <v>1</v>
      </c>
      <c r="C4002" s="1">
        <v>63</v>
      </c>
      <c r="D4002" s="1">
        <v>1</v>
      </c>
      <c r="E4002" s="1">
        <v>3499.99</v>
      </c>
      <c r="F4002" s="1">
        <v>0.1</v>
      </c>
      <c r="G4002">
        <f t="shared" si="62"/>
        <v>3499.89</v>
      </c>
      <c r="H4002" t="str">
        <f>VLOOKUP(C4002,[1]products!$A:$B,2,FALSE)</f>
        <v>Trek Boone Race Shop Limited - 2017</v>
      </c>
      <c r="I4002">
        <f>VLOOKUP(C4002,[1]products!$A:$D,4,FALSE)</f>
        <v>4</v>
      </c>
      <c r="J4002" t="str">
        <f>VLOOKUP(I4002,[2]categories!$A$1:$B$8,2,FALSE)</f>
        <v>Cyclocross Bicycles</v>
      </c>
    </row>
    <row r="4003" customHeight="1" spans="1:10">
      <c r="A4003" s="1">
        <v>1374</v>
      </c>
      <c r="B4003" s="1">
        <v>1</v>
      </c>
      <c r="C4003" s="1">
        <v>181</v>
      </c>
      <c r="D4003" s="1">
        <v>2</v>
      </c>
      <c r="E4003" s="1">
        <v>2199.99</v>
      </c>
      <c r="F4003" s="1">
        <v>0.05</v>
      </c>
      <c r="G4003">
        <f t="shared" si="62"/>
        <v>4399.93</v>
      </c>
      <c r="H4003" t="str">
        <f>VLOOKUP(C4003,[1]products!$A:$B,2,FALSE)</f>
        <v>Trek Domane SL 5 - 2018</v>
      </c>
      <c r="I4003">
        <f>VLOOKUP(C4003,[1]products!$A:$D,4,FALSE)</f>
        <v>7</v>
      </c>
      <c r="J4003" t="str">
        <f>VLOOKUP(I4003,[2]categories!$A$1:$B$8,2,FALSE)</f>
        <v>Road Bikes</v>
      </c>
    </row>
    <row r="4004" customHeight="1" spans="1:10">
      <c r="A4004" s="1">
        <v>1374</v>
      </c>
      <c r="B4004" s="1">
        <v>2</v>
      </c>
      <c r="C4004" s="1">
        <v>130</v>
      </c>
      <c r="D4004" s="1">
        <v>2</v>
      </c>
      <c r="E4004" s="1">
        <v>919.99</v>
      </c>
      <c r="F4004" s="1">
        <v>0.07</v>
      </c>
      <c r="G4004">
        <f t="shared" si="62"/>
        <v>1839.91</v>
      </c>
      <c r="H4004" t="str">
        <f>VLOOKUP(C4004,[1]products!$A:$B,2,FALSE)</f>
        <v>Trek Stache Carbon Frameset - 2018</v>
      </c>
      <c r="I4004">
        <f>VLOOKUP(C4004,[1]products!$A:$D,4,FALSE)</f>
        <v>6</v>
      </c>
      <c r="J4004" t="str">
        <f>VLOOKUP(I4004,[2]categories!$A$1:$B$8,2,FALSE)</f>
        <v>Mountain Bikes</v>
      </c>
    </row>
    <row r="4005" customHeight="1" spans="1:10">
      <c r="A4005" s="1">
        <v>1375</v>
      </c>
      <c r="B4005" s="1">
        <v>1</v>
      </c>
      <c r="C4005" s="1">
        <v>147</v>
      </c>
      <c r="D4005" s="1">
        <v>2</v>
      </c>
      <c r="E4005" s="1">
        <v>1799.99</v>
      </c>
      <c r="F4005" s="1">
        <v>0.05</v>
      </c>
      <c r="G4005">
        <f t="shared" si="62"/>
        <v>3599.93</v>
      </c>
      <c r="H4005" t="str">
        <f>VLOOKUP(C4005,[1]products!$A:$B,2,FALSE)</f>
        <v>Trek Domane ALR 5 Gravel - 2018</v>
      </c>
      <c r="I4005">
        <f>VLOOKUP(C4005,[1]products!$A:$D,4,FALSE)</f>
        <v>7</v>
      </c>
      <c r="J4005" t="str">
        <f>VLOOKUP(I4005,[2]categories!$A$1:$B$8,2,FALSE)</f>
        <v>Road Bikes</v>
      </c>
    </row>
    <row r="4006" customHeight="1" spans="1:10">
      <c r="A4006" s="1">
        <v>1375</v>
      </c>
      <c r="B4006" s="1">
        <v>2</v>
      </c>
      <c r="C4006" s="1">
        <v>182</v>
      </c>
      <c r="D4006" s="1">
        <v>1</v>
      </c>
      <c r="E4006" s="1">
        <v>2499.99</v>
      </c>
      <c r="F4006" s="1">
        <v>0.2</v>
      </c>
      <c r="G4006">
        <f t="shared" si="62"/>
        <v>2499.79</v>
      </c>
      <c r="H4006" t="str">
        <f>VLOOKUP(C4006,[1]products!$A:$B,2,FALSE)</f>
        <v>Trek Domane SL 5 Disc - 2018</v>
      </c>
      <c r="I4006">
        <f>VLOOKUP(C4006,[1]products!$A:$D,4,FALSE)</f>
        <v>7</v>
      </c>
      <c r="J4006" t="str">
        <f>VLOOKUP(I4006,[2]categories!$A$1:$B$8,2,FALSE)</f>
        <v>Road Bikes</v>
      </c>
    </row>
    <row r="4007" customHeight="1" spans="1:10">
      <c r="A4007" s="1">
        <v>1376</v>
      </c>
      <c r="B4007" s="1">
        <v>1</v>
      </c>
      <c r="C4007" s="1">
        <v>5</v>
      </c>
      <c r="D4007" s="1">
        <v>1</v>
      </c>
      <c r="E4007" s="1">
        <v>1320.99</v>
      </c>
      <c r="F4007" s="1">
        <v>0.07</v>
      </c>
      <c r="G4007">
        <f t="shared" si="62"/>
        <v>1320.92</v>
      </c>
      <c r="H4007" t="str">
        <f>VLOOKUP(C4007,[1]products!$A:$B,2,FALSE)</f>
        <v>Heller Shagamaw Frame - 2016</v>
      </c>
      <c r="I4007">
        <f>VLOOKUP(C4007,[1]products!$A:$D,4,FALSE)</f>
        <v>6</v>
      </c>
      <c r="J4007" t="str">
        <f>VLOOKUP(I4007,[2]categories!$A$1:$B$8,2,FALSE)</f>
        <v>Mountain Bikes</v>
      </c>
    </row>
    <row r="4008" customHeight="1" spans="1:10">
      <c r="A4008" s="1">
        <v>1377</v>
      </c>
      <c r="B4008" s="1">
        <v>1</v>
      </c>
      <c r="C4008" s="1">
        <v>153</v>
      </c>
      <c r="D4008" s="1">
        <v>2</v>
      </c>
      <c r="E4008" s="1">
        <v>4999.99</v>
      </c>
      <c r="F4008" s="1">
        <v>0.05</v>
      </c>
      <c r="G4008">
        <f t="shared" si="62"/>
        <v>9999.93</v>
      </c>
      <c r="H4008" t="str">
        <f>VLOOKUP(C4008,[1]products!$A:$B,2,FALSE)</f>
        <v>Trek Domane SL 7 Women's - 2018</v>
      </c>
      <c r="I4008">
        <f>VLOOKUP(C4008,[1]products!$A:$D,4,FALSE)</f>
        <v>7</v>
      </c>
      <c r="J4008" t="str">
        <f>VLOOKUP(I4008,[2]categories!$A$1:$B$8,2,FALSE)</f>
        <v>Road Bikes</v>
      </c>
    </row>
    <row r="4009" customHeight="1" spans="1:10">
      <c r="A4009" s="1">
        <v>1377</v>
      </c>
      <c r="B4009" s="1">
        <v>2</v>
      </c>
      <c r="C4009" s="1">
        <v>130</v>
      </c>
      <c r="D4009" s="1">
        <v>1</v>
      </c>
      <c r="E4009" s="1">
        <v>919.99</v>
      </c>
      <c r="F4009" s="1">
        <v>0.05</v>
      </c>
      <c r="G4009">
        <f t="shared" si="62"/>
        <v>919.94</v>
      </c>
      <c r="H4009" t="str">
        <f>VLOOKUP(C4009,[1]products!$A:$B,2,FALSE)</f>
        <v>Trek Stache Carbon Frameset - 2018</v>
      </c>
      <c r="I4009">
        <f>VLOOKUP(C4009,[1]products!$A:$D,4,FALSE)</f>
        <v>6</v>
      </c>
      <c r="J4009" t="str">
        <f>VLOOKUP(I4009,[2]categories!$A$1:$B$8,2,FALSE)</f>
        <v>Mountain Bikes</v>
      </c>
    </row>
    <row r="4010" customHeight="1" spans="1:10">
      <c r="A4010" s="1">
        <v>1377</v>
      </c>
      <c r="B4010" s="1">
        <v>3</v>
      </c>
      <c r="C4010" s="1">
        <v>48</v>
      </c>
      <c r="D4010" s="1">
        <v>1</v>
      </c>
      <c r="E4010" s="1">
        <v>1499.99</v>
      </c>
      <c r="F4010" s="1">
        <v>0.07</v>
      </c>
      <c r="G4010">
        <f t="shared" si="62"/>
        <v>1499.92</v>
      </c>
      <c r="H4010" t="str">
        <f>VLOOKUP(C4010,[1]products!$A:$B,2,FALSE)</f>
        <v>Trek Emonda S 4 - 2017</v>
      </c>
      <c r="I4010">
        <f>VLOOKUP(C4010,[1]products!$A:$D,4,FALSE)</f>
        <v>7</v>
      </c>
      <c r="J4010" t="str">
        <f>VLOOKUP(I4010,[2]categories!$A$1:$B$8,2,FALSE)</f>
        <v>Road Bikes</v>
      </c>
    </row>
    <row r="4011" customHeight="1" spans="1:10">
      <c r="A4011" s="1">
        <v>1377</v>
      </c>
      <c r="B4011" s="1">
        <v>4</v>
      </c>
      <c r="C4011" s="1">
        <v>188</v>
      </c>
      <c r="D4011" s="1">
        <v>2</v>
      </c>
      <c r="E4011" s="1">
        <v>3499.99</v>
      </c>
      <c r="F4011" s="1">
        <v>0.07</v>
      </c>
      <c r="G4011">
        <f t="shared" si="62"/>
        <v>6999.91</v>
      </c>
      <c r="H4011" t="str">
        <f>VLOOKUP(C4011,[1]products!$A:$B,2,FALSE)</f>
        <v>Trek XM700+ Lowstep - 2018</v>
      </c>
      <c r="I4011">
        <f>VLOOKUP(C4011,[1]products!$A:$D,4,FALSE)</f>
        <v>5</v>
      </c>
      <c r="J4011" t="str">
        <f>VLOOKUP(I4011,[2]categories!$A$1:$B$8,2,FALSE)</f>
        <v>Electric Bikes</v>
      </c>
    </row>
    <row r="4012" customHeight="1" spans="1:10">
      <c r="A4012" s="1">
        <v>1378</v>
      </c>
      <c r="B4012" s="1">
        <v>1</v>
      </c>
      <c r="C4012" s="1">
        <v>96</v>
      </c>
      <c r="D4012" s="1">
        <v>2</v>
      </c>
      <c r="E4012" s="1">
        <v>349.99</v>
      </c>
      <c r="F4012" s="1">
        <v>0.07</v>
      </c>
      <c r="G4012">
        <f t="shared" si="62"/>
        <v>699.91</v>
      </c>
      <c r="H4012" t="str">
        <f>VLOOKUP(C4012,[1]products!$A:$B,2,FALSE)</f>
        <v>Electra Moto 3i (20-inch) - Boy's - 2017</v>
      </c>
      <c r="I4012">
        <f>VLOOKUP(C4012,[1]products!$A:$D,4,FALSE)</f>
        <v>1</v>
      </c>
      <c r="J4012" t="str">
        <f>VLOOKUP(I4012,[2]categories!$A$1:$B$8,2,FALSE)</f>
        <v>Children Bicycles</v>
      </c>
    </row>
    <row r="4013" customHeight="1" spans="1:10">
      <c r="A4013" s="1">
        <v>1378</v>
      </c>
      <c r="B4013" s="1">
        <v>2</v>
      </c>
      <c r="C4013" s="1">
        <v>142</v>
      </c>
      <c r="D4013" s="1">
        <v>2</v>
      </c>
      <c r="E4013" s="1">
        <v>3199.99</v>
      </c>
      <c r="F4013" s="1">
        <v>0.07</v>
      </c>
      <c r="G4013">
        <f t="shared" si="62"/>
        <v>6399.91</v>
      </c>
      <c r="H4013" t="str">
        <f>VLOOKUP(C4013,[1]products!$A:$B,2,FALSE)</f>
        <v>Trek Fuel EX 8 29 XT - 2018</v>
      </c>
      <c r="I4013">
        <f>VLOOKUP(C4013,[1]products!$A:$D,4,FALSE)</f>
        <v>6</v>
      </c>
      <c r="J4013" t="str">
        <f>VLOOKUP(I4013,[2]categories!$A$1:$B$8,2,FALSE)</f>
        <v>Mountain Bikes</v>
      </c>
    </row>
    <row r="4014" customHeight="1" spans="1:10">
      <c r="A4014" s="1">
        <v>1378</v>
      </c>
      <c r="B4014" s="1">
        <v>3</v>
      </c>
      <c r="C4014" s="1">
        <v>2</v>
      </c>
      <c r="D4014" s="1">
        <v>2</v>
      </c>
      <c r="E4014" s="1">
        <v>749.99</v>
      </c>
      <c r="F4014" s="1">
        <v>0.2</v>
      </c>
      <c r="G4014">
        <f t="shared" si="62"/>
        <v>1499.78</v>
      </c>
      <c r="H4014" t="str">
        <f>VLOOKUP(C4014,[1]products!$A:$B,2,FALSE)</f>
        <v>Ritchey Timberwolf Frameset - 2016</v>
      </c>
      <c r="I4014">
        <f>VLOOKUP(C4014,[1]products!$A:$D,4,FALSE)</f>
        <v>6</v>
      </c>
      <c r="J4014" t="str">
        <f>VLOOKUP(I4014,[2]categories!$A$1:$B$8,2,FALSE)</f>
        <v>Mountain Bikes</v>
      </c>
    </row>
    <row r="4015" customHeight="1" spans="1:10">
      <c r="A4015" s="1">
        <v>1378</v>
      </c>
      <c r="B4015" s="1">
        <v>4</v>
      </c>
      <c r="C4015" s="1">
        <v>110</v>
      </c>
      <c r="D4015" s="1">
        <v>1</v>
      </c>
      <c r="E4015" s="1">
        <v>470.99</v>
      </c>
      <c r="F4015" s="1">
        <v>0.07</v>
      </c>
      <c r="G4015">
        <f t="shared" si="62"/>
        <v>470.92</v>
      </c>
      <c r="H4015" t="str">
        <f>VLOOKUP(C4015,[1]products!$A:$B,2,FALSE)</f>
        <v>Sun Bicycles Drifter 7 - 2017</v>
      </c>
      <c r="I4015">
        <f>VLOOKUP(C4015,[1]products!$A:$D,4,FALSE)</f>
        <v>2</v>
      </c>
      <c r="J4015" t="str">
        <f>VLOOKUP(I4015,[2]categories!$A$1:$B$8,2,FALSE)</f>
        <v>Comfort Bicycles</v>
      </c>
    </row>
    <row r="4016" customHeight="1" spans="1:10">
      <c r="A4016" s="1">
        <v>1378</v>
      </c>
      <c r="B4016" s="1">
        <v>5</v>
      </c>
      <c r="C4016" s="1">
        <v>129</v>
      </c>
      <c r="D4016" s="1">
        <v>2</v>
      </c>
      <c r="E4016" s="1">
        <v>919.99</v>
      </c>
      <c r="F4016" s="1">
        <v>0.2</v>
      </c>
      <c r="G4016">
        <f t="shared" si="62"/>
        <v>1839.78</v>
      </c>
      <c r="H4016" t="str">
        <f>VLOOKUP(C4016,[1]products!$A:$B,2,FALSE)</f>
        <v>Trek X-Caliber 7 - 2018</v>
      </c>
      <c r="I4016">
        <f>VLOOKUP(C4016,[1]products!$A:$D,4,FALSE)</f>
        <v>6</v>
      </c>
      <c r="J4016" t="str">
        <f>VLOOKUP(I4016,[2]categories!$A$1:$B$8,2,FALSE)</f>
        <v>Mountain Bikes</v>
      </c>
    </row>
    <row r="4017" customHeight="1" spans="1:10">
      <c r="A4017" s="1">
        <v>1379</v>
      </c>
      <c r="B4017" s="1">
        <v>1</v>
      </c>
      <c r="C4017" s="1">
        <v>15</v>
      </c>
      <c r="D4017" s="1">
        <v>1</v>
      </c>
      <c r="E4017" s="1">
        <v>529.99</v>
      </c>
      <c r="F4017" s="1">
        <v>0.1</v>
      </c>
      <c r="G4017">
        <f t="shared" si="62"/>
        <v>529.89</v>
      </c>
      <c r="H4017" t="str">
        <f>VLOOKUP(C4017,[1]products!$A:$B,2,FALSE)</f>
        <v>Electra Moto 1 - 2016</v>
      </c>
      <c r="I4017">
        <f>VLOOKUP(C4017,[1]products!$A:$D,4,FALSE)</f>
        <v>3</v>
      </c>
      <c r="J4017" t="str">
        <f>VLOOKUP(I4017,[2]categories!$A$1:$B$8,2,FALSE)</f>
        <v>Cruisers Bicycles</v>
      </c>
    </row>
    <row r="4018" customHeight="1" spans="1:10">
      <c r="A4018" s="1">
        <v>1379</v>
      </c>
      <c r="B4018" s="1">
        <v>2</v>
      </c>
      <c r="C4018" s="1">
        <v>118</v>
      </c>
      <c r="D4018" s="1">
        <v>1</v>
      </c>
      <c r="E4018" s="1">
        <v>999.99</v>
      </c>
      <c r="F4018" s="1">
        <v>0.1</v>
      </c>
      <c r="G4018">
        <f t="shared" si="62"/>
        <v>999.89</v>
      </c>
      <c r="H4018" t="str">
        <f>VLOOKUP(C4018,[1]products!$A:$B,2,FALSE)</f>
        <v>Trek X-Caliber 8 - 2018</v>
      </c>
      <c r="I4018">
        <f>VLOOKUP(C4018,[1]products!$A:$D,4,FALSE)</f>
        <v>6</v>
      </c>
      <c r="J4018" t="str">
        <f>VLOOKUP(I4018,[2]categories!$A$1:$B$8,2,FALSE)</f>
        <v>Mountain Bikes</v>
      </c>
    </row>
    <row r="4019" customHeight="1" spans="1:10">
      <c r="A4019" s="1">
        <v>1379</v>
      </c>
      <c r="B4019" s="1">
        <v>3</v>
      </c>
      <c r="C4019" s="1">
        <v>263</v>
      </c>
      <c r="D4019" s="1">
        <v>2</v>
      </c>
      <c r="E4019" s="1">
        <v>89.99</v>
      </c>
      <c r="F4019" s="1">
        <v>0.1</v>
      </c>
      <c r="G4019">
        <f t="shared" si="62"/>
        <v>179.88</v>
      </c>
      <c r="H4019" t="str">
        <f>VLOOKUP(C4019,[1]products!$A:$B,2,FALSE)</f>
        <v>Strider Classic 12 Balance Bike - 2018</v>
      </c>
      <c r="I4019">
        <f>VLOOKUP(C4019,[1]products!$A:$D,4,FALSE)</f>
        <v>1</v>
      </c>
      <c r="J4019" t="str">
        <f>VLOOKUP(I4019,[2]categories!$A$1:$B$8,2,FALSE)</f>
        <v>Children Bicycles</v>
      </c>
    </row>
    <row r="4020" customHeight="1" spans="1:10">
      <c r="A4020" s="1">
        <v>1380</v>
      </c>
      <c r="B4020" s="1">
        <v>1</v>
      </c>
      <c r="C4020" s="1">
        <v>255</v>
      </c>
      <c r="D4020" s="1">
        <v>2</v>
      </c>
      <c r="E4020" s="1">
        <v>899.99</v>
      </c>
      <c r="F4020" s="1">
        <v>0.1</v>
      </c>
      <c r="G4020">
        <f t="shared" si="62"/>
        <v>1799.88</v>
      </c>
      <c r="H4020" t="str">
        <f>VLOOKUP(C4020,[1]products!$A:$B,2,FALSE)</f>
        <v>Electra Townie Balloon 7i EQ Ladies' - 2017/2018</v>
      </c>
      <c r="I4020">
        <f>VLOOKUP(C4020,[1]products!$A:$D,4,FALSE)</f>
        <v>3</v>
      </c>
      <c r="J4020" t="str">
        <f>VLOOKUP(I4020,[2]categories!$A$1:$B$8,2,FALSE)</f>
        <v>Cruisers Bicycles</v>
      </c>
    </row>
    <row r="4021" customHeight="1" spans="1:10">
      <c r="A4021" s="1">
        <v>1380</v>
      </c>
      <c r="B4021" s="1">
        <v>2</v>
      </c>
      <c r="C4021" s="1">
        <v>229</v>
      </c>
      <c r="D4021" s="1">
        <v>2</v>
      </c>
      <c r="E4021" s="1">
        <v>429.99</v>
      </c>
      <c r="F4021" s="1">
        <v>0.07</v>
      </c>
      <c r="G4021">
        <f t="shared" si="62"/>
        <v>859.91</v>
      </c>
      <c r="H4021" t="str">
        <f>VLOOKUP(C4021,[1]products!$A:$B,2,FALSE)</f>
        <v>Electra Cruiser Lux 1 - 2016/2018</v>
      </c>
      <c r="I4021">
        <f>VLOOKUP(C4021,[1]products!$A:$D,4,FALSE)</f>
        <v>3</v>
      </c>
      <c r="J4021" t="str">
        <f>VLOOKUP(I4021,[2]categories!$A$1:$B$8,2,FALSE)</f>
        <v>Cruisers Bicycles</v>
      </c>
    </row>
    <row r="4022" customHeight="1" spans="1:10">
      <c r="A4022" s="1">
        <v>1381</v>
      </c>
      <c r="B4022" s="1">
        <v>1</v>
      </c>
      <c r="C4022" s="1">
        <v>274</v>
      </c>
      <c r="D4022" s="1">
        <v>2</v>
      </c>
      <c r="E4022" s="1">
        <v>229.99</v>
      </c>
      <c r="F4022" s="1">
        <v>0.2</v>
      </c>
      <c r="G4022">
        <f t="shared" si="62"/>
        <v>459.78</v>
      </c>
      <c r="H4022" t="str">
        <f>VLOOKUP(C4022,[1]products!$A:$B,2,FALSE)</f>
        <v>Trek Precaliber 20 Boy's - 2018</v>
      </c>
      <c r="I4022">
        <f>VLOOKUP(C4022,[1]products!$A:$D,4,FALSE)</f>
        <v>1</v>
      </c>
      <c r="J4022" t="str">
        <f>VLOOKUP(I4022,[2]categories!$A$1:$B$8,2,FALSE)</f>
        <v>Children Bicycles</v>
      </c>
    </row>
    <row r="4023" customHeight="1" spans="1:10">
      <c r="A4023" s="1">
        <v>1381</v>
      </c>
      <c r="B4023" s="1">
        <v>2</v>
      </c>
      <c r="C4023" s="1">
        <v>214</v>
      </c>
      <c r="D4023" s="1">
        <v>2</v>
      </c>
      <c r="E4023" s="1">
        <v>899.99</v>
      </c>
      <c r="F4023" s="1">
        <v>0.1</v>
      </c>
      <c r="G4023">
        <f t="shared" si="62"/>
        <v>1799.88</v>
      </c>
      <c r="H4023" t="str">
        <f>VLOOKUP(C4023,[1]products!$A:$B,2,FALSE)</f>
        <v>Electra Tiger Shark 3i - 2018</v>
      </c>
      <c r="I4023">
        <f>VLOOKUP(C4023,[1]products!$A:$D,4,FALSE)</f>
        <v>3</v>
      </c>
      <c r="J4023" t="str">
        <f>VLOOKUP(I4023,[2]categories!$A$1:$B$8,2,FALSE)</f>
        <v>Cruisers Bicycles</v>
      </c>
    </row>
    <row r="4024" customHeight="1" spans="1:10">
      <c r="A4024" s="1">
        <v>1382</v>
      </c>
      <c r="B4024" s="1">
        <v>1</v>
      </c>
      <c r="C4024" s="1">
        <v>232</v>
      </c>
      <c r="D4024" s="1">
        <v>1</v>
      </c>
      <c r="E4024" s="1">
        <v>479.99</v>
      </c>
      <c r="F4024" s="1">
        <v>0.2</v>
      </c>
      <c r="G4024">
        <f t="shared" si="62"/>
        <v>479.79</v>
      </c>
      <c r="H4024" t="str">
        <f>VLOOKUP(C4024,[1]products!$A:$B,2,FALSE)</f>
        <v>Electra Cruiser Lux 7D Ladies' - 2018</v>
      </c>
      <c r="I4024">
        <f>VLOOKUP(C4024,[1]products!$A:$D,4,FALSE)</f>
        <v>3</v>
      </c>
      <c r="J4024" t="str">
        <f>VLOOKUP(I4024,[2]categories!$A$1:$B$8,2,FALSE)</f>
        <v>Cruisers Bicycles</v>
      </c>
    </row>
    <row r="4025" customHeight="1" spans="1:10">
      <c r="A4025" s="1">
        <v>1382</v>
      </c>
      <c r="B4025" s="1">
        <v>2</v>
      </c>
      <c r="C4025" s="1">
        <v>81</v>
      </c>
      <c r="D4025" s="1">
        <v>2</v>
      </c>
      <c r="E4025" s="1">
        <v>1099.99</v>
      </c>
      <c r="F4025" s="1">
        <v>0.05</v>
      </c>
      <c r="G4025">
        <f t="shared" si="62"/>
        <v>2199.93</v>
      </c>
      <c r="H4025" t="str">
        <f>VLOOKUP(C4025,[1]products!$A:$B,2,FALSE)</f>
        <v>Electra Amsterdam Fashion 7i Ladies' - 2017</v>
      </c>
      <c r="I4025">
        <f>VLOOKUP(C4025,[1]products!$A:$D,4,FALSE)</f>
        <v>3</v>
      </c>
      <c r="J4025" t="str">
        <f>VLOOKUP(I4025,[2]categories!$A$1:$B$8,2,FALSE)</f>
        <v>Cruisers Bicycles</v>
      </c>
    </row>
    <row r="4026" customHeight="1" spans="1:10">
      <c r="A4026" s="1">
        <v>1382</v>
      </c>
      <c r="B4026" s="1">
        <v>3</v>
      </c>
      <c r="C4026" s="1">
        <v>225</v>
      </c>
      <c r="D4026" s="1">
        <v>1</v>
      </c>
      <c r="E4026" s="1">
        <v>959.99</v>
      </c>
      <c r="F4026" s="1">
        <v>0.1</v>
      </c>
      <c r="G4026">
        <f t="shared" si="62"/>
        <v>959.89</v>
      </c>
      <c r="H4026" t="str">
        <f>VLOOKUP(C4026,[1]products!$A:$B,2,FALSE)</f>
        <v>Electra Delivery 3i - 2016/2017/2018</v>
      </c>
      <c r="I4026">
        <f>VLOOKUP(C4026,[1]products!$A:$D,4,FALSE)</f>
        <v>3</v>
      </c>
      <c r="J4026" t="str">
        <f>VLOOKUP(I4026,[2]categories!$A$1:$B$8,2,FALSE)</f>
        <v>Cruisers Bicycles</v>
      </c>
    </row>
    <row r="4027" customHeight="1" spans="1:10">
      <c r="A4027" s="1">
        <v>1382</v>
      </c>
      <c r="B4027" s="1">
        <v>4</v>
      </c>
      <c r="C4027" s="1">
        <v>135</v>
      </c>
      <c r="D4027" s="1">
        <v>1</v>
      </c>
      <c r="E4027" s="1">
        <v>1499.99</v>
      </c>
      <c r="F4027" s="1">
        <v>0.07</v>
      </c>
      <c r="G4027">
        <f t="shared" si="62"/>
        <v>1499.92</v>
      </c>
      <c r="H4027" t="str">
        <f>VLOOKUP(C4027,[1]products!$A:$B,2,FALSE)</f>
        <v>Trek X-Caliber Frameset - 2018</v>
      </c>
      <c r="I4027">
        <f>VLOOKUP(C4027,[1]products!$A:$D,4,FALSE)</f>
        <v>6</v>
      </c>
      <c r="J4027" t="str">
        <f>VLOOKUP(I4027,[2]categories!$A$1:$B$8,2,FALSE)</f>
        <v>Mountain Bikes</v>
      </c>
    </row>
    <row r="4028" customHeight="1" spans="1:10">
      <c r="A4028" s="1">
        <v>1382</v>
      </c>
      <c r="B4028" s="1">
        <v>5</v>
      </c>
      <c r="C4028" s="1">
        <v>238</v>
      </c>
      <c r="D4028" s="1">
        <v>1</v>
      </c>
      <c r="E4028" s="1">
        <v>749.99</v>
      </c>
      <c r="F4028" s="1">
        <v>0.2</v>
      </c>
      <c r="G4028">
        <f t="shared" si="62"/>
        <v>749.79</v>
      </c>
      <c r="H4028" t="str">
        <f>VLOOKUP(C4028,[1]products!$A:$B,2,FALSE)</f>
        <v>Electra Townie Balloon 8D EQ - 2016/2017/2018</v>
      </c>
      <c r="I4028">
        <f>VLOOKUP(C4028,[1]products!$A:$D,4,FALSE)</f>
        <v>3</v>
      </c>
      <c r="J4028" t="str">
        <f>VLOOKUP(I4028,[2]categories!$A$1:$B$8,2,FALSE)</f>
        <v>Cruisers Bicycles</v>
      </c>
    </row>
    <row r="4029" customHeight="1" spans="1:10">
      <c r="A4029" s="1">
        <v>1383</v>
      </c>
      <c r="B4029" s="1">
        <v>1</v>
      </c>
      <c r="C4029" s="1">
        <v>188</v>
      </c>
      <c r="D4029" s="1">
        <v>2</v>
      </c>
      <c r="E4029" s="1">
        <v>3499.99</v>
      </c>
      <c r="F4029" s="1">
        <v>0.2</v>
      </c>
      <c r="G4029">
        <f t="shared" si="62"/>
        <v>6999.78</v>
      </c>
      <c r="H4029" t="str">
        <f>VLOOKUP(C4029,[1]products!$A:$B,2,FALSE)</f>
        <v>Trek XM700+ Lowstep - 2018</v>
      </c>
      <c r="I4029">
        <f>VLOOKUP(C4029,[1]products!$A:$D,4,FALSE)</f>
        <v>5</v>
      </c>
      <c r="J4029" t="str">
        <f>VLOOKUP(I4029,[2]categories!$A$1:$B$8,2,FALSE)</f>
        <v>Electric Bikes</v>
      </c>
    </row>
    <row r="4030" customHeight="1" spans="1:10">
      <c r="A4030" s="1">
        <v>1383</v>
      </c>
      <c r="B4030" s="1">
        <v>2</v>
      </c>
      <c r="C4030" s="1">
        <v>65</v>
      </c>
      <c r="D4030" s="1">
        <v>2</v>
      </c>
      <c r="E4030" s="1">
        <v>346.99</v>
      </c>
      <c r="F4030" s="1">
        <v>0.05</v>
      </c>
      <c r="G4030">
        <f t="shared" si="62"/>
        <v>693.93</v>
      </c>
      <c r="H4030" t="str">
        <f>VLOOKUP(C4030,[1]products!$A:$B,2,FALSE)</f>
        <v>Sun Bicycles Lil Bolt Type-R - 2017</v>
      </c>
      <c r="I4030">
        <f>VLOOKUP(C4030,[1]products!$A:$D,4,FALSE)</f>
        <v>3</v>
      </c>
      <c r="J4030" t="str">
        <f>VLOOKUP(I4030,[2]categories!$A$1:$B$8,2,FALSE)</f>
        <v>Cruisers Bicycles</v>
      </c>
    </row>
    <row r="4031" customHeight="1" spans="1:10">
      <c r="A4031" s="1">
        <v>1384</v>
      </c>
      <c r="B4031" s="1">
        <v>1</v>
      </c>
      <c r="C4031" s="1">
        <v>32</v>
      </c>
      <c r="D4031" s="1">
        <v>1</v>
      </c>
      <c r="E4031" s="1">
        <v>469.99</v>
      </c>
      <c r="F4031" s="1">
        <v>0.07</v>
      </c>
      <c r="G4031">
        <f t="shared" si="62"/>
        <v>469.92</v>
      </c>
      <c r="H4031" t="str">
        <f>VLOOKUP(C4031,[1]products!$A:$B,2,FALSE)</f>
        <v>Trek Farley Alloy Frameset - 2017</v>
      </c>
      <c r="I4031">
        <f>VLOOKUP(C4031,[1]products!$A:$D,4,FALSE)</f>
        <v>6</v>
      </c>
      <c r="J4031" t="str">
        <f>VLOOKUP(I4031,[2]categories!$A$1:$B$8,2,FALSE)</f>
        <v>Mountain Bikes</v>
      </c>
    </row>
    <row r="4032" customHeight="1" spans="1:10">
      <c r="A4032" s="1">
        <v>1384</v>
      </c>
      <c r="B4032" s="1">
        <v>2</v>
      </c>
      <c r="C4032" s="1">
        <v>142</v>
      </c>
      <c r="D4032" s="1">
        <v>2</v>
      </c>
      <c r="E4032" s="1">
        <v>3199.99</v>
      </c>
      <c r="F4032" s="1">
        <v>0.1</v>
      </c>
      <c r="G4032">
        <f t="shared" si="62"/>
        <v>6399.88</v>
      </c>
      <c r="H4032" t="str">
        <f>VLOOKUP(C4032,[1]products!$A:$B,2,FALSE)</f>
        <v>Trek Fuel EX 8 29 XT - 2018</v>
      </c>
      <c r="I4032">
        <f>VLOOKUP(C4032,[1]products!$A:$D,4,FALSE)</f>
        <v>6</v>
      </c>
      <c r="J4032" t="str">
        <f>VLOOKUP(I4032,[2]categories!$A$1:$B$8,2,FALSE)</f>
        <v>Mountain Bikes</v>
      </c>
    </row>
    <row r="4033" customHeight="1" spans="1:10">
      <c r="A4033" s="1">
        <v>1384</v>
      </c>
      <c r="B4033" s="1">
        <v>3</v>
      </c>
      <c r="C4033" s="1">
        <v>89</v>
      </c>
      <c r="D4033" s="1">
        <v>1</v>
      </c>
      <c r="E4033" s="1">
        <v>209.99</v>
      </c>
      <c r="F4033" s="1">
        <v>0.1</v>
      </c>
      <c r="G4033">
        <f t="shared" si="62"/>
        <v>209.89</v>
      </c>
      <c r="H4033" t="str">
        <f>VLOOKUP(C4033,[1]products!$A:$B,2,FALSE)</f>
        <v>Trek Precaliber 16 Boys - 2017</v>
      </c>
      <c r="I4033">
        <f>VLOOKUP(C4033,[1]products!$A:$D,4,FALSE)</f>
        <v>1</v>
      </c>
      <c r="J4033" t="str">
        <f>VLOOKUP(I4033,[2]categories!$A$1:$B$8,2,FALSE)</f>
        <v>Children Bicycles</v>
      </c>
    </row>
    <row r="4034" customHeight="1" spans="1:10">
      <c r="A4034" s="1">
        <v>1384</v>
      </c>
      <c r="B4034" s="1">
        <v>4</v>
      </c>
      <c r="C4034" s="1">
        <v>97</v>
      </c>
      <c r="D4034" s="1">
        <v>1</v>
      </c>
      <c r="E4034" s="1">
        <v>349.99</v>
      </c>
      <c r="F4034" s="1">
        <v>0.05</v>
      </c>
      <c r="G4034">
        <f t="shared" si="62"/>
        <v>349.94</v>
      </c>
      <c r="H4034" t="str">
        <f>VLOOKUP(C4034,[1]products!$A:$B,2,FALSE)</f>
        <v>Electra Savannah 3i (20-inch) - Girl's - 2017</v>
      </c>
      <c r="I4034">
        <f>VLOOKUP(C4034,[1]products!$A:$D,4,FALSE)</f>
        <v>1</v>
      </c>
      <c r="J4034" t="str">
        <f>VLOOKUP(I4034,[2]categories!$A$1:$B$8,2,FALSE)</f>
        <v>Children Bicycles</v>
      </c>
    </row>
    <row r="4035" customHeight="1" spans="1:10">
      <c r="A4035" s="1">
        <v>1385</v>
      </c>
      <c r="B4035" s="1">
        <v>1</v>
      </c>
      <c r="C4035" s="1">
        <v>24</v>
      </c>
      <c r="D4035" s="1">
        <v>2</v>
      </c>
      <c r="E4035" s="1">
        <v>549.99</v>
      </c>
      <c r="F4035" s="1">
        <v>0.05</v>
      </c>
      <c r="G4035">
        <f t="shared" ref="G4035:G4098" si="63">(E4035*D4035)-F4035</f>
        <v>1099.93</v>
      </c>
      <c r="H4035" t="str">
        <f>VLOOKUP(C4035,[1]products!$A:$B,2,FALSE)</f>
        <v>Electra Townie Original 21D - 2016</v>
      </c>
      <c r="I4035">
        <f>VLOOKUP(C4035,[1]products!$A:$D,4,FALSE)</f>
        <v>2</v>
      </c>
      <c r="J4035" t="str">
        <f>VLOOKUP(I4035,[2]categories!$A$1:$B$8,2,FALSE)</f>
        <v>Comfort Bicycles</v>
      </c>
    </row>
    <row r="4036" customHeight="1" spans="1:10">
      <c r="A4036" s="1">
        <v>1385</v>
      </c>
      <c r="B4036" s="1">
        <v>2</v>
      </c>
      <c r="C4036" s="1">
        <v>145</v>
      </c>
      <c r="D4036" s="1">
        <v>1</v>
      </c>
      <c r="E4036" s="1">
        <v>1799.99</v>
      </c>
      <c r="F4036" s="1">
        <v>0.07</v>
      </c>
      <c r="G4036">
        <f t="shared" si="63"/>
        <v>1799.92</v>
      </c>
      <c r="H4036" t="str">
        <f>VLOOKUP(C4036,[1]products!$A:$B,2,FALSE)</f>
        <v>Trek Domane ALR 5 Disc - 2018</v>
      </c>
      <c r="I4036">
        <f>VLOOKUP(C4036,[1]products!$A:$D,4,FALSE)</f>
        <v>7</v>
      </c>
      <c r="J4036" t="str">
        <f>VLOOKUP(I4036,[2]categories!$A$1:$B$8,2,FALSE)</f>
        <v>Road Bikes</v>
      </c>
    </row>
    <row r="4037" customHeight="1" spans="1:10">
      <c r="A4037" s="1">
        <v>1385</v>
      </c>
      <c r="B4037" s="1">
        <v>3</v>
      </c>
      <c r="C4037" s="1">
        <v>39</v>
      </c>
      <c r="D4037" s="1">
        <v>2</v>
      </c>
      <c r="E4037" s="1">
        <v>1499.99</v>
      </c>
      <c r="F4037" s="1">
        <v>0.1</v>
      </c>
      <c r="G4037">
        <f t="shared" si="63"/>
        <v>2999.88</v>
      </c>
      <c r="H4037" t="str">
        <f>VLOOKUP(C4037,[1]products!$A:$B,2,FALSE)</f>
        <v>Trek Stache 5 - 2017</v>
      </c>
      <c r="I4037">
        <f>VLOOKUP(C4037,[1]products!$A:$D,4,FALSE)</f>
        <v>6</v>
      </c>
      <c r="J4037" t="str">
        <f>VLOOKUP(I4037,[2]categories!$A$1:$B$8,2,FALSE)</f>
        <v>Mountain Bikes</v>
      </c>
    </row>
    <row r="4038" customHeight="1" spans="1:10">
      <c r="A4038" s="1">
        <v>1385</v>
      </c>
      <c r="B4038" s="1">
        <v>4</v>
      </c>
      <c r="C4038" s="1">
        <v>135</v>
      </c>
      <c r="D4038" s="1">
        <v>1</v>
      </c>
      <c r="E4038" s="1">
        <v>1499.99</v>
      </c>
      <c r="F4038" s="1">
        <v>0.05</v>
      </c>
      <c r="G4038">
        <f t="shared" si="63"/>
        <v>1499.94</v>
      </c>
      <c r="H4038" t="str">
        <f>VLOOKUP(C4038,[1]products!$A:$B,2,FALSE)</f>
        <v>Trek X-Caliber Frameset - 2018</v>
      </c>
      <c r="I4038">
        <f>VLOOKUP(C4038,[1]products!$A:$D,4,FALSE)</f>
        <v>6</v>
      </c>
      <c r="J4038" t="str">
        <f>VLOOKUP(I4038,[2]categories!$A$1:$B$8,2,FALSE)</f>
        <v>Mountain Bikes</v>
      </c>
    </row>
    <row r="4039" customHeight="1" spans="1:10">
      <c r="A4039" s="1">
        <v>1386</v>
      </c>
      <c r="B4039" s="1">
        <v>1</v>
      </c>
      <c r="C4039" s="1">
        <v>292</v>
      </c>
      <c r="D4039" s="1">
        <v>1</v>
      </c>
      <c r="E4039" s="1">
        <v>369.99</v>
      </c>
      <c r="F4039" s="1">
        <v>0.2</v>
      </c>
      <c r="G4039">
        <f t="shared" si="63"/>
        <v>369.79</v>
      </c>
      <c r="H4039" t="str">
        <f>VLOOKUP(C4039,[1]products!$A:$B,2,FALSE)</f>
        <v>Electra Sweet Ride 3i (20-inch) - Girls' - 2018</v>
      </c>
      <c r="I4039">
        <f>VLOOKUP(C4039,[1]products!$A:$D,4,FALSE)</f>
        <v>1</v>
      </c>
      <c r="J4039" t="str">
        <f>VLOOKUP(I4039,[2]categories!$A$1:$B$8,2,FALSE)</f>
        <v>Children Bicycles</v>
      </c>
    </row>
    <row r="4040" customHeight="1" spans="1:10">
      <c r="A4040" s="1">
        <v>1386</v>
      </c>
      <c r="B4040" s="1">
        <v>2</v>
      </c>
      <c r="C4040" s="1">
        <v>262</v>
      </c>
      <c r="D4040" s="1">
        <v>1</v>
      </c>
      <c r="E4040" s="1">
        <v>249.99</v>
      </c>
      <c r="F4040" s="1">
        <v>0.1</v>
      </c>
      <c r="G4040">
        <f t="shared" si="63"/>
        <v>249.89</v>
      </c>
      <c r="H4040" t="str">
        <f>VLOOKUP(C4040,[1]products!$A:$B,2,FALSE)</f>
        <v>Trek MT 201 - 2018</v>
      </c>
      <c r="I4040">
        <f>VLOOKUP(C4040,[1]products!$A:$D,4,FALSE)</f>
        <v>1</v>
      </c>
      <c r="J4040" t="str">
        <f>VLOOKUP(I4040,[2]categories!$A$1:$B$8,2,FALSE)</f>
        <v>Children Bicycles</v>
      </c>
    </row>
    <row r="4041" customHeight="1" spans="1:10">
      <c r="A4041" s="1">
        <v>1386</v>
      </c>
      <c r="B4041" s="1">
        <v>3</v>
      </c>
      <c r="C4041" s="1">
        <v>306</v>
      </c>
      <c r="D4041" s="1">
        <v>1</v>
      </c>
      <c r="E4041" s="1">
        <v>899.99</v>
      </c>
      <c r="F4041" s="1">
        <v>0.1</v>
      </c>
      <c r="G4041">
        <f t="shared" si="63"/>
        <v>899.89</v>
      </c>
      <c r="H4041" t="str">
        <f>VLOOKUP(C4041,[1]products!$A:$B,2,FALSE)</f>
        <v>Electra Townie Balloon 7i EQ Ladies' - 2017/2018</v>
      </c>
      <c r="I4041">
        <f>VLOOKUP(C4041,[1]products!$A:$D,4,FALSE)</f>
        <v>2</v>
      </c>
      <c r="J4041" t="str">
        <f>VLOOKUP(I4041,[2]categories!$A$1:$B$8,2,FALSE)</f>
        <v>Comfort Bicycles</v>
      </c>
    </row>
    <row r="4042" customHeight="1" spans="1:10">
      <c r="A4042" s="1">
        <v>1386</v>
      </c>
      <c r="B4042" s="1">
        <v>4</v>
      </c>
      <c r="C4042" s="1">
        <v>150</v>
      </c>
      <c r="D4042" s="1">
        <v>1</v>
      </c>
      <c r="E4042" s="1">
        <v>4499.99</v>
      </c>
      <c r="F4042" s="1">
        <v>0.07</v>
      </c>
      <c r="G4042">
        <f t="shared" si="63"/>
        <v>4499.92</v>
      </c>
      <c r="H4042" t="str">
        <f>VLOOKUP(C4042,[1]products!$A:$B,2,FALSE)</f>
        <v>Trek Emonda SL 7 - 2018</v>
      </c>
      <c r="I4042">
        <f>VLOOKUP(C4042,[1]products!$A:$D,4,FALSE)</f>
        <v>7</v>
      </c>
      <c r="J4042" t="str">
        <f>VLOOKUP(I4042,[2]categories!$A$1:$B$8,2,FALSE)</f>
        <v>Road Bikes</v>
      </c>
    </row>
    <row r="4043" customHeight="1" spans="1:10">
      <c r="A4043" s="1">
        <v>1387</v>
      </c>
      <c r="B4043" s="1">
        <v>1</v>
      </c>
      <c r="C4043" s="1">
        <v>106</v>
      </c>
      <c r="D4043" s="1">
        <v>1</v>
      </c>
      <c r="E4043" s="1">
        <v>449.99</v>
      </c>
      <c r="F4043" s="1">
        <v>0.1</v>
      </c>
      <c r="G4043">
        <f t="shared" si="63"/>
        <v>449.89</v>
      </c>
      <c r="H4043" t="str">
        <f>VLOOKUP(C4043,[1]products!$A:$B,2,FALSE)</f>
        <v>Sun Bicycles Cruz 3 - 2017</v>
      </c>
      <c r="I4043">
        <f>VLOOKUP(C4043,[1]products!$A:$D,4,FALSE)</f>
        <v>2</v>
      </c>
      <c r="J4043" t="str">
        <f>VLOOKUP(I4043,[2]categories!$A$1:$B$8,2,FALSE)</f>
        <v>Comfort Bicycles</v>
      </c>
    </row>
    <row r="4044" customHeight="1" spans="1:10">
      <c r="A4044" s="1">
        <v>1388</v>
      </c>
      <c r="B4044" s="1">
        <v>1</v>
      </c>
      <c r="C4044" s="1">
        <v>251</v>
      </c>
      <c r="D4044" s="1">
        <v>1</v>
      </c>
      <c r="E4044" s="1">
        <v>2999.99</v>
      </c>
      <c r="F4044" s="1">
        <v>0.1</v>
      </c>
      <c r="G4044">
        <f t="shared" si="63"/>
        <v>2999.89</v>
      </c>
      <c r="H4044" t="str">
        <f>VLOOKUP(C4044,[1]products!$A:$B,2,FALSE)</f>
        <v>Electra Townie Commute Go! - 2018</v>
      </c>
      <c r="I4044">
        <f>VLOOKUP(C4044,[1]products!$A:$D,4,FALSE)</f>
        <v>3</v>
      </c>
      <c r="J4044" t="str">
        <f>VLOOKUP(I4044,[2]categories!$A$1:$B$8,2,FALSE)</f>
        <v>Cruisers Bicycles</v>
      </c>
    </row>
    <row r="4045" customHeight="1" spans="1:10">
      <c r="A4045" s="1">
        <v>1389</v>
      </c>
      <c r="B4045" s="1">
        <v>1</v>
      </c>
      <c r="C4045" s="1">
        <v>85</v>
      </c>
      <c r="D4045" s="1">
        <v>2</v>
      </c>
      <c r="E4045" s="1">
        <v>329.99</v>
      </c>
      <c r="F4045" s="1">
        <v>0.1</v>
      </c>
      <c r="G4045">
        <f t="shared" si="63"/>
        <v>659.88</v>
      </c>
      <c r="H4045" t="str">
        <f>VLOOKUP(C4045,[1]products!$A:$B,2,FALSE)</f>
        <v>Haro Downtown 16 - 2017</v>
      </c>
      <c r="I4045">
        <f>VLOOKUP(C4045,[1]products!$A:$D,4,FALSE)</f>
        <v>1</v>
      </c>
      <c r="J4045" t="str">
        <f>VLOOKUP(I4045,[2]categories!$A$1:$B$8,2,FALSE)</f>
        <v>Children Bicycles</v>
      </c>
    </row>
    <row r="4046" customHeight="1" spans="1:10">
      <c r="A4046" s="1">
        <v>1389</v>
      </c>
      <c r="B4046" s="1">
        <v>2</v>
      </c>
      <c r="C4046" s="1">
        <v>171</v>
      </c>
      <c r="D4046" s="1">
        <v>2</v>
      </c>
      <c r="E4046" s="1">
        <v>3199.99</v>
      </c>
      <c r="F4046" s="1">
        <v>0.05</v>
      </c>
      <c r="G4046">
        <f t="shared" si="63"/>
        <v>6399.93</v>
      </c>
      <c r="H4046" t="str">
        <f>VLOOKUP(C4046,[1]products!$A:$B,2,FALSE)</f>
        <v>Trek Domane SL 6 - 2018</v>
      </c>
      <c r="I4046">
        <f>VLOOKUP(C4046,[1]products!$A:$D,4,FALSE)</f>
        <v>7</v>
      </c>
      <c r="J4046" t="str">
        <f>VLOOKUP(I4046,[2]categories!$A$1:$B$8,2,FALSE)</f>
        <v>Road Bikes</v>
      </c>
    </row>
    <row r="4047" customHeight="1" spans="1:10">
      <c r="A4047" s="1">
        <v>1389</v>
      </c>
      <c r="B4047" s="1">
        <v>3</v>
      </c>
      <c r="C4047" s="1">
        <v>227</v>
      </c>
      <c r="D4047" s="1">
        <v>1</v>
      </c>
      <c r="E4047" s="1">
        <v>319.99</v>
      </c>
      <c r="F4047" s="1">
        <v>0.07</v>
      </c>
      <c r="G4047">
        <f t="shared" si="63"/>
        <v>319.92</v>
      </c>
      <c r="H4047" t="str">
        <f>VLOOKUP(C4047,[1]products!$A:$B,2,FALSE)</f>
        <v>Electra Cruiser 7D (24-Inch) Ladies' - 2016/2018</v>
      </c>
      <c r="I4047">
        <f>VLOOKUP(C4047,[1]products!$A:$D,4,FALSE)</f>
        <v>3</v>
      </c>
      <c r="J4047" t="str">
        <f>VLOOKUP(I4047,[2]categories!$A$1:$B$8,2,FALSE)</f>
        <v>Cruisers Bicycles</v>
      </c>
    </row>
    <row r="4048" customHeight="1" spans="1:10">
      <c r="A4048" s="1">
        <v>1390</v>
      </c>
      <c r="B4048" s="1">
        <v>1</v>
      </c>
      <c r="C4048" s="1">
        <v>41</v>
      </c>
      <c r="D4048" s="1">
        <v>2</v>
      </c>
      <c r="E4048" s="1">
        <v>1469.99</v>
      </c>
      <c r="F4048" s="1">
        <v>0.05</v>
      </c>
      <c r="G4048">
        <f t="shared" si="63"/>
        <v>2939.93</v>
      </c>
      <c r="H4048" t="str">
        <f>VLOOKUP(C4048,[1]products!$A:$B,2,FALSE)</f>
        <v>Haro Shift R3 - 2017</v>
      </c>
      <c r="I4048">
        <f>VLOOKUP(C4048,[1]products!$A:$D,4,FALSE)</f>
        <v>6</v>
      </c>
      <c r="J4048" t="str">
        <f>VLOOKUP(I4048,[2]categories!$A$1:$B$8,2,FALSE)</f>
        <v>Mountain Bikes</v>
      </c>
    </row>
    <row r="4049" customHeight="1" spans="1:10">
      <c r="A4049" s="1">
        <v>1390</v>
      </c>
      <c r="B4049" s="1">
        <v>2</v>
      </c>
      <c r="C4049" s="1">
        <v>27</v>
      </c>
      <c r="D4049" s="1">
        <v>2</v>
      </c>
      <c r="E4049" s="1">
        <v>999.99</v>
      </c>
      <c r="F4049" s="1">
        <v>0.05</v>
      </c>
      <c r="G4049">
        <f t="shared" si="63"/>
        <v>1999.93</v>
      </c>
      <c r="H4049" t="str">
        <f>VLOOKUP(C4049,[1]products!$A:$B,2,FALSE)</f>
        <v>Surly Big Dummy Frameset - 2017</v>
      </c>
      <c r="I4049">
        <f>VLOOKUP(C4049,[1]products!$A:$D,4,FALSE)</f>
        <v>6</v>
      </c>
      <c r="J4049" t="str">
        <f>VLOOKUP(I4049,[2]categories!$A$1:$B$8,2,FALSE)</f>
        <v>Mountain Bikes</v>
      </c>
    </row>
    <row r="4050" customHeight="1" spans="1:10">
      <c r="A4050" s="1">
        <v>1390</v>
      </c>
      <c r="B4050" s="1">
        <v>3</v>
      </c>
      <c r="C4050" s="1">
        <v>306</v>
      </c>
      <c r="D4050" s="1">
        <v>1</v>
      </c>
      <c r="E4050" s="1">
        <v>899.99</v>
      </c>
      <c r="F4050" s="1">
        <v>0.1</v>
      </c>
      <c r="G4050">
        <f t="shared" si="63"/>
        <v>899.89</v>
      </c>
      <c r="H4050" t="str">
        <f>VLOOKUP(C4050,[1]products!$A:$B,2,FALSE)</f>
        <v>Electra Townie Balloon 7i EQ Ladies' - 2017/2018</v>
      </c>
      <c r="I4050">
        <f>VLOOKUP(C4050,[1]products!$A:$D,4,FALSE)</f>
        <v>2</v>
      </c>
      <c r="J4050" t="str">
        <f>VLOOKUP(I4050,[2]categories!$A$1:$B$8,2,FALSE)</f>
        <v>Comfort Bicycles</v>
      </c>
    </row>
    <row r="4051" customHeight="1" spans="1:10">
      <c r="A4051" s="1">
        <v>1390</v>
      </c>
      <c r="B4051" s="1">
        <v>4</v>
      </c>
      <c r="C4051" s="1">
        <v>104</v>
      </c>
      <c r="D4051" s="1">
        <v>1</v>
      </c>
      <c r="E4051" s="1">
        <v>481.99</v>
      </c>
      <c r="F4051" s="1">
        <v>0.05</v>
      </c>
      <c r="G4051">
        <f t="shared" si="63"/>
        <v>481.94</v>
      </c>
      <c r="H4051" t="str">
        <f>VLOOKUP(C4051,[1]products!$A:$B,2,FALSE)</f>
        <v>Sun Bicycles Streamway - 2017</v>
      </c>
      <c r="I4051">
        <f>VLOOKUP(C4051,[1]products!$A:$D,4,FALSE)</f>
        <v>2</v>
      </c>
      <c r="J4051" t="str">
        <f>VLOOKUP(I4051,[2]categories!$A$1:$B$8,2,FALSE)</f>
        <v>Comfort Bicycles</v>
      </c>
    </row>
    <row r="4052" customHeight="1" spans="1:10">
      <c r="A4052" s="1">
        <v>1390</v>
      </c>
      <c r="B4052" s="1">
        <v>5</v>
      </c>
      <c r="C4052" s="1">
        <v>147</v>
      </c>
      <c r="D4052" s="1">
        <v>2</v>
      </c>
      <c r="E4052" s="1">
        <v>1799.99</v>
      </c>
      <c r="F4052" s="1">
        <v>0.1</v>
      </c>
      <c r="G4052">
        <f t="shared" si="63"/>
        <v>3599.88</v>
      </c>
      <c r="H4052" t="str">
        <f>VLOOKUP(C4052,[1]products!$A:$B,2,FALSE)</f>
        <v>Trek Domane ALR 5 Gravel - 2018</v>
      </c>
      <c r="I4052">
        <f>VLOOKUP(C4052,[1]products!$A:$D,4,FALSE)</f>
        <v>7</v>
      </c>
      <c r="J4052" t="str">
        <f>VLOOKUP(I4052,[2]categories!$A$1:$B$8,2,FALSE)</f>
        <v>Road Bikes</v>
      </c>
    </row>
    <row r="4053" customHeight="1" spans="1:10">
      <c r="A4053" s="1">
        <v>1391</v>
      </c>
      <c r="B4053" s="1">
        <v>1</v>
      </c>
      <c r="C4053" s="1">
        <v>223</v>
      </c>
      <c r="D4053" s="1">
        <v>2</v>
      </c>
      <c r="E4053" s="1">
        <v>529.99</v>
      </c>
      <c r="F4053" s="1">
        <v>0.07</v>
      </c>
      <c r="G4053">
        <f t="shared" si="63"/>
        <v>1059.91</v>
      </c>
      <c r="H4053" t="str">
        <f>VLOOKUP(C4053,[1]products!$A:$B,2,FALSE)</f>
        <v>Electra Cruiser Lux 3i - 2018</v>
      </c>
      <c r="I4053">
        <f>VLOOKUP(C4053,[1]products!$A:$D,4,FALSE)</f>
        <v>3</v>
      </c>
      <c r="J4053" t="str">
        <f>VLOOKUP(I4053,[2]categories!$A$1:$B$8,2,FALSE)</f>
        <v>Cruisers Bicycles</v>
      </c>
    </row>
    <row r="4054" customHeight="1" spans="1:10">
      <c r="A4054" s="1">
        <v>1391</v>
      </c>
      <c r="B4054" s="1">
        <v>2</v>
      </c>
      <c r="C4054" s="1">
        <v>295</v>
      </c>
      <c r="D4054" s="1">
        <v>2</v>
      </c>
      <c r="E4054" s="1">
        <v>319.99</v>
      </c>
      <c r="F4054" s="1">
        <v>0.2</v>
      </c>
      <c r="G4054">
        <f t="shared" si="63"/>
        <v>639.78</v>
      </c>
      <c r="H4054" t="str">
        <f>VLOOKUP(C4054,[1]products!$A:$B,2,FALSE)</f>
        <v>Electra Treasure 1 20" - 2018</v>
      </c>
      <c r="I4054">
        <f>VLOOKUP(C4054,[1]products!$A:$D,4,FALSE)</f>
        <v>1</v>
      </c>
      <c r="J4054" t="str">
        <f>VLOOKUP(I4054,[2]categories!$A$1:$B$8,2,FALSE)</f>
        <v>Children Bicycles</v>
      </c>
    </row>
    <row r="4055" customHeight="1" spans="1:10">
      <c r="A4055" s="1">
        <v>1391</v>
      </c>
      <c r="B4055" s="1">
        <v>3</v>
      </c>
      <c r="C4055" s="1">
        <v>277</v>
      </c>
      <c r="D4055" s="1">
        <v>1</v>
      </c>
      <c r="E4055" s="1">
        <v>369.99</v>
      </c>
      <c r="F4055" s="1">
        <v>0.2</v>
      </c>
      <c r="G4055">
        <f t="shared" si="63"/>
        <v>369.79</v>
      </c>
      <c r="H4055" t="str">
        <f>VLOOKUP(C4055,[1]products!$A:$B,2,FALSE)</f>
        <v>Trek Precaliber 24 21-speed Boy's - 2018</v>
      </c>
      <c r="I4055">
        <f>VLOOKUP(C4055,[1]products!$A:$D,4,FALSE)</f>
        <v>1</v>
      </c>
      <c r="J4055" t="str">
        <f>VLOOKUP(I4055,[2]categories!$A$1:$B$8,2,FALSE)</f>
        <v>Children Bicycles</v>
      </c>
    </row>
    <row r="4056" customHeight="1" spans="1:10">
      <c r="A4056" s="1">
        <v>1392</v>
      </c>
      <c r="B4056" s="1">
        <v>1</v>
      </c>
      <c r="C4056" s="1">
        <v>87</v>
      </c>
      <c r="D4056" s="1">
        <v>2</v>
      </c>
      <c r="E4056" s="1">
        <v>189.99</v>
      </c>
      <c r="F4056" s="1">
        <v>0.2</v>
      </c>
      <c r="G4056">
        <f t="shared" si="63"/>
        <v>379.78</v>
      </c>
      <c r="H4056" t="str">
        <f>VLOOKUP(C4056,[1]products!$A:$B,2,FALSE)</f>
        <v>Trek Precaliber 12 Boys - 2017</v>
      </c>
      <c r="I4056">
        <f>VLOOKUP(C4056,[1]products!$A:$D,4,FALSE)</f>
        <v>1</v>
      </c>
      <c r="J4056" t="str">
        <f>VLOOKUP(I4056,[2]categories!$A$1:$B$8,2,FALSE)</f>
        <v>Children Bicycles</v>
      </c>
    </row>
    <row r="4057" customHeight="1" spans="1:10">
      <c r="A4057" s="1">
        <v>1392</v>
      </c>
      <c r="B4057" s="1">
        <v>2</v>
      </c>
      <c r="C4057" s="1">
        <v>240</v>
      </c>
      <c r="D4057" s="1">
        <v>2</v>
      </c>
      <c r="E4057" s="1">
        <v>899.99</v>
      </c>
      <c r="F4057" s="1">
        <v>0.05</v>
      </c>
      <c r="G4057">
        <f t="shared" si="63"/>
        <v>1799.93</v>
      </c>
      <c r="H4057" t="str">
        <f>VLOOKUP(C4057,[1]products!$A:$B,2,FALSE)</f>
        <v>Electra Townie Commute 27D Ladies - 2018</v>
      </c>
      <c r="I4057">
        <f>VLOOKUP(C4057,[1]products!$A:$D,4,FALSE)</f>
        <v>3</v>
      </c>
      <c r="J4057" t="str">
        <f>VLOOKUP(I4057,[2]categories!$A$1:$B$8,2,FALSE)</f>
        <v>Cruisers Bicycles</v>
      </c>
    </row>
    <row r="4058" customHeight="1" spans="1:10">
      <c r="A4058" s="1">
        <v>1393</v>
      </c>
      <c r="B4058" s="1">
        <v>1</v>
      </c>
      <c r="C4058" s="1">
        <v>92</v>
      </c>
      <c r="D4058" s="1">
        <v>1</v>
      </c>
      <c r="E4058" s="1">
        <v>209.99</v>
      </c>
      <c r="F4058" s="1">
        <v>0.07</v>
      </c>
      <c r="G4058">
        <f t="shared" si="63"/>
        <v>209.92</v>
      </c>
      <c r="H4058" t="str">
        <f>VLOOKUP(C4058,[1]products!$A:$B,2,FALSE)</f>
        <v>Haro Shredder 20 - 2017</v>
      </c>
      <c r="I4058">
        <f>VLOOKUP(C4058,[1]products!$A:$D,4,FALSE)</f>
        <v>1</v>
      </c>
      <c r="J4058" t="str">
        <f>VLOOKUP(I4058,[2]categories!$A$1:$B$8,2,FALSE)</f>
        <v>Children Bicycles</v>
      </c>
    </row>
    <row r="4059" customHeight="1" spans="1:10">
      <c r="A4059" s="1">
        <v>1393</v>
      </c>
      <c r="B4059" s="1">
        <v>2</v>
      </c>
      <c r="C4059" s="1">
        <v>82</v>
      </c>
      <c r="D4059" s="1">
        <v>1</v>
      </c>
      <c r="E4059" s="1">
        <v>659.99</v>
      </c>
      <c r="F4059" s="1">
        <v>0.07</v>
      </c>
      <c r="G4059">
        <f t="shared" si="63"/>
        <v>659.92</v>
      </c>
      <c r="H4059" t="str">
        <f>VLOOKUP(C4059,[1]products!$A:$B,2,FALSE)</f>
        <v>Electra Amsterdam Original 3i Ladies' - 2017</v>
      </c>
      <c r="I4059">
        <f>VLOOKUP(C4059,[1]products!$A:$D,4,FALSE)</f>
        <v>3</v>
      </c>
      <c r="J4059" t="str">
        <f>VLOOKUP(I4059,[2]categories!$A$1:$B$8,2,FALSE)</f>
        <v>Cruisers Bicycles</v>
      </c>
    </row>
    <row r="4060" customHeight="1" spans="1:10">
      <c r="A4060" s="1">
        <v>1393</v>
      </c>
      <c r="B4060" s="1">
        <v>3</v>
      </c>
      <c r="C4060" s="1">
        <v>47</v>
      </c>
      <c r="D4060" s="1">
        <v>2</v>
      </c>
      <c r="E4060" s="1">
        <v>5299.99</v>
      </c>
      <c r="F4060" s="1">
        <v>0.05</v>
      </c>
      <c r="G4060">
        <f t="shared" si="63"/>
        <v>10599.93</v>
      </c>
      <c r="H4060" t="str">
        <f>VLOOKUP(C4060,[1]products!$A:$B,2,FALSE)</f>
        <v>Trek Remedy 9.8 - 2017</v>
      </c>
      <c r="I4060">
        <f>VLOOKUP(C4060,[1]products!$A:$D,4,FALSE)</f>
        <v>6</v>
      </c>
      <c r="J4060" t="str">
        <f>VLOOKUP(I4060,[2]categories!$A$1:$B$8,2,FALSE)</f>
        <v>Mountain Bikes</v>
      </c>
    </row>
    <row r="4061" customHeight="1" spans="1:10">
      <c r="A4061" s="1">
        <v>1393</v>
      </c>
      <c r="B4061" s="1">
        <v>4</v>
      </c>
      <c r="C4061" s="1">
        <v>268</v>
      </c>
      <c r="D4061" s="1">
        <v>2</v>
      </c>
      <c r="E4061" s="1">
        <v>159.99</v>
      </c>
      <c r="F4061" s="1">
        <v>0.05</v>
      </c>
      <c r="G4061">
        <f t="shared" si="63"/>
        <v>319.93</v>
      </c>
      <c r="H4061" t="str">
        <f>VLOOKUP(C4061,[1]products!$A:$B,2,FALSE)</f>
        <v>Trek Kickster - 2018</v>
      </c>
      <c r="I4061">
        <f>VLOOKUP(C4061,[1]products!$A:$D,4,FALSE)</f>
        <v>1</v>
      </c>
      <c r="J4061" t="str">
        <f>VLOOKUP(I4061,[2]categories!$A$1:$B$8,2,FALSE)</f>
        <v>Children Bicycles</v>
      </c>
    </row>
    <row r="4062" customHeight="1" spans="1:10">
      <c r="A4062" s="1">
        <v>1394</v>
      </c>
      <c r="B4062" s="1">
        <v>1</v>
      </c>
      <c r="C4062" s="1">
        <v>165</v>
      </c>
      <c r="D4062" s="1">
        <v>2</v>
      </c>
      <c r="E4062" s="1">
        <v>2499.99</v>
      </c>
      <c r="F4062" s="1">
        <v>0.05</v>
      </c>
      <c r="G4062">
        <f t="shared" si="63"/>
        <v>4999.93</v>
      </c>
      <c r="H4062" t="str">
        <f>VLOOKUP(C4062,[1]products!$A:$B,2,FALSE)</f>
        <v>Trek 1120 - 2018</v>
      </c>
      <c r="I4062">
        <f>VLOOKUP(C4062,[1]products!$A:$D,4,FALSE)</f>
        <v>7</v>
      </c>
      <c r="J4062" t="str">
        <f>VLOOKUP(I4062,[2]categories!$A$1:$B$8,2,FALSE)</f>
        <v>Road Bikes</v>
      </c>
    </row>
    <row r="4063" customHeight="1" spans="1:10">
      <c r="A4063" s="1">
        <v>1395</v>
      </c>
      <c r="B4063" s="1">
        <v>1</v>
      </c>
      <c r="C4063" s="1">
        <v>204</v>
      </c>
      <c r="D4063" s="1">
        <v>1</v>
      </c>
      <c r="E4063" s="1">
        <v>3599.99</v>
      </c>
      <c r="F4063" s="1">
        <v>0.2</v>
      </c>
      <c r="G4063">
        <f t="shared" si="63"/>
        <v>3599.79</v>
      </c>
      <c r="H4063" t="str">
        <f>VLOOKUP(C4063,[1]products!$A:$B,2,FALSE)</f>
        <v>Trek Super Commuter+ 7 - 2018</v>
      </c>
      <c r="I4063">
        <f>VLOOKUP(C4063,[1]products!$A:$D,4,FALSE)</f>
        <v>5</v>
      </c>
      <c r="J4063" t="str">
        <f>VLOOKUP(I4063,[2]categories!$A$1:$B$8,2,FALSE)</f>
        <v>Electric Bikes</v>
      </c>
    </row>
    <row r="4064" customHeight="1" spans="1:10">
      <c r="A4064" s="1">
        <v>1395</v>
      </c>
      <c r="B4064" s="1">
        <v>2</v>
      </c>
      <c r="C4064" s="1">
        <v>48</v>
      </c>
      <c r="D4064" s="1">
        <v>2</v>
      </c>
      <c r="E4064" s="1">
        <v>1499.99</v>
      </c>
      <c r="F4064" s="1">
        <v>0.1</v>
      </c>
      <c r="G4064">
        <f t="shared" si="63"/>
        <v>2999.88</v>
      </c>
      <c r="H4064" t="str">
        <f>VLOOKUP(C4064,[1]products!$A:$B,2,FALSE)</f>
        <v>Trek Emonda S 4 - 2017</v>
      </c>
      <c r="I4064">
        <f>VLOOKUP(C4064,[1]products!$A:$D,4,FALSE)</f>
        <v>7</v>
      </c>
      <c r="J4064" t="str">
        <f>VLOOKUP(I4064,[2]categories!$A$1:$B$8,2,FALSE)</f>
        <v>Road Bikes</v>
      </c>
    </row>
    <row r="4065" customHeight="1" spans="1:10">
      <c r="A4065" s="1">
        <v>1395</v>
      </c>
      <c r="B4065" s="1">
        <v>3</v>
      </c>
      <c r="C4065" s="1">
        <v>180</v>
      </c>
      <c r="D4065" s="1">
        <v>2</v>
      </c>
      <c r="E4065" s="1">
        <v>919.99</v>
      </c>
      <c r="F4065" s="1">
        <v>0.2</v>
      </c>
      <c r="G4065">
        <f t="shared" si="63"/>
        <v>1839.78</v>
      </c>
      <c r="H4065" t="str">
        <f>VLOOKUP(C4065,[1]products!$A:$B,2,FALSE)</f>
        <v>Trek Domane AL 3 Women's - 2018</v>
      </c>
      <c r="I4065">
        <f>VLOOKUP(C4065,[1]products!$A:$D,4,FALSE)</f>
        <v>7</v>
      </c>
      <c r="J4065" t="str">
        <f>VLOOKUP(I4065,[2]categories!$A$1:$B$8,2,FALSE)</f>
        <v>Road Bikes</v>
      </c>
    </row>
    <row r="4066" customHeight="1" spans="1:10">
      <c r="A4066" s="1">
        <v>1395</v>
      </c>
      <c r="B4066" s="1">
        <v>4</v>
      </c>
      <c r="C4066" s="1">
        <v>226</v>
      </c>
      <c r="D4066" s="1">
        <v>1</v>
      </c>
      <c r="E4066" s="1">
        <v>679.99</v>
      </c>
      <c r="F4066" s="1">
        <v>0.1</v>
      </c>
      <c r="G4066">
        <f t="shared" si="63"/>
        <v>679.89</v>
      </c>
      <c r="H4066" t="str">
        <f>VLOOKUP(C4066,[1]products!$A:$B,2,FALSE)</f>
        <v>Electra Townie Original 21D EQ - 2017/2018</v>
      </c>
      <c r="I4066">
        <f>VLOOKUP(C4066,[1]products!$A:$D,4,FALSE)</f>
        <v>3</v>
      </c>
      <c r="J4066" t="str">
        <f>VLOOKUP(I4066,[2]categories!$A$1:$B$8,2,FALSE)</f>
        <v>Cruisers Bicycles</v>
      </c>
    </row>
    <row r="4067" customHeight="1" spans="1:10">
      <c r="A4067" s="1">
        <v>1396</v>
      </c>
      <c r="B4067" s="1">
        <v>1</v>
      </c>
      <c r="C4067" s="1">
        <v>57</v>
      </c>
      <c r="D4067" s="1">
        <v>1</v>
      </c>
      <c r="E4067" s="1">
        <v>1999.99</v>
      </c>
      <c r="F4067" s="1">
        <v>0.05</v>
      </c>
      <c r="G4067">
        <f t="shared" si="63"/>
        <v>1999.94</v>
      </c>
      <c r="H4067" t="str">
        <f>VLOOKUP(C4067,[1]products!$A:$B,2,FALSE)</f>
        <v>Trek Emonda S 5 - 2017</v>
      </c>
      <c r="I4067">
        <f>VLOOKUP(C4067,[1]products!$A:$D,4,FALSE)</f>
        <v>7</v>
      </c>
      <c r="J4067" t="str">
        <f>VLOOKUP(I4067,[2]categories!$A$1:$B$8,2,FALSE)</f>
        <v>Road Bikes</v>
      </c>
    </row>
    <row r="4068" customHeight="1" spans="1:10">
      <c r="A4068" s="1">
        <v>1396</v>
      </c>
      <c r="B4068" s="1">
        <v>2</v>
      </c>
      <c r="C4068" s="1">
        <v>181</v>
      </c>
      <c r="D4068" s="1">
        <v>1</v>
      </c>
      <c r="E4068" s="1">
        <v>2199.99</v>
      </c>
      <c r="F4068" s="1">
        <v>0.2</v>
      </c>
      <c r="G4068">
        <f t="shared" si="63"/>
        <v>2199.79</v>
      </c>
      <c r="H4068" t="str">
        <f>VLOOKUP(C4068,[1]products!$A:$B,2,FALSE)</f>
        <v>Trek Domane SL 5 - 2018</v>
      </c>
      <c r="I4068">
        <f>VLOOKUP(C4068,[1]products!$A:$D,4,FALSE)</f>
        <v>7</v>
      </c>
      <c r="J4068" t="str">
        <f>VLOOKUP(I4068,[2]categories!$A$1:$B$8,2,FALSE)</f>
        <v>Road Bikes</v>
      </c>
    </row>
    <row r="4069" customHeight="1" spans="1:10">
      <c r="A4069" s="1">
        <v>1397</v>
      </c>
      <c r="B4069" s="1">
        <v>1</v>
      </c>
      <c r="C4069" s="1">
        <v>127</v>
      </c>
      <c r="D4069" s="1">
        <v>2</v>
      </c>
      <c r="E4069" s="1">
        <v>469.99</v>
      </c>
      <c r="F4069" s="1">
        <v>0.1</v>
      </c>
      <c r="G4069">
        <f t="shared" si="63"/>
        <v>939.88</v>
      </c>
      <c r="H4069" t="str">
        <f>VLOOKUP(C4069,[1]products!$A:$B,2,FALSE)</f>
        <v>Surly Pack Rat Frameset - 2018</v>
      </c>
      <c r="I4069">
        <f>VLOOKUP(C4069,[1]products!$A:$D,4,FALSE)</f>
        <v>6</v>
      </c>
      <c r="J4069" t="str">
        <f>VLOOKUP(I4069,[2]categories!$A$1:$B$8,2,FALSE)</f>
        <v>Mountain Bikes</v>
      </c>
    </row>
    <row r="4070" customHeight="1" spans="1:10">
      <c r="A4070" s="1">
        <v>1397</v>
      </c>
      <c r="B4070" s="1">
        <v>2</v>
      </c>
      <c r="C4070" s="1">
        <v>139</v>
      </c>
      <c r="D4070" s="1">
        <v>1</v>
      </c>
      <c r="E4070" s="1">
        <v>2999.99</v>
      </c>
      <c r="F4070" s="1">
        <v>0.07</v>
      </c>
      <c r="G4070">
        <f t="shared" si="63"/>
        <v>2999.92</v>
      </c>
      <c r="H4070" t="str">
        <f>VLOOKUP(C4070,[1]products!$A:$B,2,FALSE)</f>
        <v>Trek Remedy 7 27.5 - 2018</v>
      </c>
      <c r="I4070">
        <f>VLOOKUP(C4070,[1]products!$A:$D,4,FALSE)</f>
        <v>6</v>
      </c>
      <c r="J4070" t="str">
        <f>VLOOKUP(I4070,[2]categories!$A$1:$B$8,2,FALSE)</f>
        <v>Mountain Bikes</v>
      </c>
    </row>
    <row r="4071" customHeight="1" spans="1:10">
      <c r="A4071" s="1">
        <v>1397</v>
      </c>
      <c r="B4071" s="1">
        <v>3</v>
      </c>
      <c r="C4071" s="1">
        <v>7</v>
      </c>
      <c r="D4071" s="1">
        <v>1</v>
      </c>
      <c r="E4071" s="1">
        <v>3999.99</v>
      </c>
      <c r="F4071" s="1">
        <v>0.05</v>
      </c>
      <c r="G4071">
        <f t="shared" si="63"/>
        <v>3999.94</v>
      </c>
      <c r="H4071" t="str">
        <f>VLOOKUP(C4071,[1]products!$A:$B,2,FALSE)</f>
        <v>Trek Slash 8 27.5 - 2016</v>
      </c>
      <c r="I4071">
        <f>VLOOKUP(C4071,[1]products!$A:$D,4,FALSE)</f>
        <v>6</v>
      </c>
      <c r="J4071" t="str">
        <f>VLOOKUP(I4071,[2]categories!$A$1:$B$8,2,FALSE)</f>
        <v>Mountain Bikes</v>
      </c>
    </row>
    <row r="4072" customHeight="1" spans="1:10">
      <c r="A4072" s="1">
        <v>1397</v>
      </c>
      <c r="B4072" s="1">
        <v>4</v>
      </c>
      <c r="C4072" s="1">
        <v>249</v>
      </c>
      <c r="D4072" s="1">
        <v>1</v>
      </c>
      <c r="E4072" s="1">
        <v>749.99</v>
      </c>
      <c r="F4072" s="1">
        <v>0.05</v>
      </c>
      <c r="G4072">
        <f t="shared" si="63"/>
        <v>749.94</v>
      </c>
      <c r="H4072" t="str">
        <f>VLOOKUP(C4072,[1]products!$A:$B,2,FALSE)</f>
        <v>Electra White Water 3i - 2018</v>
      </c>
      <c r="I4072">
        <f>VLOOKUP(C4072,[1]products!$A:$D,4,FALSE)</f>
        <v>3</v>
      </c>
      <c r="J4072" t="str">
        <f>VLOOKUP(I4072,[2]categories!$A$1:$B$8,2,FALSE)</f>
        <v>Cruisers Bicycles</v>
      </c>
    </row>
    <row r="4073" customHeight="1" spans="1:10">
      <c r="A4073" s="1">
        <v>1397</v>
      </c>
      <c r="B4073" s="1">
        <v>5</v>
      </c>
      <c r="C4073" s="1">
        <v>78</v>
      </c>
      <c r="D4073" s="1">
        <v>2</v>
      </c>
      <c r="E4073" s="1">
        <v>647.99</v>
      </c>
      <c r="F4073" s="1">
        <v>0.1</v>
      </c>
      <c r="G4073">
        <f t="shared" si="63"/>
        <v>1295.88</v>
      </c>
      <c r="H4073" t="str">
        <f>VLOOKUP(C4073,[1]products!$A:$B,2,FALSE)</f>
        <v>Sun Bicycles Biscayne Tandem CB - 2017</v>
      </c>
      <c r="I4073">
        <f>VLOOKUP(C4073,[1]products!$A:$D,4,FALSE)</f>
        <v>3</v>
      </c>
      <c r="J4073" t="str">
        <f>VLOOKUP(I4073,[2]categories!$A$1:$B$8,2,FALSE)</f>
        <v>Cruisers Bicycles</v>
      </c>
    </row>
    <row r="4074" customHeight="1" spans="1:10">
      <c r="A4074" s="1">
        <v>1398</v>
      </c>
      <c r="B4074" s="1">
        <v>1</v>
      </c>
      <c r="C4074" s="1">
        <v>69</v>
      </c>
      <c r="D4074" s="1">
        <v>2</v>
      </c>
      <c r="E4074" s="1">
        <v>416.99</v>
      </c>
      <c r="F4074" s="1">
        <v>0.05</v>
      </c>
      <c r="G4074">
        <f t="shared" si="63"/>
        <v>833.93</v>
      </c>
      <c r="H4074" t="str">
        <f>VLOOKUP(C4074,[1]products!$A:$B,2,FALSE)</f>
        <v>Sun Bicycles Cruz 7 - 2017</v>
      </c>
      <c r="I4074">
        <f>VLOOKUP(C4074,[1]products!$A:$D,4,FALSE)</f>
        <v>3</v>
      </c>
      <c r="J4074" t="str">
        <f>VLOOKUP(I4074,[2]categories!$A$1:$B$8,2,FALSE)</f>
        <v>Cruisers Bicycles</v>
      </c>
    </row>
    <row r="4075" customHeight="1" spans="1:10">
      <c r="A4075" s="1">
        <v>1398</v>
      </c>
      <c r="B4075" s="1">
        <v>2</v>
      </c>
      <c r="C4075" s="1">
        <v>53</v>
      </c>
      <c r="D4075" s="1">
        <v>1</v>
      </c>
      <c r="E4075" s="1">
        <v>749.99</v>
      </c>
      <c r="F4075" s="1">
        <v>0.2</v>
      </c>
      <c r="G4075">
        <f t="shared" si="63"/>
        <v>749.79</v>
      </c>
      <c r="H4075" t="str">
        <f>VLOOKUP(C4075,[1]products!$A:$B,2,FALSE)</f>
        <v>Surly Ogre Frameset - 2017</v>
      </c>
      <c r="I4075">
        <f>VLOOKUP(C4075,[1]products!$A:$D,4,FALSE)</f>
        <v>7</v>
      </c>
      <c r="J4075" t="str">
        <f>VLOOKUP(I4075,[2]categories!$A$1:$B$8,2,FALSE)</f>
        <v>Road Bikes</v>
      </c>
    </row>
    <row r="4076" customHeight="1" spans="1:10">
      <c r="A4076" s="1">
        <v>1399</v>
      </c>
      <c r="B4076" s="1">
        <v>1</v>
      </c>
      <c r="C4076" s="1">
        <v>210</v>
      </c>
      <c r="D4076" s="1">
        <v>2</v>
      </c>
      <c r="E4076" s="1">
        <v>1549</v>
      </c>
      <c r="F4076" s="1">
        <v>0.2</v>
      </c>
      <c r="G4076">
        <f t="shared" si="63"/>
        <v>3097.8</v>
      </c>
      <c r="H4076" t="str">
        <f>VLOOKUP(C4076,[1]products!$A:$B,2,FALSE)</f>
        <v>Surly Straggler - 2018</v>
      </c>
      <c r="I4076">
        <f>VLOOKUP(C4076,[1]products!$A:$D,4,FALSE)</f>
        <v>4</v>
      </c>
      <c r="J4076" t="str">
        <f>VLOOKUP(I4076,[2]categories!$A$1:$B$8,2,FALSE)</f>
        <v>Cyclocross Bicycles</v>
      </c>
    </row>
    <row r="4077" customHeight="1" spans="1:10">
      <c r="A4077" s="1">
        <v>1399</v>
      </c>
      <c r="B4077" s="1">
        <v>2</v>
      </c>
      <c r="C4077" s="1">
        <v>224</v>
      </c>
      <c r="D4077" s="1">
        <v>1</v>
      </c>
      <c r="E4077" s="1">
        <v>479.99</v>
      </c>
      <c r="F4077" s="1">
        <v>0.05</v>
      </c>
      <c r="G4077">
        <f t="shared" si="63"/>
        <v>479.94</v>
      </c>
      <c r="H4077" t="str">
        <f>VLOOKUP(C4077,[1]products!$A:$B,2,FALSE)</f>
        <v>Electra Cruiser Lux 7D - 2018</v>
      </c>
      <c r="I4077">
        <f>VLOOKUP(C4077,[1]products!$A:$D,4,FALSE)</f>
        <v>3</v>
      </c>
      <c r="J4077" t="str">
        <f>VLOOKUP(I4077,[2]categories!$A$1:$B$8,2,FALSE)</f>
        <v>Cruisers Bicycles</v>
      </c>
    </row>
    <row r="4078" customHeight="1" spans="1:10">
      <c r="A4078" s="1">
        <v>1399</v>
      </c>
      <c r="B4078" s="1">
        <v>3</v>
      </c>
      <c r="C4078" s="1">
        <v>127</v>
      </c>
      <c r="D4078" s="1">
        <v>2</v>
      </c>
      <c r="E4078" s="1">
        <v>469.99</v>
      </c>
      <c r="F4078" s="1">
        <v>0.07</v>
      </c>
      <c r="G4078">
        <f t="shared" si="63"/>
        <v>939.91</v>
      </c>
      <c r="H4078" t="str">
        <f>VLOOKUP(C4078,[1]products!$A:$B,2,FALSE)</f>
        <v>Surly Pack Rat Frameset - 2018</v>
      </c>
      <c r="I4078">
        <f>VLOOKUP(C4078,[1]products!$A:$D,4,FALSE)</f>
        <v>6</v>
      </c>
      <c r="J4078" t="str">
        <f>VLOOKUP(I4078,[2]categories!$A$1:$B$8,2,FALSE)</f>
        <v>Mountain Bikes</v>
      </c>
    </row>
    <row r="4079" customHeight="1" spans="1:10">
      <c r="A4079" s="1">
        <v>1399</v>
      </c>
      <c r="B4079" s="1">
        <v>4</v>
      </c>
      <c r="C4079" s="1">
        <v>28</v>
      </c>
      <c r="D4079" s="1">
        <v>1</v>
      </c>
      <c r="E4079" s="1">
        <v>2499.99</v>
      </c>
      <c r="F4079" s="1">
        <v>0.05</v>
      </c>
      <c r="G4079">
        <f t="shared" si="63"/>
        <v>2499.94</v>
      </c>
      <c r="H4079" t="str">
        <f>VLOOKUP(C4079,[1]products!$A:$B,2,FALSE)</f>
        <v>Surly Karate Monkey 27.5+ Frameset - 2017</v>
      </c>
      <c r="I4079">
        <f>VLOOKUP(C4079,[1]products!$A:$D,4,FALSE)</f>
        <v>6</v>
      </c>
      <c r="J4079" t="str">
        <f>VLOOKUP(I4079,[2]categories!$A$1:$B$8,2,FALSE)</f>
        <v>Mountain Bikes</v>
      </c>
    </row>
    <row r="4080" customHeight="1" spans="1:10">
      <c r="A4080" s="1">
        <v>1400</v>
      </c>
      <c r="B4080" s="1">
        <v>1</v>
      </c>
      <c r="C4080" s="1">
        <v>24</v>
      </c>
      <c r="D4080" s="1">
        <v>2</v>
      </c>
      <c r="E4080" s="1">
        <v>549.99</v>
      </c>
      <c r="F4080" s="1">
        <v>0.2</v>
      </c>
      <c r="G4080">
        <f t="shared" si="63"/>
        <v>1099.78</v>
      </c>
      <c r="H4080" t="str">
        <f>VLOOKUP(C4080,[1]products!$A:$B,2,FALSE)</f>
        <v>Electra Townie Original 21D - 2016</v>
      </c>
      <c r="I4080">
        <f>VLOOKUP(C4080,[1]products!$A:$D,4,FALSE)</f>
        <v>2</v>
      </c>
      <c r="J4080" t="str">
        <f>VLOOKUP(I4080,[2]categories!$A$1:$B$8,2,FALSE)</f>
        <v>Comfort Bicycles</v>
      </c>
    </row>
    <row r="4081" customHeight="1" spans="1:10">
      <c r="A4081" s="1">
        <v>1400</v>
      </c>
      <c r="B4081" s="1">
        <v>2</v>
      </c>
      <c r="C4081" s="1">
        <v>217</v>
      </c>
      <c r="D4081" s="1">
        <v>2</v>
      </c>
      <c r="E4081" s="1">
        <v>909.99</v>
      </c>
      <c r="F4081" s="1">
        <v>0.2</v>
      </c>
      <c r="G4081">
        <f t="shared" si="63"/>
        <v>1819.78</v>
      </c>
      <c r="H4081" t="str">
        <f>VLOOKUP(C4081,[1]products!$A:$B,2,FALSE)</f>
        <v>Electra Straight 8 3i - 2018</v>
      </c>
      <c r="I4081">
        <f>VLOOKUP(C4081,[1]products!$A:$D,4,FALSE)</f>
        <v>3</v>
      </c>
      <c r="J4081" t="str">
        <f>VLOOKUP(I4081,[2]categories!$A$1:$B$8,2,FALSE)</f>
        <v>Cruisers Bicycles</v>
      </c>
    </row>
    <row r="4082" customHeight="1" spans="1:10">
      <c r="A4082" s="1">
        <v>1400</v>
      </c>
      <c r="B4082" s="1">
        <v>3</v>
      </c>
      <c r="C4082" s="1">
        <v>275</v>
      </c>
      <c r="D4082" s="1">
        <v>1</v>
      </c>
      <c r="E4082" s="1">
        <v>229.99</v>
      </c>
      <c r="F4082" s="1">
        <v>0.1</v>
      </c>
      <c r="G4082">
        <f t="shared" si="63"/>
        <v>229.89</v>
      </c>
      <c r="H4082" t="str">
        <f>VLOOKUP(C4082,[1]products!$A:$B,2,FALSE)</f>
        <v>Trek Precaliber 20 Girl's - 2018</v>
      </c>
      <c r="I4082">
        <f>VLOOKUP(C4082,[1]products!$A:$D,4,FALSE)</f>
        <v>1</v>
      </c>
      <c r="J4082" t="str">
        <f>VLOOKUP(I4082,[2]categories!$A$1:$B$8,2,FALSE)</f>
        <v>Children Bicycles</v>
      </c>
    </row>
    <row r="4083" customHeight="1" spans="1:10">
      <c r="A4083" s="1">
        <v>1400</v>
      </c>
      <c r="B4083" s="1">
        <v>4</v>
      </c>
      <c r="C4083" s="1">
        <v>90</v>
      </c>
      <c r="D4083" s="1">
        <v>1</v>
      </c>
      <c r="E4083" s="1">
        <v>209.99</v>
      </c>
      <c r="F4083" s="1">
        <v>0.07</v>
      </c>
      <c r="G4083">
        <f t="shared" si="63"/>
        <v>209.92</v>
      </c>
      <c r="H4083" t="str">
        <f>VLOOKUP(C4083,[1]products!$A:$B,2,FALSE)</f>
        <v>Trek Precaliber 16 Girls - 2017</v>
      </c>
      <c r="I4083">
        <f>VLOOKUP(C4083,[1]products!$A:$D,4,FALSE)</f>
        <v>1</v>
      </c>
      <c r="J4083" t="str">
        <f>VLOOKUP(I4083,[2]categories!$A$1:$B$8,2,FALSE)</f>
        <v>Children Bicycles</v>
      </c>
    </row>
    <row r="4084" customHeight="1" spans="1:10">
      <c r="A4084" s="1">
        <v>1401</v>
      </c>
      <c r="B4084" s="1">
        <v>1</v>
      </c>
      <c r="C4084" s="1">
        <v>112</v>
      </c>
      <c r="D4084" s="1">
        <v>1</v>
      </c>
      <c r="E4084" s="1">
        <v>379.99</v>
      </c>
      <c r="F4084" s="1">
        <v>0.07</v>
      </c>
      <c r="G4084">
        <f t="shared" si="63"/>
        <v>379.92</v>
      </c>
      <c r="H4084" t="str">
        <f>VLOOKUP(C4084,[1]products!$A:$B,2,FALSE)</f>
        <v>Trek 820 - 2018</v>
      </c>
      <c r="I4084">
        <f>VLOOKUP(C4084,[1]products!$A:$D,4,FALSE)</f>
        <v>6</v>
      </c>
      <c r="J4084" t="str">
        <f>VLOOKUP(I4084,[2]categories!$A$1:$B$8,2,FALSE)</f>
        <v>Mountain Bikes</v>
      </c>
    </row>
    <row r="4085" customHeight="1" spans="1:10">
      <c r="A4085" s="1">
        <v>1401</v>
      </c>
      <c r="B4085" s="1">
        <v>2</v>
      </c>
      <c r="C4085" s="1">
        <v>230</v>
      </c>
      <c r="D4085" s="1">
        <v>1</v>
      </c>
      <c r="E4085" s="1">
        <v>429.99</v>
      </c>
      <c r="F4085" s="1">
        <v>0.05</v>
      </c>
      <c r="G4085">
        <f t="shared" si="63"/>
        <v>429.94</v>
      </c>
      <c r="H4085" t="str">
        <f>VLOOKUP(C4085,[1]products!$A:$B,2,FALSE)</f>
        <v>Electra Cruiser Lux 1 Ladies' - 2018</v>
      </c>
      <c r="I4085">
        <f>VLOOKUP(C4085,[1]products!$A:$D,4,FALSE)</f>
        <v>3</v>
      </c>
      <c r="J4085" t="str">
        <f>VLOOKUP(I4085,[2]categories!$A$1:$B$8,2,FALSE)</f>
        <v>Cruisers Bicycles</v>
      </c>
    </row>
    <row r="4086" customHeight="1" spans="1:10">
      <c r="A4086" s="1">
        <v>1401</v>
      </c>
      <c r="B4086" s="1">
        <v>3</v>
      </c>
      <c r="C4086" s="1">
        <v>254</v>
      </c>
      <c r="D4086" s="1">
        <v>2</v>
      </c>
      <c r="E4086" s="1">
        <v>749.99</v>
      </c>
      <c r="F4086" s="1">
        <v>0.2</v>
      </c>
      <c r="G4086">
        <f t="shared" si="63"/>
        <v>1499.78</v>
      </c>
      <c r="H4086" t="str">
        <f>VLOOKUP(C4086,[1]products!$A:$B,2,FALSE)</f>
        <v>Electra Townie Balloon 3i EQ - 2017/2018</v>
      </c>
      <c r="I4086">
        <f>VLOOKUP(C4086,[1]products!$A:$D,4,FALSE)</f>
        <v>3</v>
      </c>
      <c r="J4086" t="str">
        <f>VLOOKUP(I4086,[2]categories!$A$1:$B$8,2,FALSE)</f>
        <v>Cruisers Bicycles</v>
      </c>
    </row>
    <row r="4087" customHeight="1" spans="1:10">
      <c r="A4087" s="1">
        <v>1402</v>
      </c>
      <c r="B4087" s="1">
        <v>1</v>
      </c>
      <c r="C4087" s="1">
        <v>189</v>
      </c>
      <c r="D4087" s="1">
        <v>2</v>
      </c>
      <c r="E4087" s="1">
        <v>2799.99</v>
      </c>
      <c r="F4087" s="1">
        <v>0.2</v>
      </c>
      <c r="G4087">
        <f t="shared" si="63"/>
        <v>5599.78</v>
      </c>
      <c r="H4087" t="str">
        <f>VLOOKUP(C4087,[1]products!$A:$B,2,FALSE)</f>
        <v>Trek Lift+ Lowstep - 2018</v>
      </c>
      <c r="I4087">
        <f>VLOOKUP(C4087,[1]products!$A:$D,4,FALSE)</f>
        <v>5</v>
      </c>
      <c r="J4087" t="str">
        <f>VLOOKUP(I4087,[2]categories!$A$1:$B$8,2,FALSE)</f>
        <v>Electric Bikes</v>
      </c>
    </row>
    <row r="4088" customHeight="1" spans="1:10">
      <c r="A4088" s="1">
        <v>1402</v>
      </c>
      <c r="B4088" s="1">
        <v>2</v>
      </c>
      <c r="C4088" s="1">
        <v>28</v>
      </c>
      <c r="D4088" s="1">
        <v>2</v>
      </c>
      <c r="E4088" s="1">
        <v>2499.99</v>
      </c>
      <c r="F4088" s="1">
        <v>0.05</v>
      </c>
      <c r="G4088">
        <f t="shared" si="63"/>
        <v>4999.93</v>
      </c>
      <c r="H4088" t="str">
        <f>VLOOKUP(C4088,[1]products!$A:$B,2,FALSE)</f>
        <v>Surly Karate Monkey 27.5+ Frameset - 2017</v>
      </c>
      <c r="I4088">
        <f>VLOOKUP(C4088,[1]products!$A:$D,4,FALSE)</f>
        <v>6</v>
      </c>
      <c r="J4088" t="str">
        <f>VLOOKUP(I4088,[2]categories!$A$1:$B$8,2,FALSE)</f>
        <v>Mountain Bikes</v>
      </c>
    </row>
    <row r="4089" customHeight="1" spans="1:10">
      <c r="A4089" s="1">
        <v>1402</v>
      </c>
      <c r="B4089" s="1">
        <v>3</v>
      </c>
      <c r="C4089" s="1">
        <v>203</v>
      </c>
      <c r="D4089" s="1">
        <v>1</v>
      </c>
      <c r="E4089" s="1">
        <v>4999.99</v>
      </c>
      <c r="F4089" s="1">
        <v>0.05</v>
      </c>
      <c r="G4089">
        <f t="shared" si="63"/>
        <v>4999.94</v>
      </c>
      <c r="H4089" t="str">
        <f>VLOOKUP(C4089,[1]products!$A:$B,2,FALSE)</f>
        <v>Trek Powerfly 7 FS - 2018</v>
      </c>
      <c r="I4089">
        <f>VLOOKUP(C4089,[1]products!$A:$D,4,FALSE)</f>
        <v>5</v>
      </c>
      <c r="J4089" t="str">
        <f>VLOOKUP(I4089,[2]categories!$A$1:$B$8,2,FALSE)</f>
        <v>Electric Bikes</v>
      </c>
    </row>
    <row r="4090" customHeight="1" spans="1:10">
      <c r="A4090" s="1">
        <v>1402</v>
      </c>
      <c r="B4090" s="1">
        <v>4</v>
      </c>
      <c r="C4090" s="1">
        <v>273</v>
      </c>
      <c r="D4090" s="1">
        <v>1</v>
      </c>
      <c r="E4090" s="1">
        <v>289.99</v>
      </c>
      <c r="F4090" s="1">
        <v>0.07</v>
      </c>
      <c r="G4090">
        <f t="shared" si="63"/>
        <v>289.92</v>
      </c>
      <c r="H4090" t="str">
        <f>VLOOKUP(C4090,[1]products!$A:$B,2,FALSE)</f>
        <v>Trek Precaliber 20 6-speed Girl's - 2018</v>
      </c>
      <c r="I4090">
        <f>VLOOKUP(C4090,[1]products!$A:$D,4,FALSE)</f>
        <v>1</v>
      </c>
      <c r="J4090" t="str">
        <f>VLOOKUP(I4090,[2]categories!$A$1:$B$8,2,FALSE)</f>
        <v>Children Bicycles</v>
      </c>
    </row>
    <row r="4091" customHeight="1" spans="1:10">
      <c r="A4091" s="1">
        <v>1403</v>
      </c>
      <c r="B4091" s="1">
        <v>1</v>
      </c>
      <c r="C4091" s="1">
        <v>93</v>
      </c>
      <c r="D4091" s="1">
        <v>2</v>
      </c>
      <c r="E4091" s="1">
        <v>209.99</v>
      </c>
      <c r="F4091" s="1">
        <v>0.1</v>
      </c>
      <c r="G4091">
        <f t="shared" si="63"/>
        <v>419.88</v>
      </c>
      <c r="H4091" t="str">
        <f>VLOOKUP(C4091,[1]products!$A:$B,2,FALSE)</f>
        <v>Haro Shredder 20 Girls - 2017</v>
      </c>
      <c r="I4091">
        <f>VLOOKUP(C4091,[1]products!$A:$D,4,FALSE)</f>
        <v>1</v>
      </c>
      <c r="J4091" t="str">
        <f>VLOOKUP(I4091,[2]categories!$A$1:$B$8,2,FALSE)</f>
        <v>Children Bicycles</v>
      </c>
    </row>
    <row r="4092" customHeight="1" spans="1:10">
      <c r="A4092" s="1">
        <v>1404</v>
      </c>
      <c r="B4092" s="1">
        <v>1</v>
      </c>
      <c r="C4092" s="1">
        <v>112</v>
      </c>
      <c r="D4092" s="1">
        <v>2</v>
      </c>
      <c r="E4092" s="1">
        <v>379.99</v>
      </c>
      <c r="F4092" s="1">
        <v>0.05</v>
      </c>
      <c r="G4092">
        <f t="shared" si="63"/>
        <v>759.93</v>
      </c>
      <c r="H4092" t="str">
        <f>VLOOKUP(C4092,[1]products!$A:$B,2,FALSE)</f>
        <v>Trek 820 - 2018</v>
      </c>
      <c r="I4092">
        <f>VLOOKUP(C4092,[1]products!$A:$D,4,FALSE)</f>
        <v>6</v>
      </c>
      <c r="J4092" t="str">
        <f>VLOOKUP(I4092,[2]categories!$A$1:$B$8,2,FALSE)</f>
        <v>Mountain Bikes</v>
      </c>
    </row>
    <row r="4093" customHeight="1" spans="1:10">
      <c r="A4093" s="1">
        <v>1404</v>
      </c>
      <c r="B4093" s="1">
        <v>2</v>
      </c>
      <c r="C4093" s="1">
        <v>220</v>
      </c>
      <c r="D4093" s="1">
        <v>1</v>
      </c>
      <c r="E4093" s="1">
        <v>269.99</v>
      </c>
      <c r="F4093" s="1">
        <v>0.1</v>
      </c>
      <c r="G4093">
        <f t="shared" si="63"/>
        <v>269.89</v>
      </c>
      <c r="H4093" t="str">
        <f>VLOOKUP(C4093,[1]products!$A:$B,2,FALSE)</f>
        <v>Electra Cruiser 1 Ladies' - 2018</v>
      </c>
      <c r="I4093">
        <f>VLOOKUP(C4093,[1]products!$A:$D,4,FALSE)</f>
        <v>3</v>
      </c>
      <c r="J4093" t="str">
        <f>VLOOKUP(I4093,[2]categories!$A$1:$B$8,2,FALSE)</f>
        <v>Cruisers Bicycles</v>
      </c>
    </row>
    <row r="4094" customHeight="1" spans="1:10">
      <c r="A4094" s="1">
        <v>1404</v>
      </c>
      <c r="B4094" s="1">
        <v>3</v>
      </c>
      <c r="C4094" s="1">
        <v>193</v>
      </c>
      <c r="D4094" s="1">
        <v>2</v>
      </c>
      <c r="E4094" s="1">
        <v>2799.99</v>
      </c>
      <c r="F4094" s="1">
        <v>0.2</v>
      </c>
      <c r="G4094">
        <f t="shared" si="63"/>
        <v>5599.78</v>
      </c>
      <c r="H4094" t="str">
        <f>VLOOKUP(C4094,[1]products!$A:$B,2,FALSE)</f>
        <v>Trek Lift+ - 2018</v>
      </c>
      <c r="I4094">
        <f>VLOOKUP(C4094,[1]products!$A:$D,4,FALSE)</f>
        <v>5</v>
      </c>
      <c r="J4094" t="str">
        <f>VLOOKUP(I4094,[2]categories!$A$1:$B$8,2,FALSE)</f>
        <v>Electric Bikes</v>
      </c>
    </row>
    <row r="4095" customHeight="1" spans="1:10">
      <c r="A4095" s="1">
        <v>1405</v>
      </c>
      <c r="B4095" s="1">
        <v>1</v>
      </c>
      <c r="C4095" s="1">
        <v>162</v>
      </c>
      <c r="D4095" s="1">
        <v>2</v>
      </c>
      <c r="E4095" s="1">
        <v>2999.99</v>
      </c>
      <c r="F4095" s="1">
        <v>0.1</v>
      </c>
      <c r="G4095">
        <f t="shared" si="63"/>
        <v>5999.88</v>
      </c>
      <c r="H4095" t="str">
        <f>VLOOKUP(C4095,[1]products!$A:$B,2,FALSE)</f>
        <v>Trek Emonda SL 6 Disc - 2018</v>
      </c>
      <c r="I4095">
        <f>VLOOKUP(C4095,[1]products!$A:$D,4,FALSE)</f>
        <v>7</v>
      </c>
      <c r="J4095" t="str">
        <f>VLOOKUP(I4095,[2]categories!$A$1:$B$8,2,FALSE)</f>
        <v>Road Bikes</v>
      </c>
    </row>
    <row r="4096" customHeight="1" spans="1:10">
      <c r="A4096" s="1">
        <v>1406</v>
      </c>
      <c r="B4096" s="1">
        <v>1</v>
      </c>
      <c r="C4096" s="1">
        <v>230</v>
      </c>
      <c r="D4096" s="1">
        <v>2</v>
      </c>
      <c r="E4096" s="1">
        <v>429.99</v>
      </c>
      <c r="F4096" s="1">
        <v>0.05</v>
      </c>
      <c r="G4096">
        <f t="shared" si="63"/>
        <v>859.93</v>
      </c>
      <c r="H4096" t="str">
        <f>VLOOKUP(C4096,[1]products!$A:$B,2,FALSE)</f>
        <v>Electra Cruiser Lux 1 Ladies' - 2018</v>
      </c>
      <c r="I4096">
        <f>VLOOKUP(C4096,[1]products!$A:$D,4,FALSE)</f>
        <v>3</v>
      </c>
      <c r="J4096" t="str">
        <f>VLOOKUP(I4096,[2]categories!$A$1:$B$8,2,FALSE)</f>
        <v>Cruisers Bicycles</v>
      </c>
    </row>
    <row r="4097" customHeight="1" spans="1:10">
      <c r="A4097" s="1">
        <v>1406</v>
      </c>
      <c r="B4097" s="1">
        <v>2</v>
      </c>
      <c r="C4097" s="1">
        <v>113</v>
      </c>
      <c r="D4097" s="1">
        <v>1</v>
      </c>
      <c r="E4097" s="1">
        <v>489.99</v>
      </c>
      <c r="F4097" s="1">
        <v>0.1</v>
      </c>
      <c r="G4097">
        <f t="shared" si="63"/>
        <v>489.89</v>
      </c>
      <c r="H4097" t="str">
        <f>VLOOKUP(C4097,[1]products!$A:$B,2,FALSE)</f>
        <v>Trek Marlin 5 - 2018</v>
      </c>
      <c r="I4097">
        <f>VLOOKUP(C4097,[1]products!$A:$D,4,FALSE)</f>
        <v>6</v>
      </c>
      <c r="J4097" t="str">
        <f>VLOOKUP(I4097,[2]categories!$A$1:$B$8,2,FALSE)</f>
        <v>Mountain Bikes</v>
      </c>
    </row>
    <row r="4098" customHeight="1" spans="1:10">
      <c r="A4098" s="1">
        <v>1407</v>
      </c>
      <c r="B4098" s="1">
        <v>1</v>
      </c>
      <c r="C4098" s="1">
        <v>300</v>
      </c>
      <c r="D4098" s="1">
        <v>1</v>
      </c>
      <c r="E4098" s="1">
        <v>799.99</v>
      </c>
      <c r="F4098" s="1">
        <v>0.05</v>
      </c>
      <c r="G4098">
        <f t="shared" si="63"/>
        <v>799.94</v>
      </c>
      <c r="H4098" t="str">
        <f>VLOOKUP(C4098,[1]products!$A:$B,2,FALSE)</f>
        <v>Electra Townie Balloon 3i EQ Ladies' - 2018</v>
      </c>
      <c r="I4098">
        <f>VLOOKUP(C4098,[1]products!$A:$D,4,FALSE)</f>
        <v>2</v>
      </c>
      <c r="J4098" t="str">
        <f>VLOOKUP(I4098,[2]categories!$A$1:$B$8,2,FALSE)</f>
        <v>Comfort Bicycles</v>
      </c>
    </row>
    <row r="4099" customHeight="1" spans="1:10">
      <c r="A4099" s="1">
        <v>1407</v>
      </c>
      <c r="B4099" s="1">
        <v>2</v>
      </c>
      <c r="C4099" s="1">
        <v>36</v>
      </c>
      <c r="D4099" s="1">
        <v>2</v>
      </c>
      <c r="E4099" s="1">
        <v>832.99</v>
      </c>
      <c r="F4099" s="1">
        <v>0.1</v>
      </c>
      <c r="G4099">
        <f t="shared" ref="G4099:G4162" si="64">(E4099*D4099)-F4099</f>
        <v>1665.88</v>
      </c>
      <c r="H4099" t="str">
        <f>VLOOKUP(C4099,[1]products!$A:$B,2,FALSE)</f>
        <v>Surly Troll Frameset - 2017</v>
      </c>
      <c r="I4099">
        <f>VLOOKUP(C4099,[1]products!$A:$D,4,FALSE)</f>
        <v>6</v>
      </c>
      <c r="J4099" t="str">
        <f>VLOOKUP(I4099,[2]categories!$A$1:$B$8,2,FALSE)</f>
        <v>Mountain Bikes</v>
      </c>
    </row>
    <row r="4100" customHeight="1" spans="1:10">
      <c r="A4100" s="1">
        <v>1407</v>
      </c>
      <c r="B4100" s="1">
        <v>3</v>
      </c>
      <c r="C4100" s="1">
        <v>266</v>
      </c>
      <c r="D4100" s="1">
        <v>1</v>
      </c>
      <c r="E4100" s="1">
        <v>399.99</v>
      </c>
      <c r="F4100" s="1">
        <v>0.1</v>
      </c>
      <c r="G4100">
        <f t="shared" si="64"/>
        <v>399.89</v>
      </c>
      <c r="H4100" t="str">
        <f>VLOOKUP(C4100,[1]products!$A:$B,2,FALSE)</f>
        <v>Trek Superfly 20 - 2018</v>
      </c>
      <c r="I4100">
        <f>VLOOKUP(C4100,[1]products!$A:$D,4,FALSE)</f>
        <v>1</v>
      </c>
      <c r="J4100" t="str">
        <f>VLOOKUP(I4100,[2]categories!$A$1:$B$8,2,FALSE)</f>
        <v>Children Bicycles</v>
      </c>
    </row>
    <row r="4101" customHeight="1" spans="1:10">
      <c r="A4101" s="1">
        <v>1407</v>
      </c>
      <c r="B4101" s="1">
        <v>4</v>
      </c>
      <c r="C4101" s="1">
        <v>35</v>
      </c>
      <c r="D4101" s="1">
        <v>1</v>
      </c>
      <c r="E4101" s="1">
        <v>832.99</v>
      </c>
      <c r="F4101" s="1">
        <v>0.2</v>
      </c>
      <c r="G4101">
        <f t="shared" si="64"/>
        <v>832.79</v>
      </c>
      <c r="H4101" t="str">
        <f>VLOOKUP(C4101,[1]products!$A:$B,2,FALSE)</f>
        <v>Sun Bicycles Spider 3i - 2017</v>
      </c>
      <c r="I4101">
        <f>VLOOKUP(C4101,[1]products!$A:$D,4,FALSE)</f>
        <v>6</v>
      </c>
      <c r="J4101" t="str">
        <f>VLOOKUP(I4101,[2]categories!$A$1:$B$8,2,FALSE)</f>
        <v>Mountain Bikes</v>
      </c>
    </row>
    <row r="4102" customHeight="1" spans="1:10">
      <c r="A4102" s="1">
        <v>1408</v>
      </c>
      <c r="B4102" s="1">
        <v>1</v>
      </c>
      <c r="C4102" s="1">
        <v>23</v>
      </c>
      <c r="D4102" s="1">
        <v>2</v>
      </c>
      <c r="E4102" s="1">
        <v>299.99</v>
      </c>
      <c r="F4102" s="1">
        <v>0.2</v>
      </c>
      <c r="G4102">
        <f t="shared" si="64"/>
        <v>599.78</v>
      </c>
      <c r="H4102" t="str">
        <f>VLOOKUP(C4102,[1]products!$A:$B,2,FALSE)</f>
        <v>Electra Girl's Hawaii 1 (20-inch) - 2015/2016</v>
      </c>
      <c r="I4102">
        <f>VLOOKUP(C4102,[1]products!$A:$D,4,FALSE)</f>
        <v>1</v>
      </c>
      <c r="J4102" t="str">
        <f>VLOOKUP(I4102,[2]categories!$A$1:$B$8,2,FALSE)</f>
        <v>Children Bicycles</v>
      </c>
    </row>
    <row r="4103" customHeight="1" spans="1:10">
      <c r="A4103" s="1">
        <v>1408</v>
      </c>
      <c r="B4103" s="1">
        <v>2</v>
      </c>
      <c r="C4103" s="1">
        <v>166</v>
      </c>
      <c r="D4103" s="1">
        <v>1</v>
      </c>
      <c r="E4103" s="1">
        <v>749.99</v>
      </c>
      <c r="F4103" s="1">
        <v>0.2</v>
      </c>
      <c r="G4103">
        <f t="shared" si="64"/>
        <v>749.79</v>
      </c>
      <c r="H4103" t="str">
        <f>VLOOKUP(C4103,[1]products!$A:$B,2,FALSE)</f>
        <v>Trek Domane AL 2 Women's - 2018</v>
      </c>
      <c r="I4103">
        <f>VLOOKUP(C4103,[1]products!$A:$D,4,FALSE)</f>
        <v>7</v>
      </c>
      <c r="J4103" t="str">
        <f>VLOOKUP(I4103,[2]categories!$A$1:$B$8,2,FALSE)</f>
        <v>Road Bikes</v>
      </c>
    </row>
    <row r="4104" customHeight="1" spans="1:10">
      <c r="A4104" s="1">
        <v>1408</v>
      </c>
      <c r="B4104" s="1">
        <v>3</v>
      </c>
      <c r="C4104" s="1">
        <v>114</v>
      </c>
      <c r="D4104" s="1">
        <v>1</v>
      </c>
      <c r="E4104" s="1">
        <v>579.99</v>
      </c>
      <c r="F4104" s="1">
        <v>0.07</v>
      </c>
      <c r="G4104">
        <f t="shared" si="64"/>
        <v>579.92</v>
      </c>
      <c r="H4104" t="str">
        <f>VLOOKUP(C4104,[1]products!$A:$B,2,FALSE)</f>
        <v>Trek Marlin 6 - 2018</v>
      </c>
      <c r="I4104">
        <f>VLOOKUP(C4104,[1]products!$A:$D,4,FALSE)</f>
        <v>6</v>
      </c>
      <c r="J4104" t="str">
        <f>VLOOKUP(I4104,[2]categories!$A$1:$B$8,2,FALSE)</f>
        <v>Mountain Bikes</v>
      </c>
    </row>
    <row r="4105" customHeight="1" spans="1:10">
      <c r="A4105" s="1">
        <v>1408</v>
      </c>
      <c r="B4105" s="1">
        <v>4</v>
      </c>
      <c r="C4105" s="1">
        <v>137</v>
      </c>
      <c r="D4105" s="1">
        <v>2</v>
      </c>
      <c r="E4105" s="1">
        <v>2599</v>
      </c>
      <c r="F4105" s="1">
        <v>0.2</v>
      </c>
      <c r="G4105">
        <f t="shared" si="64"/>
        <v>5197.8</v>
      </c>
      <c r="H4105" t="str">
        <f>VLOOKUP(C4105,[1]products!$A:$B,2,FALSE)</f>
        <v>Heller Shagamaw GX1 - 2018</v>
      </c>
      <c r="I4105">
        <f>VLOOKUP(C4105,[1]products!$A:$D,4,FALSE)</f>
        <v>6</v>
      </c>
      <c r="J4105" t="str">
        <f>VLOOKUP(I4105,[2]categories!$A$1:$B$8,2,FALSE)</f>
        <v>Mountain Bikes</v>
      </c>
    </row>
    <row r="4106" customHeight="1" spans="1:10">
      <c r="A4106" s="1">
        <v>1409</v>
      </c>
      <c r="B4106" s="1">
        <v>1</v>
      </c>
      <c r="C4106" s="1">
        <v>301</v>
      </c>
      <c r="D4106" s="1">
        <v>2</v>
      </c>
      <c r="E4106" s="1">
        <v>899.99</v>
      </c>
      <c r="F4106" s="1">
        <v>0.07</v>
      </c>
      <c r="G4106">
        <f t="shared" si="64"/>
        <v>1799.91</v>
      </c>
      <c r="H4106" t="str">
        <f>VLOOKUP(C4106,[1]products!$A:$B,2,FALSE)</f>
        <v>Electra Townie Balloon 7i EQ - 2018</v>
      </c>
      <c r="I4106">
        <f>VLOOKUP(C4106,[1]products!$A:$D,4,FALSE)</f>
        <v>2</v>
      </c>
      <c r="J4106" t="str">
        <f>VLOOKUP(I4106,[2]categories!$A$1:$B$8,2,FALSE)</f>
        <v>Comfort Bicycles</v>
      </c>
    </row>
    <row r="4107" customHeight="1" spans="1:10">
      <c r="A4107" s="1">
        <v>1409</v>
      </c>
      <c r="B4107" s="1">
        <v>2</v>
      </c>
      <c r="C4107" s="1">
        <v>170</v>
      </c>
      <c r="D4107" s="1">
        <v>1</v>
      </c>
      <c r="E4107" s="1">
        <v>1299.99</v>
      </c>
      <c r="F4107" s="1">
        <v>0.07</v>
      </c>
      <c r="G4107">
        <f t="shared" si="64"/>
        <v>1299.92</v>
      </c>
      <c r="H4107" t="str">
        <f>VLOOKUP(C4107,[1]products!$A:$B,2,FALSE)</f>
        <v>Trek CrossRip 2 - 2018</v>
      </c>
      <c r="I4107">
        <f>VLOOKUP(C4107,[1]products!$A:$D,4,FALSE)</f>
        <v>7</v>
      </c>
      <c r="J4107" t="str">
        <f>VLOOKUP(I4107,[2]categories!$A$1:$B$8,2,FALSE)</f>
        <v>Road Bikes</v>
      </c>
    </row>
    <row r="4108" customHeight="1" spans="1:10">
      <c r="A4108" s="1">
        <v>1409</v>
      </c>
      <c r="B4108" s="1">
        <v>3</v>
      </c>
      <c r="C4108" s="1">
        <v>171</v>
      </c>
      <c r="D4108" s="1">
        <v>2</v>
      </c>
      <c r="E4108" s="1">
        <v>3199.99</v>
      </c>
      <c r="F4108" s="1">
        <v>0.05</v>
      </c>
      <c r="G4108">
        <f t="shared" si="64"/>
        <v>6399.93</v>
      </c>
      <c r="H4108" t="str">
        <f>VLOOKUP(C4108,[1]products!$A:$B,2,FALSE)</f>
        <v>Trek Domane SL 6 - 2018</v>
      </c>
      <c r="I4108">
        <f>VLOOKUP(C4108,[1]products!$A:$D,4,FALSE)</f>
        <v>7</v>
      </c>
      <c r="J4108" t="str">
        <f>VLOOKUP(I4108,[2]categories!$A$1:$B$8,2,FALSE)</f>
        <v>Road Bikes</v>
      </c>
    </row>
    <row r="4109" customHeight="1" spans="1:10">
      <c r="A4109" s="1">
        <v>1409</v>
      </c>
      <c r="B4109" s="1">
        <v>4</v>
      </c>
      <c r="C4109" s="1">
        <v>265</v>
      </c>
      <c r="D4109" s="1">
        <v>1</v>
      </c>
      <c r="E4109" s="1">
        <v>289.99</v>
      </c>
      <c r="F4109" s="1">
        <v>0.05</v>
      </c>
      <c r="G4109">
        <f t="shared" si="64"/>
        <v>289.94</v>
      </c>
      <c r="H4109" t="str">
        <f>VLOOKUP(C4109,[1]products!$A:$B,2,FALSE)</f>
        <v>Strider Strider 20 Sport - 2018</v>
      </c>
      <c r="I4109">
        <f>VLOOKUP(C4109,[1]products!$A:$D,4,FALSE)</f>
        <v>1</v>
      </c>
      <c r="J4109" t="str">
        <f>VLOOKUP(I4109,[2]categories!$A$1:$B$8,2,FALSE)</f>
        <v>Children Bicycles</v>
      </c>
    </row>
    <row r="4110" customHeight="1" spans="1:10">
      <c r="A4110" s="1">
        <v>1409</v>
      </c>
      <c r="B4110" s="1">
        <v>5</v>
      </c>
      <c r="C4110" s="1">
        <v>222</v>
      </c>
      <c r="D4110" s="1">
        <v>1</v>
      </c>
      <c r="E4110" s="1">
        <v>269.99</v>
      </c>
      <c r="F4110" s="1">
        <v>0.1</v>
      </c>
      <c r="G4110">
        <f t="shared" si="64"/>
        <v>269.89</v>
      </c>
      <c r="H4110" t="str">
        <f>VLOOKUP(C4110,[1]products!$A:$B,2,FALSE)</f>
        <v>Electra Cruiser 1 Tall - 2016/2018</v>
      </c>
      <c r="I4110">
        <f>VLOOKUP(C4110,[1]products!$A:$D,4,FALSE)</f>
        <v>3</v>
      </c>
      <c r="J4110" t="str">
        <f>VLOOKUP(I4110,[2]categories!$A$1:$B$8,2,FALSE)</f>
        <v>Cruisers Bicycles</v>
      </c>
    </row>
    <row r="4111" customHeight="1" spans="1:10">
      <c r="A4111" s="1">
        <v>1410</v>
      </c>
      <c r="B4111" s="1">
        <v>1</v>
      </c>
      <c r="C4111" s="1">
        <v>205</v>
      </c>
      <c r="D4111" s="1">
        <v>2</v>
      </c>
      <c r="E4111" s="1">
        <v>4999.99</v>
      </c>
      <c r="F4111" s="1">
        <v>0.1</v>
      </c>
      <c r="G4111">
        <f t="shared" si="64"/>
        <v>9999.88</v>
      </c>
      <c r="H4111" t="str">
        <f>VLOOKUP(C4111,[1]products!$A:$B,2,FALSE)</f>
        <v>Trek Super Commuter+ 8S - 2018</v>
      </c>
      <c r="I4111">
        <f>VLOOKUP(C4111,[1]products!$A:$D,4,FALSE)</f>
        <v>5</v>
      </c>
      <c r="J4111" t="str">
        <f>VLOOKUP(I4111,[2]categories!$A$1:$B$8,2,FALSE)</f>
        <v>Electric Bikes</v>
      </c>
    </row>
    <row r="4112" customHeight="1" spans="1:10">
      <c r="A4112" s="1">
        <v>1410</v>
      </c>
      <c r="B4112" s="1">
        <v>2</v>
      </c>
      <c r="C4112" s="1">
        <v>203</v>
      </c>
      <c r="D4112" s="1">
        <v>2</v>
      </c>
      <c r="E4112" s="1">
        <v>4999.99</v>
      </c>
      <c r="F4112" s="1">
        <v>0.2</v>
      </c>
      <c r="G4112">
        <f t="shared" si="64"/>
        <v>9999.78</v>
      </c>
      <c r="H4112" t="str">
        <f>VLOOKUP(C4112,[1]products!$A:$B,2,FALSE)</f>
        <v>Trek Powerfly 7 FS - 2018</v>
      </c>
      <c r="I4112">
        <f>VLOOKUP(C4112,[1]products!$A:$D,4,FALSE)</f>
        <v>5</v>
      </c>
      <c r="J4112" t="str">
        <f>VLOOKUP(I4112,[2]categories!$A$1:$B$8,2,FALSE)</f>
        <v>Electric Bikes</v>
      </c>
    </row>
    <row r="4113" customHeight="1" spans="1:10">
      <c r="A4113" s="1">
        <v>1410</v>
      </c>
      <c r="B4113" s="1">
        <v>3</v>
      </c>
      <c r="C4113" s="1">
        <v>304</v>
      </c>
      <c r="D4113" s="1">
        <v>1</v>
      </c>
      <c r="E4113" s="1">
        <v>679.99</v>
      </c>
      <c r="F4113" s="1">
        <v>0.1</v>
      </c>
      <c r="G4113">
        <f t="shared" si="64"/>
        <v>679.89</v>
      </c>
      <c r="H4113" t="str">
        <f>VLOOKUP(C4113,[1]products!$A:$B,2,FALSE)</f>
        <v>Electra Townie Original 21D EQ - 2017/2018</v>
      </c>
      <c r="I4113">
        <f>VLOOKUP(C4113,[1]products!$A:$D,4,FALSE)</f>
        <v>2</v>
      </c>
      <c r="J4113" t="str">
        <f>VLOOKUP(I4113,[2]categories!$A$1:$B$8,2,FALSE)</f>
        <v>Comfort Bicycles</v>
      </c>
    </row>
    <row r="4114" customHeight="1" spans="1:10">
      <c r="A4114" s="1">
        <v>1411</v>
      </c>
      <c r="B4114" s="1">
        <v>1</v>
      </c>
      <c r="C4114" s="1">
        <v>9</v>
      </c>
      <c r="D4114" s="1">
        <v>1</v>
      </c>
      <c r="E4114" s="1">
        <v>2999.99</v>
      </c>
      <c r="F4114" s="1">
        <v>0.1</v>
      </c>
      <c r="G4114">
        <f t="shared" si="64"/>
        <v>2999.89</v>
      </c>
      <c r="H4114" t="str">
        <f>VLOOKUP(C4114,[1]products!$A:$B,2,FALSE)</f>
        <v>Trek Conduit+ - 2016</v>
      </c>
      <c r="I4114">
        <f>VLOOKUP(C4114,[1]products!$A:$D,4,FALSE)</f>
        <v>5</v>
      </c>
      <c r="J4114" t="str">
        <f>VLOOKUP(I4114,[2]categories!$A$1:$B$8,2,FALSE)</f>
        <v>Electric Bikes</v>
      </c>
    </row>
    <row r="4115" customHeight="1" spans="1:10">
      <c r="A4115" s="1">
        <v>1411</v>
      </c>
      <c r="B4115" s="1">
        <v>2</v>
      </c>
      <c r="C4115" s="1">
        <v>308</v>
      </c>
      <c r="D4115" s="1">
        <v>2</v>
      </c>
      <c r="E4115" s="1">
        <v>749.99</v>
      </c>
      <c r="F4115" s="1">
        <v>0.2</v>
      </c>
      <c r="G4115">
        <f t="shared" si="64"/>
        <v>1499.78</v>
      </c>
      <c r="H4115" t="str">
        <f>VLOOKUP(C4115,[1]products!$A:$B,2,FALSE)</f>
        <v>Electra Townie Balloon 8D EQ Ladies' - 2016/2017/2018</v>
      </c>
      <c r="I4115">
        <f>VLOOKUP(C4115,[1]products!$A:$D,4,FALSE)</f>
        <v>2</v>
      </c>
      <c r="J4115" t="str">
        <f>VLOOKUP(I4115,[2]categories!$A$1:$B$8,2,FALSE)</f>
        <v>Comfort Bicycles</v>
      </c>
    </row>
    <row r="4116" customHeight="1" spans="1:10">
      <c r="A4116" s="1">
        <v>1412</v>
      </c>
      <c r="B4116" s="1">
        <v>1</v>
      </c>
      <c r="C4116" s="1">
        <v>180</v>
      </c>
      <c r="D4116" s="1">
        <v>2</v>
      </c>
      <c r="E4116" s="1">
        <v>919.99</v>
      </c>
      <c r="F4116" s="1">
        <v>0.07</v>
      </c>
      <c r="G4116">
        <f t="shared" si="64"/>
        <v>1839.91</v>
      </c>
      <c r="H4116" t="str">
        <f>VLOOKUP(C4116,[1]products!$A:$B,2,FALSE)</f>
        <v>Trek Domane AL 3 Women's - 2018</v>
      </c>
      <c r="I4116">
        <f>VLOOKUP(C4116,[1]products!$A:$D,4,FALSE)</f>
        <v>7</v>
      </c>
      <c r="J4116" t="str">
        <f>VLOOKUP(I4116,[2]categories!$A$1:$B$8,2,FALSE)</f>
        <v>Road Bikes</v>
      </c>
    </row>
    <row r="4117" customHeight="1" spans="1:10">
      <c r="A4117" s="1">
        <v>1412</v>
      </c>
      <c r="B4117" s="1">
        <v>2</v>
      </c>
      <c r="C4117" s="1">
        <v>43</v>
      </c>
      <c r="D4117" s="1">
        <v>1</v>
      </c>
      <c r="E4117" s="1">
        <v>5299.99</v>
      </c>
      <c r="F4117" s="1">
        <v>0.1</v>
      </c>
      <c r="G4117">
        <f t="shared" si="64"/>
        <v>5299.89</v>
      </c>
      <c r="H4117" t="str">
        <f>VLOOKUP(C4117,[1]products!$A:$B,2,FALSE)</f>
        <v>Trek Fuel EX 9.8 27.5 Plus - 2017</v>
      </c>
      <c r="I4117">
        <f>VLOOKUP(C4117,[1]products!$A:$D,4,FALSE)</f>
        <v>6</v>
      </c>
      <c r="J4117" t="str">
        <f>VLOOKUP(I4117,[2]categories!$A$1:$B$8,2,FALSE)</f>
        <v>Mountain Bikes</v>
      </c>
    </row>
    <row r="4118" customHeight="1" spans="1:10">
      <c r="A4118" s="1">
        <v>1412</v>
      </c>
      <c r="B4118" s="1">
        <v>3</v>
      </c>
      <c r="C4118" s="1">
        <v>109</v>
      </c>
      <c r="D4118" s="1">
        <v>2</v>
      </c>
      <c r="E4118" s="1">
        <v>416.99</v>
      </c>
      <c r="F4118" s="1">
        <v>0.07</v>
      </c>
      <c r="G4118">
        <f t="shared" si="64"/>
        <v>833.91</v>
      </c>
      <c r="H4118" t="str">
        <f>VLOOKUP(C4118,[1]products!$A:$B,2,FALSE)</f>
        <v>Sun Bicycles Cruz 7 - Women's - 2017</v>
      </c>
      <c r="I4118">
        <f>VLOOKUP(C4118,[1]products!$A:$D,4,FALSE)</f>
        <v>2</v>
      </c>
      <c r="J4118" t="str">
        <f>VLOOKUP(I4118,[2]categories!$A$1:$B$8,2,FALSE)</f>
        <v>Comfort Bicycles</v>
      </c>
    </row>
    <row r="4119" customHeight="1" spans="1:10">
      <c r="A4119" s="1">
        <v>1413</v>
      </c>
      <c r="B4119" s="1">
        <v>1</v>
      </c>
      <c r="C4119" s="1">
        <v>297</v>
      </c>
      <c r="D4119" s="1">
        <v>2</v>
      </c>
      <c r="E4119" s="1">
        <v>279.99</v>
      </c>
      <c r="F4119" s="1">
        <v>0.05</v>
      </c>
      <c r="G4119">
        <f t="shared" si="64"/>
        <v>559.93</v>
      </c>
      <c r="H4119" t="str">
        <f>VLOOKUP(C4119,[1]products!$A:$B,2,FALSE)</f>
        <v>Electra Under-The-Sea 1 16" - 2018</v>
      </c>
      <c r="I4119">
        <f>VLOOKUP(C4119,[1]products!$A:$D,4,FALSE)</f>
        <v>1</v>
      </c>
      <c r="J4119" t="str">
        <f>VLOOKUP(I4119,[2]categories!$A$1:$B$8,2,FALSE)</f>
        <v>Children Bicycles</v>
      </c>
    </row>
    <row r="4120" customHeight="1" spans="1:10">
      <c r="A4120" s="1">
        <v>1414</v>
      </c>
      <c r="B4120" s="1">
        <v>1</v>
      </c>
      <c r="C4120" s="1">
        <v>162</v>
      </c>
      <c r="D4120" s="1">
        <v>2</v>
      </c>
      <c r="E4120" s="1">
        <v>2999.99</v>
      </c>
      <c r="F4120" s="1">
        <v>0.1</v>
      </c>
      <c r="G4120">
        <f t="shared" si="64"/>
        <v>5999.88</v>
      </c>
      <c r="H4120" t="str">
        <f>VLOOKUP(C4120,[1]products!$A:$B,2,FALSE)</f>
        <v>Trek Emonda SL 6 Disc - 2018</v>
      </c>
      <c r="I4120">
        <f>VLOOKUP(C4120,[1]products!$A:$D,4,FALSE)</f>
        <v>7</v>
      </c>
      <c r="J4120" t="str">
        <f>VLOOKUP(I4120,[2]categories!$A$1:$B$8,2,FALSE)</f>
        <v>Road Bikes</v>
      </c>
    </row>
    <row r="4121" customHeight="1" spans="1:10">
      <c r="A4121" s="1">
        <v>1414</v>
      </c>
      <c r="B4121" s="1">
        <v>2</v>
      </c>
      <c r="C4121" s="1">
        <v>292</v>
      </c>
      <c r="D4121" s="1">
        <v>2</v>
      </c>
      <c r="E4121" s="1">
        <v>369.99</v>
      </c>
      <c r="F4121" s="1">
        <v>0.05</v>
      </c>
      <c r="G4121">
        <f t="shared" si="64"/>
        <v>739.93</v>
      </c>
      <c r="H4121" t="str">
        <f>VLOOKUP(C4121,[1]products!$A:$B,2,FALSE)</f>
        <v>Electra Sweet Ride 3i (20-inch) - Girls' - 2018</v>
      </c>
      <c r="I4121">
        <f>VLOOKUP(C4121,[1]products!$A:$D,4,FALSE)</f>
        <v>1</v>
      </c>
      <c r="J4121" t="str">
        <f>VLOOKUP(I4121,[2]categories!$A$1:$B$8,2,FALSE)</f>
        <v>Children Bicycles</v>
      </c>
    </row>
    <row r="4122" customHeight="1" spans="1:10">
      <c r="A4122" s="1">
        <v>1415</v>
      </c>
      <c r="B4122" s="1">
        <v>1</v>
      </c>
      <c r="C4122" s="1">
        <v>31</v>
      </c>
      <c r="D4122" s="1">
        <v>2</v>
      </c>
      <c r="E4122" s="1">
        <v>1632.99</v>
      </c>
      <c r="F4122" s="1">
        <v>0.07</v>
      </c>
      <c r="G4122">
        <f t="shared" si="64"/>
        <v>3265.91</v>
      </c>
      <c r="H4122" t="str">
        <f>VLOOKUP(C4122,[1]products!$A:$B,2,FALSE)</f>
        <v>Surly Wednesday - 2017</v>
      </c>
      <c r="I4122">
        <f>VLOOKUP(C4122,[1]products!$A:$D,4,FALSE)</f>
        <v>6</v>
      </c>
      <c r="J4122" t="str">
        <f>VLOOKUP(I4122,[2]categories!$A$1:$B$8,2,FALSE)</f>
        <v>Mountain Bikes</v>
      </c>
    </row>
    <row r="4123" customHeight="1" spans="1:10">
      <c r="A4123" s="1">
        <v>1415</v>
      </c>
      <c r="B4123" s="1">
        <v>2</v>
      </c>
      <c r="C4123" s="1">
        <v>17</v>
      </c>
      <c r="D4123" s="1">
        <v>1</v>
      </c>
      <c r="E4123" s="1">
        <v>429</v>
      </c>
      <c r="F4123" s="1">
        <v>0.05</v>
      </c>
      <c r="G4123">
        <f t="shared" si="64"/>
        <v>428.95</v>
      </c>
      <c r="H4123" t="str">
        <f>VLOOKUP(C4123,[1]products!$A:$B,2,FALSE)</f>
        <v>Pure Cycles Vine 8-Speed - 2016</v>
      </c>
      <c r="I4123">
        <f>VLOOKUP(C4123,[1]products!$A:$D,4,FALSE)</f>
        <v>3</v>
      </c>
      <c r="J4123" t="str">
        <f>VLOOKUP(I4123,[2]categories!$A$1:$B$8,2,FALSE)</f>
        <v>Cruisers Bicycles</v>
      </c>
    </row>
    <row r="4124" customHeight="1" spans="1:10">
      <c r="A4124" s="1">
        <v>1415</v>
      </c>
      <c r="B4124" s="1">
        <v>3</v>
      </c>
      <c r="C4124" s="1">
        <v>264</v>
      </c>
      <c r="D4124" s="1">
        <v>2</v>
      </c>
      <c r="E4124" s="1">
        <v>249.99</v>
      </c>
      <c r="F4124" s="1">
        <v>0.1</v>
      </c>
      <c r="G4124">
        <f t="shared" si="64"/>
        <v>499.88</v>
      </c>
      <c r="H4124" t="str">
        <f>VLOOKUP(C4124,[1]products!$A:$B,2,FALSE)</f>
        <v>Strider Sport 16 - 2018</v>
      </c>
      <c r="I4124">
        <f>VLOOKUP(C4124,[1]products!$A:$D,4,FALSE)</f>
        <v>1</v>
      </c>
      <c r="J4124" t="str">
        <f>VLOOKUP(I4124,[2]categories!$A$1:$B$8,2,FALSE)</f>
        <v>Children Bicycles</v>
      </c>
    </row>
    <row r="4125" customHeight="1" spans="1:10">
      <c r="A4125" s="1">
        <v>1415</v>
      </c>
      <c r="B4125" s="1">
        <v>4</v>
      </c>
      <c r="C4125" s="1">
        <v>245</v>
      </c>
      <c r="D4125" s="1">
        <v>1</v>
      </c>
      <c r="E4125" s="1">
        <v>659.99</v>
      </c>
      <c r="F4125" s="1">
        <v>0.05</v>
      </c>
      <c r="G4125">
        <f t="shared" si="64"/>
        <v>659.94</v>
      </c>
      <c r="H4125" t="str">
        <f>VLOOKUP(C4125,[1]products!$A:$B,2,FALSE)</f>
        <v>Electra Townie Original 3i EQ - 2017/2018</v>
      </c>
      <c r="I4125">
        <f>VLOOKUP(C4125,[1]products!$A:$D,4,FALSE)</f>
        <v>3</v>
      </c>
      <c r="J4125" t="str">
        <f>VLOOKUP(I4125,[2]categories!$A$1:$B$8,2,FALSE)</f>
        <v>Cruisers Bicycles</v>
      </c>
    </row>
    <row r="4126" customHeight="1" spans="1:10">
      <c r="A4126" s="1">
        <v>1416</v>
      </c>
      <c r="B4126" s="1">
        <v>1</v>
      </c>
      <c r="C4126" s="1">
        <v>194</v>
      </c>
      <c r="D4126" s="1">
        <v>1</v>
      </c>
      <c r="E4126" s="1">
        <v>3499.99</v>
      </c>
      <c r="F4126" s="1">
        <v>0.2</v>
      </c>
      <c r="G4126">
        <f t="shared" si="64"/>
        <v>3499.79</v>
      </c>
      <c r="H4126" t="str">
        <f>VLOOKUP(C4126,[1]products!$A:$B,2,FALSE)</f>
        <v>Trek XM700+ - 2018</v>
      </c>
      <c r="I4126">
        <f>VLOOKUP(C4126,[1]products!$A:$D,4,FALSE)</f>
        <v>5</v>
      </c>
      <c r="J4126" t="str">
        <f>VLOOKUP(I4126,[2]categories!$A$1:$B$8,2,FALSE)</f>
        <v>Electric Bikes</v>
      </c>
    </row>
    <row r="4127" customHeight="1" spans="1:10">
      <c r="A4127" s="1">
        <v>1416</v>
      </c>
      <c r="B4127" s="1">
        <v>2</v>
      </c>
      <c r="C4127" s="1">
        <v>242</v>
      </c>
      <c r="D4127" s="1">
        <v>2</v>
      </c>
      <c r="E4127" s="1">
        <v>699.99</v>
      </c>
      <c r="F4127" s="1">
        <v>0.1</v>
      </c>
      <c r="G4127">
        <f t="shared" si="64"/>
        <v>1399.88</v>
      </c>
      <c r="H4127" t="str">
        <f>VLOOKUP(C4127,[1]products!$A:$B,2,FALSE)</f>
        <v>Electra Townie Commute 8D Ladies' - 2018</v>
      </c>
      <c r="I4127">
        <f>VLOOKUP(C4127,[1]products!$A:$D,4,FALSE)</f>
        <v>3</v>
      </c>
      <c r="J4127" t="str">
        <f>VLOOKUP(I4127,[2]categories!$A$1:$B$8,2,FALSE)</f>
        <v>Cruisers Bicycles</v>
      </c>
    </row>
    <row r="4128" customHeight="1" spans="1:10">
      <c r="A4128" s="1">
        <v>1416</v>
      </c>
      <c r="B4128" s="1">
        <v>3</v>
      </c>
      <c r="C4128" s="1">
        <v>92</v>
      </c>
      <c r="D4128" s="1">
        <v>2</v>
      </c>
      <c r="E4128" s="1">
        <v>209.99</v>
      </c>
      <c r="F4128" s="1">
        <v>0.05</v>
      </c>
      <c r="G4128">
        <f t="shared" si="64"/>
        <v>419.93</v>
      </c>
      <c r="H4128" t="str">
        <f>VLOOKUP(C4128,[1]products!$A:$B,2,FALSE)</f>
        <v>Haro Shredder 20 - 2017</v>
      </c>
      <c r="I4128">
        <f>VLOOKUP(C4128,[1]products!$A:$D,4,FALSE)</f>
        <v>1</v>
      </c>
      <c r="J4128" t="str">
        <f>VLOOKUP(I4128,[2]categories!$A$1:$B$8,2,FALSE)</f>
        <v>Children Bicycles</v>
      </c>
    </row>
    <row r="4129" customHeight="1" spans="1:10">
      <c r="A4129" s="1">
        <v>1417</v>
      </c>
      <c r="B4129" s="1">
        <v>1</v>
      </c>
      <c r="C4129" s="1">
        <v>219</v>
      </c>
      <c r="D4129" s="1">
        <v>2</v>
      </c>
      <c r="E4129" s="1">
        <v>639.99</v>
      </c>
      <c r="F4129" s="1">
        <v>0.2</v>
      </c>
      <c r="G4129">
        <f t="shared" si="64"/>
        <v>1279.78</v>
      </c>
      <c r="H4129" t="str">
        <f>VLOOKUP(C4129,[1]products!$A:$B,2,FALSE)</f>
        <v>Electra Moto 3i - 2018</v>
      </c>
      <c r="I4129">
        <f>VLOOKUP(C4129,[1]products!$A:$D,4,FALSE)</f>
        <v>3</v>
      </c>
      <c r="J4129" t="str">
        <f>VLOOKUP(I4129,[2]categories!$A$1:$B$8,2,FALSE)</f>
        <v>Cruisers Bicycles</v>
      </c>
    </row>
    <row r="4130" customHeight="1" spans="1:10">
      <c r="A4130" s="1">
        <v>1418</v>
      </c>
      <c r="B4130" s="1">
        <v>1</v>
      </c>
      <c r="C4130" s="1">
        <v>120</v>
      </c>
      <c r="D4130" s="1">
        <v>2</v>
      </c>
      <c r="E4130" s="1">
        <v>2499.99</v>
      </c>
      <c r="F4130" s="1">
        <v>0.2</v>
      </c>
      <c r="G4130">
        <f t="shared" si="64"/>
        <v>4999.78</v>
      </c>
      <c r="H4130" t="str">
        <f>VLOOKUP(C4130,[1]products!$A:$B,2,FALSE)</f>
        <v>Trek Fuel EX 7 29 - 2018</v>
      </c>
      <c r="I4130">
        <f>VLOOKUP(C4130,[1]products!$A:$D,4,FALSE)</f>
        <v>6</v>
      </c>
      <c r="J4130" t="str">
        <f>VLOOKUP(I4130,[2]categories!$A$1:$B$8,2,FALSE)</f>
        <v>Mountain Bikes</v>
      </c>
    </row>
    <row r="4131" customHeight="1" spans="1:10">
      <c r="A4131" s="1">
        <v>1418</v>
      </c>
      <c r="B4131" s="1">
        <v>2</v>
      </c>
      <c r="C4131" s="1">
        <v>243</v>
      </c>
      <c r="D4131" s="1">
        <v>2</v>
      </c>
      <c r="E4131" s="1">
        <v>679.99</v>
      </c>
      <c r="F4131" s="1">
        <v>0.05</v>
      </c>
      <c r="G4131">
        <f t="shared" si="64"/>
        <v>1359.93</v>
      </c>
      <c r="H4131" t="str">
        <f>VLOOKUP(C4131,[1]products!$A:$B,2,FALSE)</f>
        <v>Electra Townie Original 21D EQ Ladies' - 2018</v>
      </c>
      <c r="I4131">
        <f>VLOOKUP(C4131,[1]products!$A:$D,4,FALSE)</f>
        <v>3</v>
      </c>
      <c r="J4131" t="str">
        <f>VLOOKUP(I4131,[2]categories!$A$1:$B$8,2,FALSE)</f>
        <v>Cruisers Bicycles</v>
      </c>
    </row>
    <row r="4132" customHeight="1" spans="1:10">
      <c r="A4132" s="1">
        <v>1419</v>
      </c>
      <c r="B4132" s="1">
        <v>1</v>
      </c>
      <c r="C4132" s="1">
        <v>124</v>
      </c>
      <c r="D4132" s="1">
        <v>1</v>
      </c>
      <c r="E4132" s="1">
        <v>1499</v>
      </c>
      <c r="F4132" s="1">
        <v>0.07</v>
      </c>
      <c r="G4132">
        <f t="shared" si="64"/>
        <v>1498.93</v>
      </c>
      <c r="H4132" t="str">
        <f>VLOOKUP(C4132,[1]products!$A:$B,2,FALSE)</f>
        <v>Surly Krampus - 2018</v>
      </c>
      <c r="I4132">
        <f>VLOOKUP(C4132,[1]products!$A:$D,4,FALSE)</f>
        <v>6</v>
      </c>
      <c r="J4132" t="str">
        <f>VLOOKUP(I4132,[2]categories!$A$1:$B$8,2,FALSE)</f>
        <v>Mountain Bikes</v>
      </c>
    </row>
    <row r="4133" customHeight="1" spans="1:10">
      <c r="A4133" s="1">
        <v>1419</v>
      </c>
      <c r="B4133" s="1">
        <v>2</v>
      </c>
      <c r="C4133" s="1">
        <v>235</v>
      </c>
      <c r="D4133" s="1">
        <v>2</v>
      </c>
      <c r="E4133" s="1">
        <v>899.99</v>
      </c>
      <c r="F4133" s="1">
        <v>0.2</v>
      </c>
      <c r="G4133">
        <f t="shared" si="64"/>
        <v>1799.78</v>
      </c>
      <c r="H4133" t="str">
        <f>VLOOKUP(C4133,[1]products!$A:$B,2,FALSE)</f>
        <v>Electra Koa 3i Ladies' - 2018</v>
      </c>
      <c r="I4133">
        <f>VLOOKUP(C4133,[1]products!$A:$D,4,FALSE)</f>
        <v>3</v>
      </c>
      <c r="J4133" t="str">
        <f>VLOOKUP(I4133,[2]categories!$A$1:$B$8,2,FALSE)</f>
        <v>Cruisers Bicycles</v>
      </c>
    </row>
    <row r="4134" customHeight="1" spans="1:10">
      <c r="A4134" s="1">
        <v>1419</v>
      </c>
      <c r="B4134" s="1">
        <v>3</v>
      </c>
      <c r="C4134" s="1">
        <v>234</v>
      </c>
      <c r="D4134" s="1">
        <v>1</v>
      </c>
      <c r="E4134" s="1">
        <v>899.99</v>
      </c>
      <c r="F4134" s="1">
        <v>0.1</v>
      </c>
      <c r="G4134">
        <f t="shared" si="64"/>
        <v>899.89</v>
      </c>
      <c r="H4134" t="str">
        <f>VLOOKUP(C4134,[1]products!$A:$B,2,FALSE)</f>
        <v>Electra Daydreamer 3i Ladies' - 2018</v>
      </c>
      <c r="I4134">
        <f>VLOOKUP(C4134,[1]products!$A:$D,4,FALSE)</f>
        <v>3</v>
      </c>
      <c r="J4134" t="str">
        <f>VLOOKUP(I4134,[2]categories!$A$1:$B$8,2,FALSE)</f>
        <v>Cruisers Bicycles</v>
      </c>
    </row>
    <row r="4135" customHeight="1" spans="1:10">
      <c r="A4135" s="1">
        <v>1420</v>
      </c>
      <c r="B4135" s="1">
        <v>1</v>
      </c>
      <c r="C4135" s="1">
        <v>197</v>
      </c>
      <c r="D4135" s="1">
        <v>1</v>
      </c>
      <c r="E4135" s="1">
        <v>2299.99</v>
      </c>
      <c r="F4135" s="1">
        <v>0.2</v>
      </c>
      <c r="G4135">
        <f t="shared" si="64"/>
        <v>2299.79</v>
      </c>
      <c r="H4135" t="str">
        <f>VLOOKUP(C4135,[1]products!$A:$B,2,FALSE)</f>
        <v>Trek Verve+ Lowstep - 2018</v>
      </c>
      <c r="I4135">
        <f>VLOOKUP(C4135,[1]products!$A:$D,4,FALSE)</f>
        <v>5</v>
      </c>
      <c r="J4135" t="str">
        <f>VLOOKUP(I4135,[2]categories!$A$1:$B$8,2,FALSE)</f>
        <v>Electric Bikes</v>
      </c>
    </row>
    <row r="4136" customHeight="1" spans="1:10">
      <c r="A4136" s="1">
        <v>1420</v>
      </c>
      <c r="B4136" s="1">
        <v>2</v>
      </c>
      <c r="C4136" s="1">
        <v>194</v>
      </c>
      <c r="D4136" s="1">
        <v>2</v>
      </c>
      <c r="E4136" s="1">
        <v>3499.99</v>
      </c>
      <c r="F4136" s="1">
        <v>0.1</v>
      </c>
      <c r="G4136">
        <f t="shared" si="64"/>
        <v>6999.88</v>
      </c>
      <c r="H4136" t="str">
        <f>VLOOKUP(C4136,[1]products!$A:$B,2,FALSE)</f>
        <v>Trek XM700+ - 2018</v>
      </c>
      <c r="I4136">
        <f>VLOOKUP(C4136,[1]products!$A:$D,4,FALSE)</f>
        <v>5</v>
      </c>
      <c r="J4136" t="str">
        <f>VLOOKUP(I4136,[2]categories!$A$1:$B$8,2,FALSE)</f>
        <v>Electric Bikes</v>
      </c>
    </row>
    <row r="4137" customHeight="1" spans="1:10">
      <c r="A4137" s="1">
        <v>1420</v>
      </c>
      <c r="B4137" s="1">
        <v>3</v>
      </c>
      <c r="C4137" s="1">
        <v>128</v>
      </c>
      <c r="D4137" s="1">
        <v>1</v>
      </c>
      <c r="E4137" s="1">
        <v>1899</v>
      </c>
      <c r="F4137" s="1">
        <v>0.1</v>
      </c>
      <c r="G4137">
        <f t="shared" si="64"/>
        <v>1898.9</v>
      </c>
      <c r="H4137" t="str">
        <f>VLOOKUP(C4137,[1]products!$A:$B,2,FALSE)</f>
        <v>Surly ECR 27.5 - 2018</v>
      </c>
      <c r="I4137">
        <f>VLOOKUP(C4137,[1]products!$A:$D,4,FALSE)</f>
        <v>6</v>
      </c>
      <c r="J4137" t="str">
        <f>VLOOKUP(I4137,[2]categories!$A$1:$B$8,2,FALSE)</f>
        <v>Mountain Bikes</v>
      </c>
    </row>
    <row r="4138" customHeight="1" spans="1:10">
      <c r="A4138" s="1">
        <v>1421</v>
      </c>
      <c r="B4138" s="1">
        <v>1</v>
      </c>
      <c r="C4138" s="1">
        <v>298</v>
      </c>
      <c r="D4138" s="1">
        <v>2</v>
      </c>
      <c r="E4138" s="1">
        <v>279.99</v>
      </c>
      <c r="F4138" s="1">
        <v>0.05</v>
      </c>
      <c r="G4138">
        <f t="shared" si="64"/>
        <v>559.93</v>
      </c>
      <c r="H4138" t="str">
        <f>VLOOKUP(C4138,[1]products!$A:$B,2,FALSE)</f>
        <v>Electra Water Lily 1 (16-inch) - Girl's - 2018</v>
      </c>
      <c r="I4138">
        <f>VLOOKUP(C4138,[1]products!$A:$D,4,FALSE)</f>
        <v>1</v>
      </c>
      <c r="J4138" t="str">
        <f>VLOOKUP(I4138,[2]categories!$A$1:$B$8,2,FALSE)</f>
        <v>Children Bicycles</v>
      </c>
    </row>
    <row r="4139" customHeight="1" spans="1:10">
      <c r="A4139" s="1">
        <v>1422</v>
      </c>
      <c r="B4139" s="1">
        <v>1</v>
      </c>
      <c r="C4139" s="1">
        <v>80</v>
      </c>
      <c r="D4139" s="1">
        <v>2</v>
      </c>
      <c r="E4139" s="1">
        <v>761.99</v>
      </c>
      <c r="F4139" s="1">
        <v>0.07</v>
      </c>
      <c r="G4139">
        <f t="shared" si="64"/>
        <v>1523.91</v>
      </c>
      <c r="H4139" t="str">
        <f>VLOOKUP(C4139,[1]products!$A:$B,2,FALSE)</f>
        <v>Sun Bicycles Brickell Tandem CB - 2017</v>
      </c>
      <c r="I4139">
        <f>VLOOKUP(C4139,[1]products!$A:$D,4,FALSE)</f>
        <v>3</v>
      </c>
      <c r="J4139" t="str">
        <f>VLOOKUP(I4139,[2]categories!$A$1:$B$8,2,FALSE)</f>
        <v>Cruisers Bicycles</v>
      </c>
    </row>
    <row r="4140" customHeight="1" spans="1:10">
      <c r="A4140" s="1">
        <v>1422</v>
      </c>
      <c r="B4140" s="1">
        <v>2</v>
      </c>
      <c r="C4140" s="1">
        <v>180</v>
      </c>
      <c r="D4140" s="1">
        <v>2</v>
      </c>
      <c r="E4140" s="1">
        <v>919.99</v>
      </c>
      <c r="F4140" s="1">
        <v>0.2</v>
      </c>
      <c r="G4140">
        <f t="shared" si="64"/>
        <v>1839.78</v>
      </c>
      <c r="H4140" t="str">
        <f>VLOOKUP(C4140,[1]products!$A:$B,2,FALSE)</f>
        <v>Trek Domane AL 3 Women's - 2018</v>
      </c>
      <c r="I4140">
        <f>VLOOKUP(C4140,[1]products!$A:$D,4,FALSE)</f>
        <v>7</v>
      </c>
      <c r="J4140" t="str">
        <f>VLOOKUP(I4140,[2]categories!$A$1:$B$8,2,FALSE)</f>
        <v>Road Bikes</v>
      </c>
    </row>
    <row r="4141" customHeight="1" spans="1:10">
      <c r="A4141" s="1">
        <v>1422</v>
      </c>
      <c r="B4141" s="1">
        <v>3</v>
      </c>
      <c r="C4141" s="1">
        <v>243</v>
      </c>
      <c r="D4141" s="1">
        <v>1</v>
      </c>
      <c r="E4141" s="1">
        <v>679.99</v>
      </c>
      <c r="F4141" s="1">
        <v>0.05</v>
      </c>
      <c r="G4141">
        <f t="shared" si="64"/>
        <v>679.94</v>
      </c>
      <c r="H4141" t="str">
        <f>VLOOKUP(C4141,[1]products!$A:$B,2,FALSE)</f>
        <v>Electra Townie Original 21D EQ Ladies' - 2018</v>
      </c>
      <c r="I4141">
        <f>VLOOKUP(C4141,[1]products!$A:$D,4,FALSE)</f>
        <v>3</v>
      </c>
      <c r="J4141" t="str">
        <f>VLOOKUP(I4141,[2]categories!$A$1:$B$8,2,FALSE)</f>
        <v>Cruisers Bicycles</v>
      </c>
    </row>
    <row r="4142" customHeight="1" spans="1:10">
      <c r="A4142" s="1">
        <v>1423</v>
      </c>
      <c r="B4142" s="1">
        <v>1</v>
      </c>
      <c r="C4142" s="1">
        <v>249</v>
      </c>
      <c r="D4142" s="1">
        <v>1</v>
      </c>
      <c r="E4142" s="1">
        <v>749.99</v>
      </c>
      <c r="F4142" s="1">
        <v>0.2</v>
      </c>
      <c r="G4142">
        <f t="shared" si="64"/>
        <v>749.79</v>
      </c>
      <c r="H4142" t="str">
        <f>VLOOKUP(C4142,[1]products!$A:$B,2,FALSE)</f>
        <v>Electra White Water 3i - 2018</v>
      </c>
      <c r="I4142">
        <f>VLOOKUP(C4142,[1]products!$A:$D,4,FALSE)</f>
        <v>3</v>
      </c>
      <c r="J4142" t="str">
        <f>VLOOKUP(I4142,[2]categories!$A$1:$B$8,2,FALSE)</f>
        <v>Cruisers Bicycles</v>
      </c>
    </row>
    <row r="4143" customHeight="1" spans="1:10">
      <c r="A4143" s="1">
        <v>1423</v>
      </c>
      <c r="B4143" s="1">
        <v>2</v>
      </c>
      <c r="C4143" s="1">
        <v>71</v>
      </c>
      <c r="D4143" s="1">
        <v>1</v>
      </c>
      <c r="E4143" s="1">
        <v>416.99</v>
      </c>
      <c r="F4143" s="1">
        <v>0.1</v>
      </c>
      <c r="G4143">
        <f t="shared" si="64"/>
        <v>416.89</v>
      </c>
      <c r="H4143" t="str">
        <f>VLOOKUP(C4143,[1]products!$A:$B,2,FALSE)</f>
        <v>Sun Bicycles Atlas X-Type - 2017</v>
      </c>
      <c r="I4143">
        <f>VLOOKUP(C4143,[1]products!$A:$D,4,FALSE)</f>
        <v>3</v>
      </c>
      <c r="J4143" t="str">
        <f>VLOOKUP(I4143,[2]categories!$A$1:$B$8,2,FALSE)</f>
        <v>Cruisers Bicycles</v>
      </c>
    </row>
    <row r="4144" customHeight="1" spans="1:10">
      <c r="A4144" s="1">
        <v>1423</v>
      </c>
      <c r="B4144" s="1">
        <v>3</v>
      </c>
      <c r="C4144" s="1">
        <v>302</v>
      </c>
      <c r="D4144" s="1">
        <v>1</v>
      </c>
      <c r="E4144" s="1">
        <v>449.99</v>
      </c>
      <c r="F4144" s="1">
        <v>0.2</v>
      </c>
      <c r="G4144">
        <f t="shared" si="64"/>
        <v>449.79</v>
      </c>
      <c r="H4144" t="str">
        <f>VLOOKUP(C4144,[1]products!$A:$B,2,FALSE)</f>
        <v>Electra Townie Original 1 - 2018</v>
      </c>
      <c r="I4144">
        <f>VLOOKUP(C4144,[1]products!$A:$D,4,FALSE)</f>
        <v>2</v>
      </c>
      <c r="J4144" t="str">
        <f>VLOOKUP(I4144,[2]categories!$A$1:$B$8,2,FALSE)</f>
        <v>Comfort Bicycles</v>
      </c>
    </row>
    <row r="4145" customHeight="1" spans="1:10">
      <c r="A4145" s="1">
        <v>1423</v>
      </c>
      <c r="B4145" s="1">
        <v>4</v>
      </c>
      <c r="C4145" s="1">
        <v>113</v>
      </c>
      <c r="D4145" s="1">
        <v>2</v>
      </c>
      <c r="E4145" s="1">
        <v>489.99</v>
      </c>
      <c r="F4145" s="1">
        <v>0.2</v>
      </c>
      <c r="G4145">
        <f t="shared" si="64"/>
        <v>979.78</v>
      </c>
      <c r="H4145" t="str">
        <f>VLOOKUP(C4145,[1]products!$A:$B,2,FALSE)</f>
        <v>Trek Marlin 5 - 2018</v>
      </c>
      <c r="I4145">
        <f>VLOOKUP(C4145,[1]products!$A:$D,4,FALSE)</f>
        <v>6</v>
      </c>
      <c r="J4145" t="str">
        <f>VLOOKUP(I4145,[2]categories!$A$1:$B$8,2,FALSE)</f>
        <v>Mountain Bikes</v>
      </c>
    </row>
    <row r="4146" customHeight="1" spans="1:10">
      <c r="A4146" s="1">
        <v>1424</v>
      </c>
      <c r="B4146" s="1">
        <v>1</v>
      </c>
      <c r="C4146" s="1">
        <v>140</v>
      </c>
      <c r="D4146" s="1">
        <v>2</v>
      </c>
      <c r="E4146" s="1">
        <v>4999.99</v>
      </c>
      <c r="F4146" s="1">
        <v>0.2</v>
      </c>
      <c r="G4146">
        <f t="shared" si="64"/>
        <v>9999.78</v>
      </c>
      <c r="H4146" t="str">
        <f>VLOOKUP(C4146,[1]products!$A:$B,2,FALSE)</f>
        <v>Trek Remedy 9.8 27.5 - 2018</v>
      </c>
      <c r="I4146">
        <f>VLOOKUP(C4146,[1]products!$A:$D,4,FALSE)</f>
        <v>6</v>
      </c>
      <c r="J4146" t="str">
        <f>VLOOKUP(I4146,[2]categories!$A$1:$B$8,2,FALSE)</f>
        <v>Mountain Bikes</v>
      </c>
    </row>
    <row r="4147" customHeight="1" spans="1:10">
      <c r="A4147" s="1">
        <v>1425</v>
      </c>
      <c r="B4147" s="1">
        <v>1</v>
      </c>
      <c r="C4147" s="1">
        <v>227</v>
      </c>
      <c r="D4147" s="1">
        <v>2</v>
      </c>
      <c r="E4147" s="1">
        <v>319.99</v>
      </c>
      <c r="F4147" s="1">
        <v>0.05</v>
      </c>
      <c r="G4147">
        <f t="shared" si="64"/>
        <v>639.93</v>
      </c>
      <c r="H4147" t="str">
        <f>VLOOKUP(C4147,[1]products!$A:$B,2,FALSE)</f>
        <v>Electra Cruiser 7D (24-Inch) Ladies' - 2016/2018</v>
      </c>
      <c r="I4147">
        <f>VLOOKUP(C4147,[1]products!$A:$D,4,FALSE)</f>
        <v>3</v>
      </c>
      <c r="J4147" t="str">
        <f>VLOOKUP(I4147,[2]categories!$A$1:$B$8,2,FALSE)</f>
        <v>Cruisers Bicycles</v>
      </c>
    </row>
    <row r="4148" customHeight="1" spans="1:10">
      <c r="A4148" s="1">
        <v>1425</v>
      </c>
      <c r="B4148" s="1">
        <v>2</v>
      </c>
      <c r="C4148" s="1">
        <v>263</v>
      </c>
      <c r="D4148" s="1">
        <v>1</v>
      </c>
      <c r="E4148" s="1">
        <v>89.99</v>
      </c>
      <c r="F4148" s="1">
        <v>0.07</v>
      </c>
      <c r="G4148">
        <f t="shared" si="64"/>
        <v>89.92</v>
      </c>
      <c r="H4148" t="str">
        <f>VLOOKUP(C4148,[1]products!$A:$B,2,FALSE)</f>
        <v>Strider Classic 12 Balance Bike - 2018</v>
      </c>
      <c r="I4148">
        <f>VLOOKUP(C4148,[1]products!$A:$D,4,FALSE)</f>
        <v>1</v>
      </c>
      <c r="J4148" t="str">
        <f>VLOOKUP(I4148,[2]categories!$A$1:$B$8,2,FALSE)</f>
        <v>Children Bicycles</v>
      </c>
    </row>
    <row r="4149" customHeight="1" spans="1:10">
      <c r="A4149" s="1">
        <v>1425</v>
      </c>
      <c r="B4149" s="1">
        <v>3</v>
      </c>
      <c r="C4149" s="1">
        <v>93</v>
      </c>
      <c r="D4149" s="1">
        <v>1</v>
      </c>
      <c r="E4149" s="1">
        <v>209.99</v>
      </c>
      <c r="F4149" s="1">
        <v>0.07</v>
      </c>
      <c r="G4149">
        <f t="shared" si="64"/>
        <v>209.92</v>
      </c>
      <c r="H4149" t="str">
        <f>VLOOKUP(C4149,[1]products!$A:$B,2,FALSE)</f>
        <v>Haro Shredder 20 Girls - 2017</v>
      </c>
      <c r="I4149">
        <f>VLOOKUP(C4149,[1]products!$A:$D,4,FALSE)</f>
        <v>1</v>
      </c>
      <c r="J4149" t="str">
        <f>VLOOKUP(I4149,[2]categories!$A$1:$B$8,2,FALSE)</f>
        <v>Children Bicycles</v>
      </c>
    </row>
    <row r="4150" customHeight="1" spans="1:10">
      <c r="A4150" s="1">
        <v>1425</v>
      </c>
      <c r="B4150" s="1">
        <v>4</v>
      </c>
      <c r="C4150" s="1">
        <v>54</v>
      </c>
      <c r="D4150" s="1">
        <v>2</v>
      </c>
      <c r="E4150" s="1">
        <v>3199.99</v>
      </c>
      <c r="F4150" s="1">
        <v>0.05</v>
      </c>
      <c r="G4150">
        <f t="shared" si="64"/>
        <v>6399.93</v>
      </c>
      <c r="H4150" t="str">
        <f>VLOOKUP(C4150,[1]products!$A:$B,2,FALSE)</f>
        <v>Trek Domane SL Disc Frameset - 2017</v>
      </c>
      <c r="I4150">
        <f>VLOOKUP(C4150,[1]products!$A:$D,4,FALSE)</f>
        <v>7</v>
      </c>
      <c r="J4150" t="str">
        <f>VLOOKUP(I4150,[2]categories!$A$1:$B$8,2,FALSE)</f>
        <v>Road Bikes</v>
      </c>
    </row>
    <row r="4151" customHeight="1" spans="1:10">
      <c r="A4151" s="1">
        <v>1425</v>
      </c>
      <c r="B4151" s="1">
        <v>5</v>
      </c>
      <c r="C4151" s="1">
        <v>145</v>
      </c>
      <c r="D4151" s="1">
        <v>2</v>
      </c>
      <c r="E4151" s="1">
        <v>1799.99</v>
      </c>
      <c r="F4151" s="1">
        <v>0.07</v>
      </c>
      <c r="G4151">
        <f t="shared" si="64"/>
        <v>3599.91</v>
      </c>
      <c r="H4151" t="str">
        <f>VLOOKUP(C4151,[1]products!$A:$B,2,FALSE)</f>
        <v>Trek Domane ALR 5 Disc - 2018</v>
      </c>
      <c r="I4151">
        <f>VLOOKUP(C4151,[1]products!$A:$D,4,FALSE)</f>
        <v>7</v>
      </c>
      <c r="J4151" t="str">
        <f>VLOOKUP(I4151,[2]categories!$A$1:$B$8,2,FALSE)</f>
        <v>Road Bikes</v>
      </c>
    </row>
    <row r="4152" customHeight="1" spans="1:10">
      <c r="A4152" s="1">
        <v>1426</v>
      </c>
      <c r="B4152" s="1">
        <v>1</v>
      </c>
      <c r="C4152" s="1">
        <v>215</v>
      </c>
      <c r="D4152" s="1">
        <v>1</v>
      </c>
      <c r="E4152" s="1">
        <v>749.99</v>
      </c>
      <c r="F4152" s="1">
        <v>0.07</v>
      </c>
      <c r="G4152">
        <f t="shared" si="64"/>
        <v>749.92</v>
      </c>
      <c r="H4152" t="str">
        <f>VLOOKUP(C4152,[1]products!$A:$B,2,FALSE)</f>
        <v>Electra Queen of Hearts 3i - 2018</v>
      </c>
      <c r="I4152">
        <f>VLOOKUP(C4152,[1]products!$A:$D,4,FALSE)</f>
        <v>3</v>
      </c>
      <c r="J4152" t="str">
        <f>VLOOKUP(I4152,[2]categories!$A$1:$B$8,2,FALSE)</f>
        <v>Cruisers Bicycles</v>
      </c>
    </row>
    <row r="4153" customHeight="1" spans="1:10">
      <c r="A4153" s="1">
        <v>1426</v>
      </c>
      <c r="B4153" s="1">
        <v>2</v>
      </c>
      <c r="C4153" s="1">
        <v>20</v>
      </c>
      <c r="D4153" s="1">
        <v>2</v>
      </c>
      <c r="E4153" s="1">
        <v>599.99</v>
      </c>
      <c r="F4153" s="1">
        <v>0.05</v>
      </c>
      <c r="G4153">
        <f t="shared" si="64"/>
        <v>1199.93</v>
      </c>
      <c r="H4153" t="str">
        <f>VLOOKUP(C4153,[1]products!$A:$B,2,FALSE)</f>
        <v>Electra Townie Original 7D EQ - Women's - 2016</v>
      </c>
      <c r="I4153">
        <f>VLOOKUP(C4153,[1]products!$A:$D,4,FALSE)</f>
        <v>3</v>
      </c>
      <c r="J4153" t="str">
        <f>VLOOKUP(I4153,[2]categories!$A$1:$B$8,2,FALSE)</f>
        <v>Cruisers Bicycles</v>
      </c>
    </row>
    <row r="4154" customHeight="1" spans="1:10">
      <c r="A4154" s="1">
        <v>1426</v>
      </c>
      <c r="B4154" s="1">
        <v>3</v>
      </c>
      <c r="C4154" s="1">
        <v>281</v>
      </c>
      <c r="D4154" s="1">
        <v>1</v>
      </c>
      <c r="E4154" s="1">
        <v>319.99</v>
      </c>
      <c r="F4154" s="1">
        <v>0.07</v>
      </c>
      <c r="G4154">
        <f t="shared" si="64"/>
        <v>319.92</v>
      </c>
      <c r="H4154" t="str">
        <f>VLOOKUP(C4154,[1]products!$A:$B,2,FALSE)</f>
        <v>Electra Cruiser 7D (24-Inch) Ladies' - 2016/2018</v>
      </c>
      <c r="I4154">
        <f>VLOOKUP(C4154,[1]products!$A:$D,4,FALSE)</f>
        <v>1</v>
      </c>
      <c r="J4154" t="str">
        <f>VLOOKUP(I4154,[2]categories!$A$1:$B$8,2,FALSE)</f>
        <v>Children Bicycles</v>
      </c>
    </row>
    <row r="4155" customHeight="1" spans="1:10">
      <c r="A4155" s="1">
        <v>1427</v>
      </c>
      <c r="B4155" s="1">
        <v>1</v>
      </c>
      <c r="C4155" s="1">
        <v>230</v>
      </c>
      <c r="D4155" s="1">
        <v>2</v>
      </c>
      <c r="E4155" s="1">
        <v>429.99</v>
      </c>
      <c r="F4155" s="1">
        <v>0.07</v>
      </c>
      <c r="G4155">
        <f t="shared" si="64"/>
        <v>859.91</v>
      </c>
      <c r="H4155" t="str">
        <f>VLOOKUP(C4155,[1]products!$A:$B,2,FALSE)</f>
        <v>Electra Cruiser Lux 1 Ladies' - 2018</v>
      </c>
      <c r="I4155">
        <f>VLOOKUP(C4155,[1]products!$A:$D,4,FALSE)</f>
        <v>3</v>
      </c>
      <c r="J4155" t="str">
        <f>VLOOKUP(I4155,[2]categories!$A$1:$B$8,2,FALSE)</f>
        <v>Cruisers Bicycles</v>
      </c>
    </row>
    <row r="4156" customHeight="1" spans="1:10">
      <c r="A4156" s="1">
        <v>1427</v>
      </c>
      <c r="B4156" s="1">
        <v>2</v>
      </c>
      <c r="C4156" s="1">
        <v>139</v>
      </c>
      <c r="D4156" s="1">
        <v>1</v>
      </c>
      <c r="E4156" s="1">
        <v>2999.99</v>
      </c>
      <c r="F4156" s="1">
        <v>0.05</v>
      </c>
      <c r="G4156">
        <f t="shared" si="64"/>
        <v>2999.94</v>
      </c>
      <c r="H4156" t="str">
        <f>VLOOKUP(C4156,[1]products!$A:$B,2,FALSE)</f>
        <v>Trek Remedy 7 27.5 - 2018</v>
      </c>
      <c r="I4156">
        <f>VLOOKUP(C4156,[1]products!$A:$D,4,FALSE)</f>
        <v>6</v>
      </c>
      <c r="J4156" t="str">
        <f>VLOOKUP(I4156,[2]categories!$A$1:$B$8,2,FALSE)</f>
        <v>Mountain Bikes</v>
      </c>
    </row>
    <row r="4157" customHeight="1" spans="1:10">
      <c r="A4157" s="1">
        <v>1427</v>
      </c>
      <c r="B4157" s="1">
        <v>3</v>
      </c>
      <c r="C4157" s="1">
        <v>164</v>
      </c>
      <c r="D4157" s="1">
        <v>2</v>
      </c>
      <c r="E4157" s="1">
        <v>1549</v>
      </c>
      <c r="F4157" s="1">
        <v>0.07</v>
      </c>
      <c r="G4157">
        <f t="shared" si="64"/>
        <v>3097.93</v>
      </c>
      <c r="H4157" t="str">
        <f>VLOOKUP(C4157,[1]products!$A:$B,2,FALSE)</f>
        <v>Surly Straggler 650b - 2018</v>
      </c>
      <c r="I4157">
        <f>VLOOKUP(C4157,[1]products!$A:$D,4,FALSE)</f>
        <v>7</v>
      </c>
      <c r="J4157" t="str">
        <f>VLOOKUP(I4157,[2]categories!$A$1:$B$8,2,FALSE)</f>
        <v>Road Bikes</v>
      </c>
    </row>
    <row r="4158" customHeight="1" spans="1:10">
      <c r="A4158" s="1">
        <v>1428</v>
      </c>
      <c r="B4158" s="1">
        <v>1</v>
      </c>
      <c r="C4158" s="1">
        <v>216</v>
      </c>
      <c r="D4158" s="1">
        <v>2</v>
      </c>
      <c r="E4158" s="1">
        <v>899.99</v>
      </c>
      <c r="F4158" s="1">
        <v>0.2</v>
      </c>
      <c r="G4158">
        <f t="shared" si="64"/>
        <v>1799.78</v>
      </c>
      <c r="H4158" t="str">
        <f>VLOOKUP(C4158,[1]products!$A:$B,2,FALSE)</f>
        <v>Electra Super Moto 8i - 2018</v>
      </c>
      <c r="I4158">
        <f>VLOOKUP(C4158,[1]products!$A:$D,4,FALSE)</f>
        <v>3</v>
      </c>
      <c r="J4158" t="str">
        <f>VLOOKUP(I4158,[2]categories!$A$1:$B$8,2,FALSE)</f>
        <v>Cruisers Bicycles</v>
      </c>
    </row>
    <row r="4159" customHeight="1" spans="1:10">
      <c r="A4159" s="1">
        <v>1428</v>
      </c>
      <c r="B4159" s="1">
        <v>2</v>
      </c>
      <c r="C4159" s="1">
        <v>126</v>
      </c>
      <c r="D4159" s="1">
        <v>1</v>
      </c>
      <c r="E4159" s="1">
        <v>469.99</v>
      </c>
      <c r="F4159" s="1">
        <v>0.07</v>
      </c>
      <c r="G4159">
        <f t="shared" si="64"/>
        <v>469.92</v>
      </c>
      <c r="H4159" t="str">
        <f>VLOOKUP(C4159,[1]products!$A:$B,2,FALSE)</f>
        <v>Surly Big Fat Dummy Frameset - 2018</v>
      </c>
      <c r="I4159">
        <f>VLOOKUP(C4159,[1]products!$A:$D,4,FALSE)</f>
        <v>6</v>
      </c>
      <c r="J4159" t="str">
        <f>VLOOKUP(I4159,[2]categories!$A$1:$B$8,2,FALSE)</f>
        <v>Mountain Bikes</v>
      </c>
    </row>
    <row r="4160" customHeight="1" spans="1:10">
      <c r="A4160" s="1">
        <v>1428</v>
      </c>
      <c r="B4160" s="1">
        <v>3</v>
      </c>
      <c r="C4160" s="1">
        <v>187</v>
      </c>
      <c r="D4160" s="1">
        <v>2</v>
      </c>
      <c r="E4160" s="1">
        <v>2799.99</v>
      </c>
      <c r="F4160" s="1">
        <v>0.07</v>
      </c>
      <c r="G4160">
        <f t="shared" si="64"/>
        <v>5599.91</v>
      </c>
      <c r="H4160" t="str">
        <f>VLOOKUP(C4160,[1]products!$A:$B,2,FALSE)</f>
        <v>Trek Neko+ - 2018</v>
      </c>
      <c r="I4160">
        <f>VLOOKUP(C4160,[1]products!$A:$D,4,FALSE)</f>
        <v>5</v>
      </c>
      <c r="J4160" t="str">
        <f>VLOOKUP(I4160,[2]categories!$A$1:$B$8,2,FALSE)</f>
        <v>Electric Bikes</v>
      </c>
    </row>
    <row r="4161" customHeight="1" spans="1:10">
      <c r="A4161" s="1">
        <v>1428</v>
      </c>
      <c r="B4161" s="1">
        <v>4</v>
      </c>
      <c r="C4161" s="1">
        <v>28</v>
      </c>
      <c r="D4161" s="1">
        <v>1</v>
      </c>
      <c r="E4161" s="1">
        <v>2499.99</v>
      </c>
      <c r="F4161" s="1">
        <v>0.1</v>
      </c>
      <c r="G4161">
        <f t="shared" si="64"/>
        <v>2499.89</v>
      </c>
      <c r="H4161" t="str">
        <f>VLOOKUP(C4161,[1]products!$A:$B,2,FALSE)</f>
        <v>Surly Karate Monkey 27.5+ Frameset - 2017</v>
      </c>
      <c r="I4161">
        <f>VLOOKUP(C4161,[1]products!$A:$D,4,FALSE)</f>
        <v>6</v>
      </c>
      <c r="J4161" t="str">
        <f>VLOOKUP(I4161,[2]categories!$A$1:$B$8,2,FALSE)</f>
        <v>Mountain Bikes</v>
      </c>
    </row>
    <row r="4162" customHeight="1" spans="1:10">
      <c r="A4162" s="1">
        <v>1428</v>
      </c>
      <c r="B4162" s="1">
        <v>5</v>
      </c>
      <c r="C4162" s="1">
        <v>194</v>
      </c>
      <c r="D4162" s="1">
        <v>2</v>
      </c>
      <c r="E4162" s="1">
        <v>3499.99</v>
      </c>
      <c r="F4162" s="1">
        <v>0.2</v>
      </c>
      <c r="G4162">
        <f t="shared" si="64"/>
        <v>6999.78</v>
      </c>
      <c r="H4162" t="str">
        <f>VLOOKUP(C4162,[1]products!$A:$B,2,FALSE)</f>
        <v>Trek XM700+ - 2018</v>
      </c>
      <c r="I4162">
        <f>VLOOKUP(C4162,[1]products!$A:$D,4,FALSE)</f>
        <v>5</v>
      </c>
      <c r="J4162" t="str">
        <f>VLOOKUP(I4162,[2]categories!$A$1:$B$8,2,FALSE)</f>
        <v>Electric Bikes</v>
      </c>
    </row>
    <row r="4163" customHeight="1" spans="1:10">
      <c r="A4163" s="1">
        <v>1429</v>
      </c>
      <c r="B4163" s="1">
        <v>1</v>
      </c>
      <c r="C4163" s="1">
        <v>70</v>
      </c>
      <c r="D4163" s="1">
        <v>2</v>
      </c>
      <c r="E4163" s="1">
        <v>659.99</v>
      </c>
      <c r="F4163" s="1">
        <v>0.2</v>
      </c>
      <c r="G4163">
        <f t="shared" ref="G4163:G4226" si="65">(E4163*D4163)-F4163</f>
        <v>1319.78</v>
      </c>
      <c r="H4163" t="str">
        <f>VLOOKUP(C4163,[1]products!$A:$B,2,FALSE)</f>
        <v>Electra Amsterdam Original 3i - 2015/2017</v>
      </c>
      <c r="I4163">
        <f>VLOOKUP(C4163,[1]products!$A:$D,4,FALSE)</f>
        <v>3</v>
      </c>
      <c r="J4163" t="str">
        <f>VLOOKUP(I4163,[2]categories!$A$1:$B$8,2,FALSE)</f>
        <v>Cruisers Bicycles</v>
      </c>
    </row>
    <row r="4164" customHeight="1" spans="1:10">
      <c r="A4164" s="1">
        <v>1430</v>
      </c>
      <c r="B4164" s="1">
        <v>1</v>
      </c>
      <c r="C4164" s="1">
        <v>221</v>
      </c>
      <c r="D4164" s="1">
        <v>1</v>
      </c>
      <c r="E4164" s="1">
        <v>319.99</v>
      </c>
      <c r="F4164" s="1">
        <v>0.05</v>
      </c>
      <c r="G4164">
        <f t="shared" si="65"/>
        <v>319.94</v>
      </c>
      <c r="H4164" t="str">
        <f>VLOOKUP(C4164,[1]products!$A:$B,2,FALSE)</f>
        <v>Electra Cruiser 7D Ladies' - 2016/2018</v>
      </c>
      <c r="I4164">
        <f>VLOOKUP(C4164,[1]products!$A:$D,4,FALSE)</f>
        <v>3</v>
      </c>
      <c r="J4164" t="str">
        <f>VLOOKUP(I4164,[2]categories!$A$1:$B$8,2,FALSE)</f>
        <v>Cruisers Bicycles</v>
      </c>
    </row>
    <row r="4165" customHeight="1" spans="1:10">
      <c r="A4165" s="1">
        <v>1430</v>
      </c>
      <c r="B4165" s="1">
        <v>2</v>
      </c>
      <c r="C4165" s="1">
        <v>281</v>
      </c>
      <c r="D4165" s="1">
        <v>1</v>
      </c>
      <c r="E4165" s="1">
        <v>319.99</v>
      </c>
      <c r="F4165" s="1">
        <v>0.07</v>
      </c>
      <c r="G4165">
        <f t="shared" si="65"/>
        <v>319.92</v>
      </c>
      <c r="H4165" t="str">
        <f>VLOOKUP(C4165,[1]products!$A:$B,2,FALSE)</f>
        <v>Electra Cruiser 7D (24-Inch) Ladies' - 2016/2018</v>
      </c>
      <c r="I4165">
        <f>VLOOKUP(C4165,[1]products!$A:$D,4,FALSE)</f>
        <v>1</v>
      </c>
      <c r="J4165" t="str">
        <f>VLOOKUP(I4165,[2]categories!$A$1:$B$8,2,FALSE)</f>
        <v>Children Bicycles</v>
      </c>
    </row>
    <row r="4166" customHeight="1" spans="1:10">
      <c r="A4166" s="1">
        <v>1431</v>
      </c>
      <c r="B4166" s="1">
        <v>1</v>
      </c>
      <c r="C4166" s="1">
        <v>207</v>
      </c>
      <c r="D4166" s="1">
        <v>1</v>
      </c>
      <c r="E4166" s="1">
        <v>3999.99</v>
      </c>
      <c r="F4166" s="1">
        <v>0.1</v>
      </c>
      <c r="G4166">
        <f t="shared" si="65"/>
        <v>3999.89</v>
      </c>
      <c r="H4166" t="str">
        <f>VLOOKUP(C4166,[1]products!$A:$B,2,FALSE)</f>
        <v>Trek Boone 7 Disc - 2018</v>
      </c>
      <c r="I4166">
        <f>VLOOKUP(C4166,[1]products!$A:$D,4,FALSE)</f>
        <v>4</v>
      </c>
      <c r="J4166" t="str">
        <f>VLOOKUP(I4166,[2]categories!$A$1:$B$8,2,FALSE)</f>
        <v>Cyclocross Bicycles</v>
      </c>
    </row>
    <row r="4167" customHeight="1" spans="1:10">
      <c r="A4167" s="1">
        <v>1431</v>
      </c>
      <c r="B4167" s="1">
        <v>2</v>
      </c>
      <c r="C4167" s="1">
        <v>53</v>
      </c>
      <c r="D4167" s="1">
        <v>1</v>
      </c>
      <c r="E4167" s="1">
        <v>749.99</v>
      </c>
      <c r="F4167" s="1">
        <v>0.07</v>
      </c>
      <c r="G4167">
        <f t="shared" si="65"/>
        <v>749.92</v>
      </c>
      <c r="H4167" t="str">
        <f>VLOOKUP(C4167,[1]products!$A:$B,2,FALSE)</f>
        <v>Surly Ogre Frameset - 2017</v>
      </c>
      <c r="I4167">
        <f>VLOOKUP(C4167,[1]products!$A:$D,4,FALSE)</f>
        <v>7</v>
      </c>
      <c r="J4167" t="str">
        <f>VLOOKUP(I4167,[2]categories!$A$1:$B$8,2,FALSE)</f>
        <v>Road Bikes</v>
      </c>
    </row>
    <row r="4168" customHeight="1" spans="1:10">
      <c r="A4168" s="1">
        <v>1431</v>
      </c>
      <c r="B4168" s="1">
        <v>3</v>
      </c>
      <c r="C4168" s="1">
        <v>252</v>
      </c>
      <c r="D4168" s="1">
        <v>1</v>
      </c>
      <c r="E4168" s="1">
        <v>2999.99</v>
      </c>
      <c r="F4168" s="1">
        <v>0.2</v>
      </c>
      <c r="G4168">
        <f t="shared" si="65"/>
        <v>2999.79</v>
      </c>
      <c r="H4168" t="str">
        <f>VLOOKUP(C4168,[1]products!$A:$B,2,FALSE)</f>
        <v>Electra Townie Commute Go! Ladies' - 2018</v>
      </c>
      <c r="I4168">
        <f>VLOOKUP(C4168,[1]products!$A:$D,4,FALSE)</f>
        <v>3</v>
      </c>
      <c r="J4168" t="str">
        <f>VLOOKUP(I4168,[2]categories!$A$1:$B$8,2,FALSE)</f>
        <v>Cruisers Bicycles</v>
      </c>
    </row>
    <row r="4169" customHeight="1" spans="1:10">
      <c r="A4169" s="1">
        <v>1431</v>
      </c>
      <c r="B4169" s="1">
        <v>4</v>
      </c>
      <c r="C4169" s="1">
        <v>254</v>
      </c>
      <c r="D4169" s="1">
        <v>1</v>
      </c>
      <c r="E4169" s="1">
        <v>749.99</v>
      </c>
      <c r="F4169" s="1">
        <v>0.07</v>
      </c>
      <c r="G4169">
        <f t="shared" si="65"/>
        <v>749.92</v>
      </c>
      <c r="H4169" t="str">
        <f>VLOOKUP(C4169,[1]products!$A:$B,2,FALSE)</f>
        <v>Electra Townie Balloon 3i EQ - 2017/2018</v>
      </c>
      <c r="I4169">
        <f>VLOOKUP(C4169,[1]products!$A:$D,4,FALSE)</f>
        <v>3</v>
      </c>
      <c r="J4169" t="str">
        <f>VLOOKUP(I4169,[2]categories!$A$1:$B$8,2,FALSE)</f>
        <v>Cruisers Bicycles</v>
      </c>
    </row>
    <row r="4170" customHeight="1" spans="1:10">
      <c r="A4170" s="1">
        <v>1432</v>
      </c>
      <c r="B4170" s="1">
        <v>1</v>
      </c>
      <c r="C4170" s="1">
        <v>161</v>
      </c>
      <c r="D4170" s="1">
        <v>1</v>
      </c>
      <c r="E4170" s="1">
        <v>1899</v>
      </c>
      <c r="F4170" s="1">
        <v>0.2</v>
      </c>
      <c r="G4170">
        <f t="shared" si="65"/>
        <v>1898.8</v>
      </c>
      <c r="H4170" t="str">
        <f>VLOOKUP(C4170,[1]products!$A:$B,2,FALSE)</f>
        <v>Surly ECR - 2018</v>
      </c>
      <c r="I4170">
        <f>VLOOKUP(C4170,[1]products!$A:$D,4,FALSE)</f>
        <v>7</v>
      </c>
      <c r="J4170" t="str">
        <f>VLOOKUP(I4170,[2]categories!$A$1:$B$8,2,FALSE)</f>
        <v>Road Bikes</v>
      </c>
    </row>
    <row r="4171" customHeight="1" spans="1:10">
      <c r="A4171" s="1">
        <v>1433</v>
      </c>
      <c r="B4171" s="1">
        <v>1</v>
      </c>
      <c r="C4171" s="1">
        <v>264</v>
      </c>
      <c r="D4171" s="1">
        <v>1</v>
      </c>
      <c r="E4171" s="1">
        <v>249.99</v>
      </c>
      <c r="F4171" s="1">
        <v>0.07</v>
      </c>
      <c r="G4171">
        <f t="shared" si="65"/>
        <v>249.92</v>
      </c>
      <c r="H4171" t="str">
        <f>VLOOKUP(C4171,[1]products!$A:$B,2,FALSE)</f>
        <v>Strider Sport 16 - 2018</v>
      </c>
      <c r="I4171">
        <f>VLOOKUP(C4171,[1]products!$A:$D,4,FALSE)</f>
        <v>1</v>
      </c>
      <c r="J4171" t="str">
        <f>VLOOKUP(I4171,[2]categories!$A$1:$B$8,2,FALSE)</f>
        <v>Children Bicycles</v>
      </c>
    </row>
    <row r="4172" customHeight="1" spans="1:10">
      <c r="A4172" s="1">
        <v>1434</v>
      </c>
      <c r="B4172" s="1">
        <v>1</v>
      </c>
      <c r="C4172" s="1">
        <v>229</v>
      </c>
      <c r="D4172" s="1">
        <v>2</v>
      </c>
      <c r="E4172" s="1">
        <v>429.99</v>
      </c>
      <c r="F4172" s="1">
        <v>0.2</v>
      </c>
      <c r="G4172">
        <f t="shared" si="65"/>
        <v>859.78</v>
      </c>
      <c r="H4172" t="str">
        <f>VLOOKUP(C4172,[1]products!$A:$B,2,FALSE)</f>
        <v>Electra Cruiser Lux 1 - 2016/2018</v>
      </c>
      <c r="I4172">
        <f>VLOOKUP(C4172,[1]products!$A:$D,4,FALSE)</f>
        <v>3</v>
      </c>
      <c r="J4172" t="str">
        <f>VLOOKUP(I4172,[2]categories!$A$1:$B$8,2,FALSE)</f>
        <v>Cruisers Bicycles</v>
      </c>
    </row>
    <row r="4173" customHeight="1" spans="1:10">
      <c r="A4173" s="1">
        <v>1434</v>
      </c>
      <c r="B4173" s="1">
        <v>2</v>
      </c>
      <c r="C4173" s="1">
        <v>198</v>
      </c>
      <c r="D4173" s="1">
        <v>1</v>
      </c>
      <c r="E4173" s="1">
        <v>2999.99</v>
      </c>
      <c r="F4173" s="1">
        <v>0.1</v>
      </c>
      <c r="G4173">
        <f t="shared" si="65"/>
        <v>2999.89</v>
      </c>
      <c r="H4173" t="str">
        <f>VLOOKUP(C4173,[1]products!$A:$B,2,FALSE)</f>
        <v>Electra Townie Commute Go! - 2018</v>
      </c>
      <c r="I4173">
        <f>VLOOKUP(C4173,[1]products!$A:$D,4,FALSE)</f>
        <v>5</v>
      </c>
      <c r="J4173" t="str">
        <f>VLOOKUP(I4173,[2]categories!$A$1:$B$8,2,FALSE)</f>
        <v>Electric Bikes</v>
      </c>
    </row>
    <row r="4174" customHeight="1" spans="1:10">
      <c r="A4174" s="1">
        <v>1434</v>
      </c>
      <c r="B4174" s="1">
        <v>3</v>
      </c>
      <c r="C4174" s="1">
        <v>286</v>
      </c>
      <c r="D4174" s="1">
        <v>2</v>
      </c>
      <c r="E4174" s="1">
        <v>279.99</v>
      </c>
      <c r="F4174" s="1">
        <v>0.1</v>
      </c>
      <c r="G4174">
        <f t="shared" si="65"/>
        <v>559.88</v>
      </c>
      <c r="H4174" t="str">
        <f>VLOOKUP(C4174,[1]products!$A:$B,2,FALSE)</f>
        <v>Electra Starship 1 16" - 2018</v>
      </c>
      <c r="I4174">
        <f>VLOOKUP(C4174,[1]products!$A:$D,4,FALSE)</f>
        <v>1</v>
      </c>
      <c r="J4174" t="str">
        <f>VLOOKUP(I4174,[2]categories!$A$1:$B$8,2,FALSE)</f>
        <v>Children Bicycles</v>
      </c>
    </row>
    <row r="4175" customHeight="1" spans="1:10">
      <c r="A4175" s="1">
        <v>1434</v>
      </c>
      <c r="B4175" s="1">
        <v>4</v>
      </c>
      <c r="C4175" s="1">
        <v>61</v>
      </c>
      <c r="D4175" s="1">
        <v>2</v>
      </c>
      <c r="E4175" s="1">
        <v>4999.99</v>
      </c>
      <c r="F4175" s="1">
        <v>0.07</v>
      </c>
      <c r="G4175">
        <f t="shared" si="65"/>
        <v>9999.91</v>
      </c>
      <c r="H4175" t="str">
        <f>VLOOKUP(C4175,[1]products!$A:$B,2,FALSE)</f>
        <v>Trek Powerfly 8 FS Plus - 2017</v>
      </c>
      <c r="I4175">
        <f>VLOOKUP(C4175,[1]products!$A:$D,4,FALSE)</f>
        <v>5</v>
      </c>
      <c r="J4175" t="str">
        <f>VLOOKUP(I4175,[2]categories!$A$1:$B$8,2,FALSE)</f>
        <v>Electric Bikes</v>
      </c>
    </row>
    <row r="4176" customHeight="1" spans="1:10">
      <c r="A4176" s="1">
        <v>1435</v>
      </c>
      <c r="B4176" s="1">
        <v>1</v>
      </c>
      <c r="C4176" s="1">
        <v>141</v>
      </c>
      <c r="D4176" s="1">
        <v>2</v>
      </c>
      <c r="E4176" s="1">
        <v>1599.99</v>
      </c>
      <c r="F4176" s="1">
        <v>0.07</v>
      </c>
      <c r="G4176">
        <f t="shared" si="65"/>
        <v>3199.91</v>
      </c>
      <c r="H4176" t="str">
        <f>VLOOKUP(C4176,[1]products!$A:$B,2,FALSE)</f>
        <v>Trek Stache 5 - 2018</v>
      </c>
      <c r="I4176">
        <f>VLOOKUP(C4176,[1]products!$A:$D,4,FALSE)</f>
        <v>6</v>
      </c>
      <c r="J4176" t="str">
        <f>VLOOKUP(I4176,[2]categories!$A$1:$B$8,2,FALSE)</f>
        <v>Mountain Bikes</v>
      </c>
    </row>
    <row r="4177" customHeight="1" spans="1:10">
      <c r="A4177" s="1">
        <v>1435</v>
      </c>
      <c r="B4177" s="1">
        <v>2</v>
      </c>
      <c r="C4177" s="1">
        <v>29</v>
      </c>
      <c r="D4177" s="1">
        <v>1</v>
      </c>
      <c r="E4177" s="1">
        <v>999.99</v>
      </c>
      <c r="F4177" s="1">
        <v>0.2</v>
      </c>
      <c r="G4177">
        <f t="shared" si="65"/>
        <v>999.79</v>
      </c>
      <c r="H4177" t="str">
        <f>VLOOKUP(C4177,[1]products!$A:$B,2,FALSE)</f>
        <v>Trek X-Caliber 8 - 2017</v>
      </c>
      <c r="I4177">
        <f>VLOOKUP(C4177,[1]products!$A:$D,4,FALSE)</f>
        <v>6</v>
      </c>
      <c r="J4177" t="str">
        <f>VLOOKUP(I4177,[2]categories!$A$1:$B$8,2,FALSE)</f>
        <v>Mountain Bikes</v>
      </c>
    </row>
    <row r="4178" customHeight="1" spans="1:10">
      <c r="A4178" s="1">
        <v>1435</v>
      </c>
      <c r="B4178" s="1">
        <v>3</v>
      </c>
      <c r="C4178" s="1">
        <v>60</v>
      </c>
      <c r="D4178" s="1">
        <v>1</v>
      </c>
      <c r="E4178" s="1">
        <v>1559.99</v>
      </c>
      <c r="F4178" s="1">
        <v>0.1</v>
      </c>
      <c r="G4178">
        <f t="shared" si="65"/>
        <v>1559.89</v>
      </c>
      <c r="H4178" t="str">
        <f>VLOOKUP(C4178,[1]products!$A:$B,2,FALSE)</f>
        <v>Sun Bicycles ElectroLite - 2017</v>
      </c>
      <c r="I4178">
        <f>VLOOKUP(C4178,[1]products!$A:$D,4,FALSE)</f>
        <v>5</v>
      </c>
      <c r="J4178" t="str">
        <f>VLOOKUP(I4178,[2]categories!$A$1:$B$8,2,FALSE)</f>
        <v>Electric Bikes</v>
      </c>
    </row>
    <row r="4179" customHeight="1" spans="1:10">
      <c r="A4179" s="1">
        <v>1435</v>
      </c>
      <c r="B4179" s="1">
        <v>4</v>
      </c>
      <c r="C4179" s="1">
        <v>260</v>
      </c>
      <c r="D4179" s="1">
        <v>1</v>
      </c>
      <c r="E4179" s="1">
        <v>799.99</v>
      </c>
      <c r="F4179" s="1">
        <v>0.07</v>
      </c>
      <c r="G4179">
        <f t="shared" si="65"/>
        <v>799.92</v>
      </c>
      <c r="H4179" t="str">
        <f>VLOOKUP(C4179,[1]products!$A:$B,2,FALSE)</f>
        <v>Electra Townie Balloon 3i EQ Ladies' - 2018</v>
      </c>
      <c r="I4179">
        <f>VLOOKUP(C4179,[1]products!$A:$D,4,FALSE)</f>
        <v>3</v>
      </c>
      <c r="J4179" t="str">
        <f>VLOOKUP(I4179,[2]categories!$A$1:$B$8,2,FALSE)</f>
        <v>Cruisers Bicycles</v>
      </c>
    </row>
    <row r="4180" customHeight="1" spans="1:10">
      <c r="A4180" s="1">
        <v>1436</v>
      </c>
      <c r="B4180" s="1">
        <v>1</v>
      </c>
      <c r="C4180" s="1">
        <v>244</v>
      </c>
      <c r="D4180" s="1">
        <v>2</v>
      </c>
      <c r="E4180" s="1">
        <v>559.99</v>
      </c>
      <c r="F4180" s="1">
        <v>0.07</v>
      </c>
      <c r="G4180">
        <f t="shared" si="65"/>
        <v>1119.91</v>
      </c>
      <c r="H4180" t="str">
        <f>VLOOKUP(C4180,[1]products!$A:$B,2,FALSE)</f>
        <v>Electra Townie Original 21D Ladies' - 2018</v>
      </c>
      <c r="I4180">
        <f>VLOOKUP(C4180,[1]products!$A:$D,4,FALSE)</f>
        <v>3</v>
      </c>
      <c r="J4180" t="str">
        <f>VLOOKUP(I4180,[2]categories!$A$1:$B$8,2,FALSE)</f>
        <v>Cruisers Bicycles</v>
      </c>
    </row>
    <row r="4181" customHeight="1" spans="1:10">
      <c r="A4181" s="1">
        <v>1437</v>
      </c>
      <c r="B4181" s="1">
        <v>1</v>
      </c>
      <c r="C4181" s="1">
        <v>141</v>
      </c>
      <c r="D4181" s="1">
        <v>2</v>
      </c>
      <c r="E4181" s="1">
        <v>1599.99</v>
      </c>
      <c r="F4181" s="1">
        <v>0.05</v>
      </c>
      <c r="G4181">
        <f t="shared" si="65"/>
        <v>3199.93</v>
      </c>
      <c r="H4181" t="str">
        <f>VLOOKUP(C4181,[1]products!$A:$B,2,FALSE)</f>
        <v>Trek Stache 5 - 2018</v>
      </c>
      <c r="I4181">
        <f>VLOOKUP(C4181,[1]products!$A:$D,4,FALSE)</f>
        <v>6</v>
      </c>
      <c r="J4181" t="str">
        <f>VLOOKUP(I4181,[2]categories!$A$1:$B$8,2,FALSE)</f>
        <v>Mountain Bikes</v>
      </c>
    </row>
    <row r="4182" customHeight="1" spans="1:10">
      <c r="A4182" s="1">
        <v>1438</v>
      </c>
      <c r="B4182" s="1">
        <v>1</v>
      </c>
      <c r="C4182" s="1">
        <v>225</v>
      </c>
      <c r="D4182" s="1">
        <v>1</v>
      </c>
      <c r="E4182" s="1">
        <v>959.99</v>
      </c>
      <c r="F4182" s="1">
        <v>0.2</v>
      </c>
      <c r="G4182">
        <f t="shared" si="65"/>
        <v>959.79</v>
      </c>
      <c r="H4182" t="str">
        <f>VLOOKUP(C4182,[1]products!$A:$B,2,FALSE)</f>
        <v>Electra Delivery 3i - 2016/2017/2018</v>
      </c>
      <c r="I4182">
        <f>VLOOKUP(C4182,[1]products!$A:$D,4,FALSE)</f>
        <v>3</v>
      </c>
      <c r="J4182" t="str">
        <f>VLOOKUP(I4182,[2]categories!$A$1:$B$8,2,FALSE)</f>
        <v>Cruisers Bicycles</v>
      </c>
    </row>
    <row r="4183" customHeight="1" spans="1:10">
      <c r="A4183" s="1">
        <v>1438</v>
      </c>
      <c r="B4183" s="1">
        <v>2</v>
      </c>
      <c r="C4183" s="1">
        <v>140</v>
      </c>
      <c r="D4183" s="1">
        <v>1</v>
      </c>
      <c r="E4183" s="1">
        <v>4999.99</v>
      </c>
      <c r="F4183" s="1">
        <v>0.2</v>
      </c>
      <c r="G4183">
        <f t="shared" si="65"/>
        <v>4999.79</v>
      </c>
      <c r="H4183" t="str">
        <f>VLOOKUP(C4183,[1]products!$A:$B,2,FALSE)</f>
        <v>Trek Remedy 9.8 27.5 - 2018</v>
      </c>
      <c r="I4183">
        <f>VLOOKUP(C4183,[1]products!$A:$D,4,FALSE)</f>
        <v>6</v>
      </c>
      <c r="J4183" t="str">
        <f>VLOOKUP(I4183,[2]categories!$A$1:$B$8,2,FALSE)</f>
        <v>Mountain Bikes</v>
      </c>
    </row>
    <row r="4184" customHeight="1" spans="1:10">
      <c r="A4184" s="1">
        <v>1438</v>
      </c>
      <c r="B4184" s="1">
        <v>3</v>
      </c>
      <c r="C4184" s="1">
        <v>81</v>
      </c>
      <c r="D4184" s="1">
        <v>2</v>
      </c>
      <c r="E4184" s="1">
        <v>1099.99</v>
      </c>
      <c r="F4184" s="1">
        <v>0.05</v>
      </c>
      <c r="G4184">
        <f t="shared" si="65"/>
        <v>2199.93</v>
      </c>
      <c r="H4184" t="str">
        <f>VLOOKUP(C4184,[1]products!$A:$B,2,FALSE)</f>
        <v>Electra Amsterdam Fashion 7i Ladies' - 2017</v>
      </c>
      <c r="I4184">
        <f>VLOOKUP(C4184,[1]products!$A:$D,4,FALSE)</f>
        <v>3</v>
      </c>
      <c r="J4184" t="str">
        <f>VLOOKUP(I4184,[2]categories!$A$1:$B$8,2,FALSE)</f>
        <v>Cruisers Bicycles</v>
      </c>
    </row>
    <row r="4185" customHeight="1" spans="1:10">
      <c r="A4185" s="1">
        <v>1438</v>
      </c>
      <c r="B4185" s="1">
        <v>4</v>
      </c>
      <c r="C4185" s="1">
        <v>137</v>
      </c>
      <c r="D4185" s="1">
        <v>1</v>
      </c>
      <c r="E4185" s="1">
        <v>2599</v>
      </c>
      <c r="F4185" s="1">
        <v>0.1</v>
      </c>
      <c r="G4185">
        <f t="shared" si="65"/>
        <v>2598.9</v>
      </c>
      <c r="H4185" t="str">
        <f>VLOOKUP(C4185,[1]products!$A:$B,2,FALSE)</f>
        <v>Heller Shagamaw GX1 - 2018</v>
      </c>
      <c r="I4185">
        <f>VLOOKUP(C4185,[1]products!$A:$D,4,FALSE)</f>
        <v>6</v>
      </c>
      <c r="J4185" t="str">
        <f>VLOOKUP(I4185,[2]categories!$A$1:$B$8,2,FALSE)</f>
        <v>Mountain Bikes</v>
      </c>
    </row>
    <row r="4186" customHeight="1" spans="1:10">
      <c r="A4186" s="1">
        <v>1438</v>
      </c>
      <c r="B4186" s="1">
        <v>5</v>
      </c>
      <c r="C4186" s="1">
        <v>190</v>
      </c>
      <c r="D4186" s="1">
        <v>2</v>
      </c>
      <c r="E4186" s="1">
        <v>2799.99</v>
      </c>
      <c r="F4186" s="1">
        <v>0.07</v>
      </c>
      <c r="G4186">
        <f t="shared" si="65"/>
        <v>5599.91</v>
      </c>
      <c r="H4186" t="str">
        <f>VLOOKUP(C4186,[1]products!$A:$B,2,FALSE)</f>
        <v>Trek Dual Sport+ - 2018</v>
      </c>
      <c r="I4186">
        <f>VLOOKUP(C4186,[1]products!$A:$D,4,FALSE)</f>
        <v>5</v>
      </c>
      <c r="J4186" t="str">
        <f>VLOOKUP(I4186,[2]categories!$A$1:$B$8,2,FALSE)</f>
        <v>Electric Bikes</v>
      </c>
    </row>
    <row r="4187" customHeight="1" spans="1:10">
      <c r="A4187" s="1">
        <v>1439</v>
      </c>
      <c r="B4187" s="1">
        <v>1</v>
      </c>
      <c r="C4187" s="1">
        <v>42</v>
      </c>
      <c r="D4187" s="1">
        <v>1</v>
      </c>
      <c r="E4187" s="1">
        <v>2299.99</v>
      </c>
      <c r="F4187" s="1">
        <v>0.07</v>
      </c>
      <c r="G4187">
        <f t="shared" si="65"/>
        <v>2299.92</v>
      </c>
      <c r="H4187" t="str">
        <f>VLOOKUP(C4187,[1]products!$A:$B,2,FALSE)</f>
        <v>Trek Fuel EX 5 27.5 Plus - 2017</v>
      </c>
      <c r="I4187">
        <f>VLOOKUP(C4187,[1]products!$A:$D,4,FALSE)</f>
        <v>6</v>
      </c>
      <c r="J4187" t="str">
        <f>VLOOKUP(I4187,[2]categories!$A$1:$B$8,2,FALSE)</f>
        <v>Mountain Bikes</v>
      </c>
    </row>
    <row r="4188" customHeight="1" spans="1:10">
      <c r="A4188" s="1">
        <v>1439</v>
      </c>
      <c r="B4188" s="1">
        <v>2</v>
      </c>
      <c r="C4188" s="1">
        <v>263</v>
      </c>
      <c r="D4188" s="1">
        <v>1</v>
      </c>
      <c r="E4188" s="1">
        <v>89.99</v>
      </c>
      <c r="F4188" s="1">
        <v>0.2</v>
      </c>
      <c r="G4188">
        <f t="shared" si="65"/>
        <v>89.79</v>
      </c>
      <c r="H4188" t="str">
        <f>VLOOKUP(C4188,[1]products!$A:$B,2,FALSE)</f>
        <v>Strider Classic 12 Balance Bike - 2018</v>
      </c>
      <c r="I4188">
        <f>VLOOKUP(C4188,[1]products!$A:$D,4,FALSE)</f>
        <v>1</v>
      </c>
      <c r="J4188" t="str">
        <f>VLOOKUP(I4188,[2]categories!$A$1:$B$8,2,FALSE)</f>
        <v>Children Bicycles</v>
      </c>
    </row>
    <row r="4189" customHeight="1" spans="1:10">
      <c r="A4189" s="1">
        <v>1439</v>
      </c>
      <c r="B4189" s="1">
        <v>3</v>
      </c>
      <c r="C4189" s="1">
        <v>102</v>
      </c>
      <c r="D4189" s="1">
        <v>2</v>
      </c>
      <c r="E4189" s="1">
        <v>489.99</v>
      </c>
      <c r="F4189" s="1">
        <v>0.05</v>
      </c>
      <c r="G4189">
        <f t="shared" si="65"/>
        <v>979.93</v>
      </c>
      <c r="H4189" t="str">
        <f>VLOOKUP(C4189,[1]products!$A:$B,2,FALSE)</f>
        <v>Electra Townie Original 7D - 2017</v>
      </c>
      <c r="I4189">
        <f>VLOOKUP(C4189,[1]products!$A:$D,4,FALSE)</f>
        <v>2</v>
      </c>
      <c r="J4189" t="str">
        <f>VLOOKUP(I4189,[2]categories!$A$1:$B$8,2,FALSE)</f>
        <v>Comfort Bicycles</v>
      </c>
    </row>
    <row r="4190" customHeight="1" spans="1:10">
      <c r="A4190" s="1">
        <v>1439</v>
      </c>
      <c r="B4190" s="1">
        <v>4</v>
      </c>
      <c r="C4190" s="1">
        <v>149</v>
      </c>
      <c r="D4190" s="1">
        <v>1</v>
      </c>
      <c r="E4190" s="1">
        <v>7499.99</v>
      </c>
      <c r="F4190" s="1">
        <v>0.05</v>
      </c>
      <c r="G4190">
        <f t="shared" si="65"/>
        <v>7499.94</v>
      </c>
      <c r="H4190" t="str">
        <f>VLOOKUP(C4190,[1]products!$A:$B,2,FALSE)</f>
        <v>Trek Domane SLR 8 Disc - 2018</v>
      </c>
      <c r="I4190">
        <f>VLOOKUP(C4190,[1]products!$A:$D,4,FALSE)</f>
        <v>7</v>
      </c>
      <c r="J4190" t="str">
        <f>VLOOKUP(I4190,[2]categories!$A$1:$B$8,2,FALSE)</f>
        <v>Road Bikes</v>
      </c>
    </row>
    <row r="4191" customHeight="1" spans="1:10">
      <c r="A4191" s="1">
        <v>1440</v>
      </c>
      <c r="B4191" s="1">
        <v>1</v>
      </c>
      <c r="C4191" s="1">
        <v>116</v>
      </c>
      <c r="D4191" s="1">
        <v>2</v>
      </c>
      <c r="E4191" s="1">
        <v>749.99</v>
      </c>
      <c r="F4191" s="1">
        <v>0.07</v>
      </c>
      <c r="G4191">
        <f t="shared" si="65"/>
        <v>1499.91</v>
      </c>
      <c r="H4191" t="str">
        <f>VLOOKUP(C4191,[1]products!$A:$B,2,FALSE)</f>
        <v>Trek Marlin 7 - 2017/2018</v>
      </c>
      <c r="I4191">
        <f>VLOOKUP(C4191,[1]products!$A:$D,4,FALSE)</f>
        <v>6</v>
      </c>
      <c r="J4191" t="str">
        <f>VLOOKUP(I4191,[2]categories!$A$1:$B$8,2,FALSE)</f>
        <v>Mountain Bikes</v>
      </c>
    </row>
    <row r="4192" customHeight="1" spans="1:10">
      <c r="A4192" s="1">
        <v>1440</v>
      </c>
      <c r="B4192" s="1">
        <v>2</v>
      </c>
      <c r="C4192" s="1">
        <v>109</v>
      </c>
      <c r="D4192" s="1">
        <v>1</v>
      </c>
      <c r="E4192" s="1">
        <v>416.99</v>
      </c>
      <c r="F4192" s="1">
        <v>0.07</v>
      </c>
      <c r="G4192">
        <f t="shared" si="65"/>
        <v>416.92</v>
      </c>
      <c r="H4192" t="str">
        <f>VLOOKUP(C4192,[1]products!$A:$B,2,FALSE)</f>
        <v>Sun Bicycles Cruz 7 - Women's - 2017</v>
      </c>
      <c r="I4192">
        <f>VLOOKUP(C4192,[1]products!$A:$D,4,FALSE)</f>
        <v>2</v>
      </c>
      <c r="J4192" t="str">
        <f>VLOOKUP(I4192,[2]categories!$A$1:$B$8,2,FALSE)</f>
        <v>Comfort Bicycles</v>
      </c>
    </row>
    <row r="4193" customHeight="1" spans="1:10">
      <c r="A4193" s="1">
        <v>1440</v>
      </c>
      <c r="B4193" s="1">
        <v>3</v>
      </c>
      <c r="C4193" s="1">
        <v>186</v>
      </c>
      <c r="D4193" s="1">
        <v>1</v>
      </c>
      <c r="E4193" s="1">
        <v>4499.99</v>
      </c>
      <c r="F4193" s="1">
        <v>0.1</v>
      </c>
      <c r="G4193">
        <f t="shared" si="65"/>
        <v>4499.89</v>
      </c>
      <c r="H4193" t="str">
        <f>VLOOKUP(C4193,[1]products!$A:$B,2,FALSE)</f>
        <v>Trek CrossRip+ - 2018</v>
      </c>
      <c r="I4193">
        <f>VLOOKUP(C4193,[1]products!$A:$D,4,FALSE)</f>
        <v>5</v>
      </c>
      <c r="J4193" t="str">
        <f>VLOOKUP(I4193,[2]categories!$A$1:$B$8,2,FALSE)</f>
        <v>Electric Bikes</v>
      </c>
    </row>
    <row r="4194" customHeight="1" spans="1:10">
      <c r="A4194" s="1">
        <v>1440</v>
      </c>
      <c r="B4194" s="1">
        <v>4</v>
      </c>
      <c r="C4194" s="1">
        <v>178</v>
      </c>
      <c r="D4194" s="1">
        <v>2</v>
      </c>
      <c r="E4194" s="1">
        <v>749.99</v>
      </c>
      <c r="F4194" s="1">
        <v>0.05</v>
      </c>
      <c r="G4194">
        <f t="shared" si="65"/>
        <v>1499.93</v>
      </c>
      <c r="H4194" t="str">
        <f>VLOOKUP(C4194,[1]products!$A:$B,2,FALSE)</f>
        <v>Trek Domane AL 2 - 2018</v>
      </c>
      <c r="I4194">
        <f>VLOOKUP(C4194,[1]products!$A:$D,4,FALSE)</f>
        <v>7</v>
      </c>
      <c r="J4194" t="str">
        <f>VLOOKUP(I4194,[2]categories!$A$1:$B$8,2,FALSE)</f>
        <v>Road Bikes</v>
      </c>
    </row>
    <row r="4195" customHeight="1" spans="1:10">
      <c r="A4195" s="1">
        <v>1440</v>
      </c>
      <c r="B4195" s="1">
        <v>5</v>
      </c>
      <c r="C4195" s="1">
        <v>67</v>
      </c>
      <c r="D4195" s="1">
        <v>2</v>
      </c>
      <c r="E4195" s="1">
        <v>250.99</v>
      </c>
      <c r="F4195" s="1">
        <v>0.2</v>
      </c>
      <c r="G4195">
        <f t="shared" si="65"/>
        <v>501.78</v>
      </c>
      <c r="H4195" t="str">
        <f>VLOOKUP(C4195,[1]products!$A:$B,2,FALSE)</f>
        <v>Sun Bicycles Revolutions 24 - Girl's - 2017</v>
      </c>
      <c r="I4195">
        <f>VLOOKUP(C4195,[1]products!$A:$D,4,FALSE)</f>
        <v>3</v>
      </c>
      <c r="J4195" t="str">
        <f>VLOOKUP(I4195,[2]categories!$A$1:$B$8,2,FALSE)</f>
        <v>Cruisers Bicycles</v>
      </c>
    </row>
    <row r="4196" customHeight="1" spans="1:10">
      <c r="A4196" s="1">
        <v>1441</v>
      </c>
      <c r="B4196" s="1">
        <v>1</v>
      </c>
      <c r="C4196" s="1">
        <v>6</v>
      </c>
      <c r="D4196" s="1">
        <v>1</v>
      </c>
      <c r="E4196" s="1">
        <v>469.99</v>
      </c>
      <c r="F4196" s="1">
        <v>0.05</v>
      </c>
      <c r="G4196">
        <f t="shared" si="65"/>
        <v>469.94</v>
      </c>
      <c r="H4196" t="str">
        <f>VLOOKUP(C4196,[1]products!$A:$B,2,FALSE)</f>
        <v>Surly Ice Cream Truck Frameset - 2016</v>
      </c>
      <c r="I4196">
        <f>VLOOKUP(C4196,[1]products!$A:$D,4,FALSE)</f>
        <v>6</v>
      </c>
      <c r="J4196" t="str">
        <f>VLOOKUP(I4196,[2]categories!$A$1:$B$8,2,FALSE)</f>
        <v>Mountain Bikes</v>
      </c>
    </row>
    <row r="4197" customHeight="1" spans="1:10">
      <c r="A4197" s="1">
        <v>1441</v>
      </c>
      <c r="B4197" s="1">
        <v>2</v>
      </c>
      <c r="C4197" s="1">
        <v>242</v>
      </c>
      <c r="D4197" s="1">
        <v>2</v>
      </c>
      <c r="E4197" s="1">
        <v>699.99</v>
      </c>
      <c r="F4197" s="1">
        <v>0.2</v>
      </c>
      <c r="G4197">
        <f t="shared" si="65"/>
        <v>1399.78</v>
      </c>
      <c r="H4197" t="str">
        <f>VLOOKUP(C4197,[1]products!$A:$B,2,FALSE)</f>
        <v>Electra Townie Commute 8D Ladies' - 2018</v>
      </c>
      <c r="I4197">
        <f>VLOOKUP(C4197,[1]products!$A:$D,4,FALSE)</f>
        <v>3</v>
      </c>
      <c r="J4197" t="str">
        <f>VLOOKUP(I4197,[2]categories!$A$1:$B$8,2,FALSE)</f>
        <v>Cruisers Bicycles</v>
      </c>
    </row>
    <row r="4198" customHeight="1" spans="1:10">
      <c r="A4198" s="1">
        <v>1441</v>
      </c>
      <c r="B4198" s="1">
        <v>3</v>
      </c>
      <c r="C4198" s="1">
        <v>46</v>
      </c>
      <c r="D4198" s="1">
        <v>1</v>
      </c>
      <c r="E4198" s="1">
        <v>1409.99</v>
      </c>
      <c r="F4198" s="1">
        <v>0.07</v>
      </c>
      <c r="G4198">
        <f t="shared" si="65"/>
        <v>1409.92</v>
      </c>
      <c r="H4198" t="str">
        <f>VLOOKUP(C4198,[1]products!$A:$B,2,FALSE)</f>
        <v>Haro SR 1.3 - 2017</v>
      </c>
      <c r="I4198">
        <f>VLOOKUP(C4198,[1]products!$A:$D,4,FALSE)</f>
        <v>6</v>
      </c>
      <c r="J4198" t="str">
        <f>VLOOKUP(I4198,[2]categories!$A$1:$B$8,2,FALSE)</f>
        <v>Mountain Bikes</v>
      </c>
    </row>
    <row r="4199" customHeight="1" spans="1:10">
      <c r="A4199" s="1">
        <v>1442</v>
      </c>
      <c r="B4199" s="1">
        <v>1</v>
      </c>
      <c r="C4199" s="1">
        <v>160</v>
      </c>
      <c r="D4199" s="1">
        <v>1</v>
      </c>
      <c r="E4199" s="1">
        <v>4499.99</v>
      </c>
      <c r="F4199" s="1">
        <v>0.1</v>
      </c>
      <c r="G4199">
        <f t="shared" si="65"/>
        <v>4499.89</v>
      </c>
      <c r="H4199" t="str">
        <f>VLOOKUP(C4199,[1]products!$A:$B,2,FALSE)</f>
        <v>Trek Emonda SLR 6 - 2018</v>
      </c>
      <c r="I4199">
        <f>VLOOKUP(C4199,[1]products!$A:$D,4,FALSE)</f>
        <v>7</v>
      </c>
      <c r="J4199" t="str">
        <f>VLOOKUP(I4199,[2]categories!$A$1:$B$8,2,FALSE)</f>
        <v>Road Bikes</v>
      </c>
    </row>
    <row r="4200" customHeight="1" spans="1:10">
      <c r="A4200" s="1">
        <v>1442</v>
      </c>
      <c r="B4200" s="1">
        <v>2</v>
      </c>
      <c r="C4200" s="1">
        <v>220</v>
      </c>
      <c r="D4200" s="1">
        <v>1</v>
      </c>
      <c r="E4200" s="1">
        <v>269.99</v>
      </c>
      <c r="F4200" s="1">
        <v>0.07</v>
      </c>
      <c r="G4200">
        <f t="shared" si="65"/>
        <v>269.92</v>
      </c>
      <c r="H4200" t="str">
        <f>VLOOKUP(C4200,[1]products!$A:$B,2,FALSE)</f>
        <v>Electra Cruiser 1 Ladies' - 2018</v>
      </c>
      <c r="I4200">
        <f>VLOOKUP(C4200,[1]products!$A:$D,4,FALSE)</f>
        <v>3</v>
      </c>
      <c r="J4200" t="str">
        <f>VLOOKUP(I4200,[2]categories!$A$1:$B$8,2,FALSE)</f>
        <v>Cruisers Bicycles</v>
      </c>
    </row>
    <row r="4201" customHeight="1" spans="1:10">
      <c r="A4201" s="1">
        <v>1442</v>
      </c>
      <c r="B4201" s="1">
        <v>3</v>
      </c>
      <c r="C4201" s="1">
        <v>271</v>
      </c>
      <c r="D4201" s="1">
        <v>2</v>
      </c>
      <c r="E4201" s="1">
        <v>209.99</v>
      </c>
      <c r="F4201" s="1">
        <v>0.05</v>
      </c>
      <c r="G4201">
        <f t="shared" si="65"/>
        <v>419.93</v>
      </c>
      <c r="H4201" t="str">
        <f>VLOOKUP(C4201,[1]products!$A:$B,2,FALSE)</f>
        <v>Trek Precaliber 16 Girl's - 2018</v>
      </c>
      <c r="I4201">
        <f>VLOOKUP(C4201,[1]products!$A:$D,4,FALSE)</f>
        <v>1</v>
      </c>
      <c r="J4201" t="str">
        <f>VLOOKUP(I4201,[2]categories!$A$1:$B$8,2,FALSE)</f>
        <v>Children Bicycles</v>
      </c>
    </row>
    <row r="4202" customHeight="1" spans="1:10">
      <c r="A4202" s="1">
        <v>1443</v>
      </c>
      <c r="B4202" s="1">
        <v>1</v>
      </c>
      <c r="C4202" s="1">
        <v>160</v>
      </c>
      <c r="D4202" s="1">
        <v>1</v>
      </c>
      <c r="E4202" s="1">
        <v>4499.99</v>
      </c>
      <c r="F4202" s="1">
        <v>0.07</v>
      </c>
      <c r="G4202">
        <f t="shared" si="65"/>
        <v>4499.92</v>
      </c>
      <c r="H4202" t="str">
        <f>VLOOKUP(C4202,[1]products!$A:$B,2,FALSE)</f>
        <v>Trek Emonda SLR 6 - 2018</v>
      </c>
      <c r="I4202">
        <f>VLOOKUP(C4202,[1]products!$A:$D,4,FALSE)</f>
        <v>7</v>
      </c>
      <c r="J4202" t="str">
        <f>VLOOKUP(I4202,[2]categories!$A$1:$B$8,2,FALSE)</f>
        <v>Road Bikes</v>
      </c>
    </row>
    <row r="4203" customHeight="1" spans="1:10">
      <c r="A4203" s="1">
        <v>1443</v>
      </c>
      <c r="B4203" s="1">
        <v>2</v>
      </c>
      <c r="C4203" s="1">
        <v>57</v>
      </c>
      <c r="D4203" s="1">
        <v>1</v>
      </c>
      <c r="E4203" s="1">
        <v>1999.99</v>
      </c>
      <c r="F4203" s="1">
        <v>0.2</v>
      </c>
      <c r="G4203">
        <f t="shared" si="65"/>
        <v>1999.79</v>
      </c>
      <c r="H4203" t="str">
        <f>VLOOKUP(C4203,[1]products!$A:$B,2,FALSE)</f>
        <v>Trek Emonda S 5 - 2017</v>
      </c>
      <c r="I4203">
        <f>VLOOKUP(C4203,[1]products!$A:$D,4,FALSE)</f>
        <v>7</v>
      </c>
      <c r="J4203" t="str">
        <f>VLOOKUP(I4203,[2]categories!$A$1:$B$8,2,FALSE)</f>
        <v>Road Bikes</v>
      </c>
    </row>
    <row r="4204" customHeight="1" spans="1:10">
      <c r="A4204" s="1">
        <v>1443</v>
      </c>
      <c r="B4204" s="1">
        <v>3</v>
      </c>
      <c r="C4204" s="1">
        <v>101</v>
      </c>
      <c r="D4204" s="1">
        <v>2</v>
      </c>
      <c r="E4204" s="1">
        <v>339.99</v>
      </c>
      <c r="F4204" s="1">
        <v>0.1</v>
      </c>
      <c r="G4204">
        <f t="shared" si="65"/>
        <v>679.88</v>
      </c>
      <c r="H4204" t="str">
        <f>VLOOKUP(C4204,[1]products!$A:$B,2,FALSE)</f>
        <v>Electra Townie 7D (20-inch) - Boys' - 2017</v>
      </c>
      <c r="I4204">
        <f>VLOOKUP(C4204,[1]products!$A:$D,4,FALSE)</f>
        <v>1</v>
      </c>
      <c r="J4204" t="str">
        <f>VLOOKUP(I4204,[2]categories!$A$1:$B$8,2,FALSE)</f>
        <v>Children Bicycles</v>
      </c>
    </row>
    <row r="4205" customHeight="1" spans="1:10">
      <c r="A4205" s="1">
        <v>1444</v>
      </c>
      <c r="B4205" s="1">
        <v>1</v>
      </c>
      <c r="C4205" s="1">
        <v>90</v>
      </c>
      <c r="D4205" s="1">
        <v>1</v>
      </c>
      <c r="E4205" s="1">
        <v>209.99</v>
      </c>
      <c r="F4205" s="1">
        <v>0.1</v>
      </c>
      <c r="G4205">
        <f t="shared" si="65"/>
        <v>209.89</v>
      </c>
      <c r="H4205" t="str">
        <f>VLOOKUP(C4205,[1]products!$A:$B,2,FALSE)</f>
        <v>Trek Precaliber 16 Girls - 2017</v>
      </c>
      <c r="I4205">
        <f>VLOOKUP(C4205,[1]products!$A:$D,4,FALSE)</f>
        <v>1</v>
      </c>
      <c r="J4205" t="str">
        <f>VLOOKUP(I4205,[2]categories!$A$1:$B$8,2,FALSE)</f>
        <v>Children Bicycles</v>
      </c>
    </row>
    <row r="4206" customHeight="1" spans="1:10">
      <c r="A4206" s="1">
        <v>1444</v>
      </c>
      <c r="B4206" s="1">
        <v>2</v>
      </c>
      <c r="C4206" s="1">
        <v>128</v>
      </c>
      <c r="D4206" s="1">
        <v>2</v>
      </c>
      <c r="E4206" s="1">
        <v>1899</v>
      </c>
      <c r="F4206" s="1">
        <v>0.2</v>
      </c>
      <c r="G4206">
        <f t="shared" si="65"/>
        <v>3797.8</v>
      </c>
      <c r="H4206" t="str">
        <f>VLOOKUP(C4206,[1]products!$A:$B,2,FALSE)</f>
        <v>Surly ECR 27.5 - 2018</v>
      </c>
      <c r="I4206">
        <f>VLOOKUP(C4206,[1]products!$A:$D,4,FALSE)</f>
        <v>6</v>
      </c>
      <c r="J4206" t="str">
        <f>VLOOKUP(I4206,[2]categories!$A$1:$B$8,2,FALSE)</f>
        <v>Mountain Bikes</v>
      </c>
    </row>
    <row r="4207" customHeight="1" spans="1:10">
      <c r="A4207" s="1">
        <v>1445</v>
      </c>
      <c r="B4207" s="1">
        <v>1</v>
      </c>
      <c r="C4207" s="1">
        <v>219</v>
      </c>
      <c r="D4207" s="1">
        <v>2</v>
      </c>
      <c r="E4207" s="1">
        <v>639.99</v>
      </c>
      <c r="F4207" s="1">
        <v>0.1</v>
      </c>
      <c r="G4207">
        <f t="shared" si="65"/>
        <v>1279.88</v>
      </c>
      <c r="H4207" t="str">
        <f>VLOOKUP(C4207,[1]products!$A:$B,2,FALSE)</f>
        <v>Electra Moto 3i - 2018</v>
      </c>
      <c r="I4207">
        <f>VLOOKUP(C4207,[1]products!$A:$D,4,FALSE)</f>
        <v>3</v>
      </c>
      <c r="J4207" t="str">
        <f>VLOOKUP(I4207,[2]categories!$A$1:$B$8,2,FALSE)</f>
        <v>Cruisers Bicycles</v>
      </c>
    </row>
    <row r="4208" customHeight="1" spans="1:10">
      <c r="A4208" s="1">
        <v>1445</v>
      </c>
      <c r="B4208" s="1">
        <v>2</v>
      </c>
      <c r="C4208" s="1">
        <v>52</v>
      </c>
      <c r="D4208" s="1">
        <v>1</v>
      </c>
      <c r="E4208" s="1">
        <v>875.99</v>
      </c>
      <c r="F4208" s="1">
        <v>0.07</v>
      </c>
      <c r="G4208">
        <f t="shared" si="65"/>
        <v>875.92</v>
      </c>
      <c r="H4208" t="str">
        <f>VLOOKUP(C4208,[1]products!$A:$B,2,FALSE)</f>
        <v>Surly Steamroller - 2017</v>
      </c>
      <c r="I4208">
        <f>VLOOKUP(C4208,[1]products!$A:$D,4,FALSE)</f>
        <v>7</v>
      </c>
      <c r="J4208" t="str">
        <f>VLOOKUP(I4208,[2]categories!$A$1:$B$8,2,FALSE)</f>
        <v>Road Bikes</v>
      </c>
    </row>
    <row r="4209" customHeight="1" spans="1:10">
      <c r="A4209" s="1">
        <v>1445</v>
      </c>
      <c r="B4209" s="1">
        <v>3</v>
      </c>
      <c r="C4209" s="1">
        <v>123</v>
      </c>
      <c r="D4209" s="1">
        <v>2</v>
      </c>
      <c r="E4209" s="1">
        <v>999.99</v>
      </c>
      <c r="F4209" s="1">
        <v>0.1</v>
      </c>
      <c r="G4209">
        <f t="shared" si="65"/>
        <v>1999.88</v>
      </c>
      <c r="H4209" t="str">
        <f>VLOOKUP(C4209,[1]products!$A:$B,2,FALSE)</f>
        <v>Trek Farley Carbon Frameset - 2018</v>
      </c>
      <c r="I4209">
        <f>VLOOKUP(C4209,[1]products!$A:$D,4,FALSE)</f>
        <v>6</v>
      </c>
      <c r="J4209" t="str">
        <f>VLOOKUP(I4209,[2]categories!$A$1:$B$8,2,FALSE)</f>
        <v>Mountain Bikes</v>
      </c>
    </row>
    <row r="4210" customHeight="1" spans="1:10">
      <c r="A4210" s="1">
        <v>1446</v>
      </c>
      <c r="B4210" s="1">
        <v>1</v>
      </c>
      <c r="C4210" s="1">
        <v>227</v>
      </c>
      <c r="D4210" s="1">
        <v>1</v>
      </c>
      <c r="E4210" s="1">
        <v>319.99</v>
      </c>
      <c r="F4210" s="1">
        <v>0.05</v>
      </c>
      <c r="G4210">
        <f t="shared" si="65"/>
        <v>319.94</v>
      </c>
      <c r="H4210" t="str">
        <f>VLOOKUP(C4210,[1]products!$A:$B,2,FALSE)</f>
        <v>Electra Cruiser 7D (24-Inch) Ladies' - 2016/2018</v>
      </c>
      <c r="I4210">
        <f>VLOOKUP(C4210,[1]products!$A:$D,4,FALSE)</f>
        <v>3</v>
      </c>
      <c r="J4210" t="str">
        <f>VLOOKUP(I4210,[2]categories!$A$1:$B$8,2,FALSE)</f>
        <v>Cruisers Bicycles</v>
      </c>
    </row>
    <row r="4211" customHeight="1" spans="1:10">
      <c r="A4211" s="1">
        <v>1446</v>
      </c>
      <c r="B4211" s="1">
        <v>2</v>
      </c>
      <c r="C4211" s="1">
        <v>233</v>
      </c>
      <c r="D4211" s="1">
        <v>2</v>
      </c>
      <c r="E4211" s="1">
        <v>639.99</v>
      </c>
      <c r="F4211" s="1">
        <v>0.05</v>
      </c>
      <c r="G4211">
        <f t="shared" si="65"/>
        <v>1279.93</v>
      </c>
      <c r="H4211" t="str">
        <f>VLOOKUP(C4211,[1]products!$A:$B,2,FALSE)</f>
        <v>Electra Cruiser Lux Fat Tire 7D - 2018</v>
      </c>
      <c r="I4211">
        <f>VLOOKUP(C4211,[1]products!$A:$D,4,FALSE)</f>
        <v>3</v>
      </c>
      <c r="J4211" t="str">
        <f>VLOOKUP(I4211,[2]categories!$A$1:$B$8,2,FALSE)</f>
        <v>Cruisers Bicycles</v>
      </c>
    </row>
    <row r="4212" customHeight="1" spans="1:10">
      <c r="A4212" s="1">
        <v>1446</v>
      </c>
      <c r="B4212" s="1">
        <v>3</v>
      </c>
      <c r="C4212" s="1">
        <v>234</v>
      </c>
      <c r="D4212" s="1">
        <v>2</v>
      </c>
      <c r="E4212" s="1">
        <v>899.99</v>
      </c>
      <c r="F4212" s="1">
        <v>0.05</v>
      </c>
      <c r="G4212">
        <f t="shared" si="65"/>
        <v>1799.93</v>
      </c>
      <c r="H4212" t="str">
        <f>VLOOKUP(C4212,[1]products!$A:$B,2,FALSE)</f>
        <v>Electra Daydreamer 3i Ladies' - 2018</v>
      </c>
      <c r="I4212">
        <f>VLOOKUP(C4212,[1]products!$A:$D,4,FALSE)</f>
        <v>3</v>
      </c>
      <c r="J4212" t="str">
        <f>VLOOKUP(I4212,[2]categories!$A$1:$B$8,2,FALSE)</f>
        <v>Cruisers Bicycles</v>
      </c>
    </row>
    <row r="4213" customHeight="1" spans="1:10">
      <c r="A4213" s="1">
        <v>1447</v>
      </c>
      <c r="B4213" s="1">
        <v>1</v>
      </c>
      <c r="C4213" s="1">
        <v>148</v>
      </c>
      <c r="D4213" s="1">
        <v>1</v>
      </c>
      <c r="E4213" s="1">
        <v>5499.99</v>
      </c>
      <c r="F4213" s="1">
        <v>0.2</v>
      </c>
      <c r="G4213">
        <f t="shared" si="65"/>
        <v>5499.79</v>
      </c>
      <c r="H4213" t="str">
        <f>VLOOKUP(C4213,[1]products!$A:$B,2,FALSE)</f>
        <v>Trek Domane SL 8 Disc - 2018</v>
      </c>
      <c r="I4213">
        <f>VLOOKUP(C4213,[1]products!$A:$D,4,FALSE)</f>
        <v>7</v>
      </c>
      <c r="J4213" t="str">
        <f>VLOOKUP(I4213,[2]categories!$A$1:$B$8,2,FALSE)</f>
        <v>Road Bikes</v>
      </c>
    </row>
    <row r="4214" customHeight="1" spans="1:10">
      <c r="A4214" s="1">
        <v>1448</v>
      </c>
      <c r="B4214" s="1">
        <v>1</v>
      </c>
      <c r="C4214" s="1">
        <v>239</v>
      </c>
      <c r="D4214" s="1">
        <v>1</v>
      </c>
      <c r="E4214" s="1">
        <v>749.99</v>
      </c>
      <c r="F4214" s="1">
        <v>0.1</v>
      </c>
      <c r="G4214">
        <f t="shared" si="65"/>
        <v>749.89</v>
      </c>
      <c r="H4214" t="str">
        <f>VLOOKUP(C4214,[1]products!$A:$B,2,FALSE)</f>
        <v>Electra Townie Balloon 8D EQ Ladies' - 2016/2017/2018</v>
      </c>
      <c r="I4214">
        <f>VLOOKUP(C4214,[1]products!$A:$D,4,FALSE)</f>
        <v>3</v>
      </c>
      <c r="J4214" t="str">
        <f>VLOOKUP(I4214,[2]categories!$A$1:$B$8,2,FALSE)</f>
        <v>Cruisers Bicycles</v>
      </c>
    </row>
    <row r="4215" customHeight="1" spans="1:10">
      <c r="A4215" s="1">
        <v>1449</v>
      </c>
      <c r="B4215" s="1">
        <v>1</v>
      </c>
      <c r="C4215" s="1">
        <v>159</v>
      </c>
      <c r="D4215" s="1">
        <v>1</v>
      </c>
      <c r="E4215" s="1">
        <v>2299.99</v>
      </c>
      <c r="F4215" s="1">
        <v>0.07</v>
      </c>
      <c r="G4215">
        <f t="shared" si="65"/>
        <v>2299.92</v>
      </c>
      <c r="H4215" t="str">
        <f>VLOOKUP(C4215,[1]products!$A:$B,2,FALSE)</f>
        <v>Trek Emonda ALR 6 - 2018</v>
      </c>
      <c r="I4215">
        <f>VLOOKUP(C4215,[1]products!$A:$D,4,FALSE)</f>
        <v>7</v>
      </c>
      <c r="J4215" t="str">
        <f>VLOOKUP(I4215,[2]categories!$A$1:$B$8,2,FALSE)</f>
        <v>Road Bikes</v>
      </c>
    </row>
    <row r="4216" customHeight="1" spans="1:10">
      <c r="A4216" s="1">
        <v>1449</v>
      </c>
      <c r="B4216" s="1">
        <v>2</v>
      </c>
      <c r="C4216" s="1">
        <v>55</v>
      </c>
      <c r="D4216" s="1">
        <v>1</v>
      </c>
      <c r="E4216" s="1">
        <v>2699.99</v>
      </c>
      <c r="F4216" s="1">
        <v>0.2</v>
      </c>
      <c r="G4216">
        <f t="shared" si="65"/>
        <v>2699.79</v>
      </c>
      <c r="H4216" t="str">
        <f>VLOOKUP(C4216,[1]products!$A:$B,2,FALSE)</f>
        <v>Trek Domane S 6 - 2017</v>
      </c>
      <c r="I4216">
        <f>VLOOKUP(C4216,[1]products!$A:$D,4,FALSE)</f>
        <v>7</v>
      </c>
      <c r="J4216" t="str">
        <f>VLOOKUP(I4216,[2]categories!$A$1:$B$8,2,FALSE)</f>
        <v>Road Bikes</v>
      </c>
    </row>
    <row r="4217" customHeight="1" spans="1:10">
      <c r="A4217" s="1">
        <v>1449</v>
      </c>
      <c r="B4217" s="1">
        <v>3</v>
      </c>
      <c r="C4217" s="1">
        <v>260</v>
      </c>
      <c r="D4217" s="1">
        <v>2</v>
      </c>
      <c r="E4217" s="1">
        <v>799.99</v>
      </c>
      <c r="F4217" s="1">
        <v>0.07</v>
      </c>
      <c r="G4217">
        <f t="shared" si="65"/>
        <v>1599.91</v>
      </c>
      <c r="H4217" t="str">
        <f>VLOOKUP(C4217,[1]products!$A:$B,2,FALSE)</f>
        <v>Electra Townie Balloon 3i EQ Ladies' - 2018</v>
      </c>
      <c r="I4217">
        <f>VLOOKUP(C4217,[1]products!$A:$D,4,FALSE)</f>
        <v>3</v>
      </c>
      <c r="J4217" t="str">
        <f>VLOOKUP(I4217,[2]categories!$A$1:$B$8,2,FALSE)</f>
        <v>Cruisers Bicycles</v>
      </c>
    </row>
    <row r="4218" customHeight="1" spans="1:10">
      <c r="A4218" s="1">
        <v>1449</v>
      </c>
      <c r="B4218" s="1">
        <v>4</v>
      </c>
      <c r="C4218" s="1">
        <v>252</v>
      </c>
      <c r="D4218" s="1">
        <v>2</v>
      </c>
      <c r="E4218" s="1">
        <v>2999.99</v>
      </c>
      <c r="F4218" s="1">
        <v>0.05</v>
      </c>
      <c r="G4218">
        <f t="shared" si="65"/>
        <v>5999.93</v>
      </c>
      <c r="H4218" t="str">
        <f>VLOOKUP(C4218,[1]products!$A:$B,2,FALSE)</f>
        <v>Electra Townie Commute Go! Ladies' - 2018</v>
      </c>
      <c r="I4218">
        <f>VLOOKUP(C4218,[1]products!$A:$D,4,FALSE)</f>
        <v>3</v>
      </c>
      <c r="J4218" t="str">
        <f>VLOOKUP(I4218,[2]categories!$A$1:$B$8,2,FALSE)</f>
        <v>Cruisers Bicycles</v>
      </c>
    </row>
    <row r="4219" customHeight="1" spans="1:10">
      <c r="A4219" s="1">
        <v>1449</v>
      </c>
      <c r="B4219" s="1">
        <v>5</v>
      </c>
      <c r="C4219" s="1">
        <v>14</v>
      </c>
      <c r="D4219" s="1">
        <v>2</v>
      </c>
      <c r="E4219" s="1">
        <v>269.99</v>
      </c>
      <c r="F4219" s="1">
        <v>0.1</v>
      </c>
      <c r="G4219">
        <f t="shared" si="65"/>
        <v>539.88</v>
      </c>
      <c r="H4219" t="str">
        <f>VLOOKUP(C4219,[1]products!$A:$B,2,FALSE)</f>
        <v>Electra Girl's Hawaii 1 (16-inch) - 2015/2016</v>
      </c>
      <c r="I4219">
        <f>VLOOKUP(C4219,[1]products!$A:$D,4,FALSE)</f>
        <v>3</v>
      </c>
      <c r="J4219" t="str">
        <f>VLOOKUP(I4219,[2]categories!$A$1:$B$8,2,FALSE)</f>
        <v>Cruisers Bicycles</v>
      </c>
    </row>
    <row r="4220" customHeight="1" spans="1:10">
      <c r="A4220" s="1">
        <v>1450</v>
      </c>
      <c r="B4220" s="1">
        <v>1</v>
      </c>
      <c r="C4220" s="1">
        <v>98</v>
      </c>
      <c r="D4220" s="1">
        <v>1</v>
      </c>
      <c r="E4220" s="1">
        <v>489.99</v>
      </c>
      <c r="F4220" s="1">
        <v>0.07</v>
      </c>
      <c r="G4220">
        <f t="shared" si="65"/>
        <v>489.92</v>
      </c>
      <c r="H4220" t="str">
        <f>VLOOKUP(C4220,[1]products!$A:$B,2,FALSE)</f>
        <v>Electra Straight 8 3i (20-inch) - Boy's - 2017</v>
      </c>
      <c r="I4220">
        <f>VLOOKUP(C4220,[1]products!$A:$D,4,FALSE)</f>
        <v>1</v>
      </c>
      <c r="J4220" t="str">
        <f>VLOOKUP(I4220,[2]categories!$A$1:$B$8,2,FALSE)</f>
        <v>Children Bicycles</v>
      </c>
    </row>
    <row r="4221" customHeight="1" spans="1:10">
      <c r="A4221" s="1">
        <v>1450</v>
      </c>
      <c r="B4221" s="1">
        <v>2</v>
      </c>
      <c r="C4221" s="1">
        <v>173</v>
      </c>
      <c r="D4221" s="1">
        <v>2</v>
      </c>
      <c r="E4221" s="1">
        <v>3199.99</v>
      </c>
      <c r="F4221" s="1">
        <v>0.1</v>
      </c>
      <c r="G4221">
        <f t="shared" si="65"/>
        <v>6399.88</v>
      </c>
      <c r="H4221" t="str">
        <f>VLOOKUP(C4221,[1]products!$A:$B,2,FALSE)</f>
        <v>Trek Domane ALR Frameset - 2018</v>
      </c>
      <c r="I4221">
        <f>VLOOKUP(C4221,[1]products!$A:$D,4,FALSE)</f>
        <v>7</v>
      </c>
      <c r="J4221" t="str">
        <f>VLOOKUP(I4221,[2]categories!$A$1:$B$8,2,FALSE)</f>
        <v>Road Bikes</v>
      </c>
    </row>
    <row r="4222" customHeight="1" spans="1:10">
      <c r="A4222" s="1">
        <v>1450</v>
      </c>
      <c r="B4222" s="1">
        <v>3</v>
      </c>
      <c r="C4222" s="1">
        <v>299</v>
      </c>
      <c r="D4222" s="1">
        <v>1</v>
      </c>
      <c r="E4222" s="1">
        <v>559.99</v>
      </c>
      <c r="F4222" s="1">
        <v>0.2</v>
      </c>
      <c r="G4222">
        <f t="shared" si="65"/>
        <v>559.79</v>
      </c>
      <c r="H4222" t="str">
        <f>VLOOKUP(C4222,[1]products!$A:$B,2,FALSE)</f>
        <v>Electra Townie Original 21D - 2018</v>
      </c>
      <c r="I4222">
        <f>VLOOKUP(C4222,[1]products!$A:$D,4,FALSE)</f>
        <v>2</v>
      </c>
      <c r="J4222" t="str">
        <f>VLOOKUP(I4222,[2]categories!$A$1:$B$8,2,FALSE)</f>
        <v>Comfort Bicycles</v>
      </c>
    </row>
    <row r="4223" customHeight="1" spans="1:10">
      <c r="A4223" s="1">
        <v>1450</v>
      </c>
      <c r="B4223" s="1">
        <v>4</v>
      </c>
      <c r="C4223" s="1">
        <v>209</v>
      </c>
      <c r="D4223" s="1">
        <v>2</v>
      </c>
      <c r="E4223" s="1">
        <v>2999.99</v>
      </c>
      <c r="F4223" s="1">
        <v>0.1</v>
      </c>
      <c r="G4223">
        <f t="shared" si="65"/>
        <v>5999.88</v>
      </c>
      <c r="H4223" t="str">
        <f>VLOOKUP(C4223,[1]products!$A:$B,2,FALSE)</f>
        <v>Trek Crockett 7 Disc - 2018</v>
      </c>
      <c r="I4223">
        <f>VLOOKUP(C4223,[1]products!$A:$D,4,FALSE)</f>
        <v>4</v>
      </c>
      <c r="J4223" t="str">
        <f>VLOOKUP(I4223,[2]categories!$A$1:$B$8,2,FALSE)</f>
        <v>Cyclocross Bicycles</v>
      </c>
    </row>
    <row r="4224" customHeight="1" spans="1:10">
      <c r="A4224" s="1">
        <v>1450</v>
      </c>
      <c r="B4224" s="1">
        <v>5</v>
      </c>
      <c r="C4224" s="1">
        <v>235</v>
      </c>
      <c r="D4224" s="1">
        <v>2</v>
      </c>
      <c r="E4224" s="1">
        <v>899.99</v>
      </c>
      <c r="F4224" s="1">
        <v>0.05</v>
      </c>
      <c r="G4224">
        <f t="shared" si="65"/>
        <v>1799.93</v>
      </c>
      <c r="H4224" t="str">
        <f>VLOOKUP(C4224,[1]products!$A:$B,2,FALSE)</f>
        <v>Electra Koa 3i Ladies' - 2018</v>
      </c>
      <c r="I4224">
        <f>VLOOKUP(C4224,[1]products!$A:$D,4,FALSE)</f>
        <v>3</v>
      </c>
      <c r="J4224" t="str">
        <f>VLOOKUP(I4224,[2]categories!$A$1:$B$8,2,FALSE)</f>
        <v>Cruisers Bicycles</v>
      </c>
    </row>
    <row r="4225" customHeight="1" spans="1:10">
      <c r="A4225" s="1">
        <v>1451</v>
      </c>
      <c r="B4225" s="1">
        <v>1</v>
      </c>
      <c r="C4225" s="1">
        <v>117</v>
      </c>
      <c r="D4225" s="1">
        <v>1</v>
      </c>
      <c r="E4225" s="1">
        <v>1469.99</v>
      </c>
      <c r="F4225" s="1">
        <v>0.05</v>
      </c>
      <c r="G4225">
        <f t="shared" si="65"/>
        <v>1469.94</v>
      </c>
      <c r="H4225" t="str">
        <f>VLOOKUP(C4225,[1]products!$A:$B,2,FALSE)</f>
        <v>Trek Ticket S Frame - 2018</v>
      </c>
      <c r="I4225">
        <f>VLOOKUP(C4225,[1]products!$A:$D,4,FALSE)</f>
        <v>6</v>
      </c>
      <c r="J4225" t="str">
        <f>VLOOKUP(I4225,[2]categories!$A$1:$B$8,2,FALSE)</f>
        <v>Mountain Bikes</v>
      </c>
    </row>
    <row r="4226" customHeight="1" spans="1:10">
      <c r="A4226" s="1">
        <v>1452</v>
      </c>
      <c r="B4226" s="1">
        <v>1</v>
      </c>
      <c r="C4226" s="1">
        <v>99</v>
      </c>
      <c r="D4226" s="1">
        <v>2</v>
      </c>
      <c r="E4226" s="1">
        <v>299.99</v>
      </c>
      <c r="F4226" s="1">
        <v>0.1</v>
      </c>
      <c r="G4226">
        <f t="shared" si="65"/>
        <v>599.88</v>
      </c>
      <c r="H4226" t="str">
        <f>VLOOKUP(C4226,[1]products!$A:$B,2,FALSE)</f>
        <v>Electra Sugar Skulls 1 (20-inch) - Girl's - 2017</v>
      </c>
      <c r="I4226">
        <f>VLOOKUP(C4226,[1]products!$A:$D,4,FALSE)</f>
        <v>1</v>
      </c>
      <c r="J4226" t="str">
        <f>VLOOKUP(I4226,[2]categories!$A$1:$B$8,2,FALSE)</f>
        <v>Children Bicycles</v>
      </c>
    </row>
    <row r="4227" customHeight="1" spans="1:10">
      <c r="A4227" s="1">
        <v>1452</v>
      </c>
      <c r="B4227" s="1">
        <v>2</v>
      </c>
      <c r="C4227" s="1">
        <v>234</v>
      </c>
      <c r="D4227" s="1">
        <v>1</v>
      </c>
      <c r="E4227" s="1">
        <v>899.99</v>
      </c>
      <c r="F4227" s="1">
        <v>0.2</v>
      </c>
      <c r="G4227">
        <f t="shared" ref="G4227:G4290" si="66">(E4227*D4227)-F4227</f>
        <v>899.79</v>
      </c>
      <c r="H4227" t="str">
        <f>VLOOKUP(C4227,[1]products!$A:$B,2,FALSE)</f>
        <v>Electra Daydreamer 3i Ladies' - 2018</v>
      </c>
      <c r="I4227">
        <f>VLOOKUP(C4227,[1]products!$A:$D,4,FALSE)</f>
        <v>3</v>
      </c>
      <c r="J4227" t="str">
        <f>VLOOKUP(I4227,[2]categories!$A$1:$B$8,2,FALSE)</f>
        <v>Cruisers Bicycles</v>
      </c>
    </row>
    <row r="4228" customHeight="1" spans="1:10">
      <c r="A4228" s="1">
        <v>1452</v>
      </c>
      <c r="B4228" s="1">
        <v>3</v>
      </c>
      <c r="C4228" s="1">
        <v>86</v>
      </c>
      <c r="D4228" s="1">
        <v>2</v>
      </c>
      <c r="E4228" s="1">
        <v>149.99</v>
      </c>
      <c r="F4228" s="1">
        <v>0.05</v>
      </c>
      <c r="G4228">
        <f t="shared" si="66"/>
        <v>299.93</v>
      </c>
      <c r="H4228" t="str">
        <f>VLOOKUP(C4228,[1]products!$A:$B,2,FALSE)</f>
        <v>Trek Girl's Kickster - 2017</v>
      </c>
      <c r="I4228">
        <f>VLOOKUP(C4228,[1]products!$A:$D,4,FALSE)</f>
        <v>1</v>
      </c>
      <c r="J4228" t="str">
        <f>VLOOKUP(I4228,[2]categories!$A$1:$B$8,2,FALSE)</f>
        <v>Children Bicycles</v>
      </c>
    </row>
    <row r="4229" customHeight="1" spans="1:10">
      <c r="A4229" s="1">
        <v>1452</v>
      </c>
      <c r="B4229" s="1">
        <v>4</v>
      </c>
      <c r="C4229" s="1">
        <v>109</v>
      </c>
      <c r="D4229" s="1">
        <v>2</v>
      </c>
      <c r="E4229" s="1">
        <v>416.99</v>
      </c>
      <c r="F4229" s="1">
        <v>0.07</v>
      </c>
      <c r="G4229">
        <f t="shared" si="66"/>
        <v>833.91</v>
      </c>
      <c r="H4229" t="str">
        <f>VLOOKUP(C4229,[1]products!$A:$B,2,FALSE)</f>
        <v>Sun Bicycles Cruz 7 - Women's - 2017</v>
      </c>
      <c r="I4229">
        <f>VLOOKUP(C4229,[1]products!$A:$D,4,FALSE)</f>
        <v>2</v>
      </c>
      <c r="J4229" t="str">
        <f>VLOOKUP(I4229,[2]categories!$A$1:$B$8,2,FALSE)</f>
        <v>Comfort Bicycles</v>
      </c>
    </row>
    <row r="4230" customHeight="1" spans="1:10">
      <c r="A4230" s="1">
        <v>1453</v>
      </c>
      <c r="B4230" s="1">
        <v>1</v>
      </c>
      <c r="C4230" s="1">
        <v>89</v>
      </c>
      <c r="D4230" s="1">
        <v>2</v>
      </c>
      <c r="E4230" s="1">
        <v>209.99</v>
      </c>
      <c r="F4230" s="1">
        <v>0.1</v>
      </c>
      <c r="G4230">
        <f t="shared" si="66"/>
        <v>419.88</v>
      </c>
      <c r="H4230" t="str">
        <f>VLOOKUP(C4230,[1]products!$A:$B,2,FALSE)</f>
        <v>Trek Precaliber 16 Boys - 2017</v>
      </c>
      <c r="I4230">
        <f>VLOOKUP(C4230,[1]products!$A:$D,4,FALSE)</f>
        <v>1</v>
      </c>
      <c r="J4230" t="str">
        <f>VLOOKUP(I4230,[2]categories!$A$1:$B$8,2,FALSE)</f>
        <v>Children Bicycles</v>
      </c>
    </row>
    <row r="4231" customHeight="1" spans="1:10">
      <c r="A4231" s="1">
        <v>1454</v>
      </c>
      <c r="B4231" s="1">
        <v>1</v>
      </c>
      <c r="C4231" s="1">
        <v>283</v>
      </c>
      <c r="D4231" s="1">
        <v>1</v>
      </c>
      <c r="E4231" s="1">
        <v>319.99</v>
      </c>
      <c r="F4231" s="1">
        <v>0.07</v>
      </c>
      <c r="G4231">
        <f t="shared" si="66"/>
        <v>319.92</v>
      </c>
      <c r="H4231" t="str">
        <f>VLOOKUP(C4231,[1]products!$A:$B,2,FALSE)</f>
        <v>Electra Heartchya 1 (20-inch) - Girl's - 2018</v>
      </c>
      <c r="I4231">
        <f>VLOOKUP(C4231,[1]products!$A:$D,4,FALSE)</f>
        <v>1</v>
      </c>
      <c r="J4231" t="str">
        <f>VLOOKUP(I4231,[2]categories!$A$1:$B$8,2,FALSE)</f>
        <v>Children Bicycles</v>
      </c>
    </row>
    <row r="4232" customHeight="1" spans="1:10">
      <c r="A4232" s="1">
        <v>1454</v>
      </c>
      <c r="B4232" s="1">
        <v>2</v>
      </c>
      <c r="C4232" s="1">
        <v>35</v>
      </c>
      <c r="D4232" s="1">
        <v>2</v>
      </c>
      <c r="E4232" s="1">
        <v>832.99</v>
      </c>
      <c r="F4232" s="1">
        <v>0.1</v>
      </c>
      <c r="G4232">
        <f t="shared" si="66"/>
        <v>1665.88</v>
      </c>
      <c r="H4232" t="str">
        <f>VLOOKUP(C4232,[1]products!$A:$B,2,FALSE)</f>
        <v>Sun Bicycles Spider 3i - 2017</v>
      </c>
      <c r="I4232">
        <f>VLOOKUP(C4232,[1]products!$A:$D,4,FALSE)</f>
        <v>6</v>
      </c>
      <c r="J4232" t="str">
        <f>VLOOKUP(I4232,[2]categories!$A$1:$B$8,2,FALSE)</f>
        <v>Mountain Bikes</v>
      </c>
    </row>
    <row r="4233" customHeight="1" spans="1:10">
      <c r="A4233" s="1">
        <v>1454</v>
      </c>
      <c r="B4233" s="1">
        <v>3</v>
      </c>
      <c r="C4233" s="1">
        <v>124</v>
      </c>
      <c r="D4233" s="1">
        <v>1</v>
      </c>
      <c r="E4233" s="1">
        <v>1499</v>
      </c>
      <c r="F4233" s="1">
        <v>0.2</v>
      </c>
      <c r="G4233">
        <f t="shared" si="66"/>
        <v>1498.8</v>
      </c>
      <c r="H4233" t="str">
        <f>VLOOKUP(C4233,[1]products!$A:$B,2,FALSE)</f>
        <v>Surly Krampus - 2018</v>
      </c>
      <c r="I4233">
        <f>VLOOKUP(C4233,[1]products!$A:$D,4,FALSE)</f>
        <v>6</v>
      </c>
      <c r="J4233" t="str">
        <f>VLOOKUP(I4233,[2]categories!$A$1:$B$8,2,FALSE)</f>
        <v>Mountain Bikes</v>
      </c>
    </row>
    <row r="4234" customHeight="1" spans="1:10">
      <c r="A4234" s="1">
        <v>1454</v>
      </c>
      <c r="B4234" s="1">
        <v>4</v>
      </c>
      <c r="C4234" s="1">
        <v>38</v>
      </c>
      <c r="D4234" s="1">
        <v>2</v>
      </c>
      <c r="E4234" s="1">
        <v>549.99</v>
      </c>
      <c r="F4234" s="1">
        <v>0.05</v>
      </c>
      <c r="G4234">
        <f t="shared" si="66"/>
        <v>1099.93</v>
      </c>
      <c r="H4234" t="str">
        <f>VLOOKUP(C4234,[1]products!$A:$B,2,FALSE)</f>
        <v>Haro Flightline Two 26 Plus - 2017</v>
      </c>
      <c r="I4234">
        <f>VLOOKUP(C4234,[1]products!$A:$D,4,FALSE)</f>
        <v>6</v>
      </c>
      <c r="J4234" t="str">
        <f>VLOOKUP(I4234,[2]categories!$A$1:$B$8,2,FALSE)</f>
        <v>Mountain Bikes</v>
      </c>
    </row>
    <row r="4235" customHeight="1" spans="1:10">
      <c r="A4235" s="1">
        <v>1455</v>
      </c>
      <c r="B4235" s="1">
        <v>1</v>
      </c>
      <c r="C4235" s="1">
        <v>101</v>
      </c>
      <c r="D4235" s="1">
        <v>2</v>
      </c>
      <c r="E4235" s="1">
        <v>339.99</v>
      </c>
      <c r="F4235" s="1">
        <v>0.05</v>
      </c>
      <c r="G4235">
        <f t="shared" si="66"/>
        <v>679.93</v>
      </c>
      <c r="H4235" t="str">
        <f>VLOOKUP(C4235,[1]products!$A:$B,2,FALSE)</f>
        <v>Electra Townie 7D (20-inch) - Boys' - 2017</v>
      </c>
      <c r="I4235">
        <f>VLOOKUP(C4235,[1]products!$A:$D,4,FALSE)</f>
        <v>1</v>
      </c>
      <c r="J4235" t="str">
        <f>VLOOKUP(I4235,[2]categories!$A$1:$B$8,2,FALSE)</f>
        <v>Children Bicycles</v>
      </c>
    </row>
    <row r="4236" customHeight="1" spans="1:10">
      <c r="A4236" s="1">
        <v>1455</v>
      </c>
      <c r="B4236" s="1">
        <v>2</v>
      </c>
      <c r="C4236" s="1">
        <v>254</v>
      </c>
      <c r="D4236" s="1">
        <v>1</v>
      </c>
      <c r="E4236" s="1">
        <v>749.99</v>
      </c>
      <c r="F4236" s="1">
        <v>0.2</v>
      </c>
      <c r="G4236">
        <f t="shared" si="66"/>
        <v>749.79</v>
      </c>
      <c r="H4236" t="str">
        <f>VLOOKUP(C4236,[1]products!$A:$B,2,FALSE)</f>
        <v>Electra Townie Balloon 3i EQ - 2017/2018</v>
      </c>
      <c r="I4236">
        <f>VLOOKUP(C4236,[1]products!$A:$D,4,FALSE)</f>
        <v>3</v>
      </c>
      <c r="J4236" t="str">
        <f>VLOOKUP(I4236,[2]categories!$A$1:$B$8,2,FALSE)</f>
        <v>Cruisers Bicycles</v>
      </c>
    </row>
    <row r="4237" customHeight="1" spans="1:10">
      <c r="A4237" s="1">
        <v>1456</v>
      </c>
      <c r="B4237" s="1">
        <v>1</v>
      </c>
      <c r="C4237" s="1">
        <v>193</v>
      </c>
      <c r="D4237" s="1">
        <v>2</v>
      </c>
      <c r="E4237" s="1">
        <v>2799.99</v>
      </c>
      <c r="F4237" s="1">
        <v>0.05</v>
      </c>
      <c r="G4237">
        <f t="shared" si="66"/>
        <v>5599.93</v>
      </c>
      <c r="H4237" t="str">
        <f>VLOOKUP(C4237,[1]products!$A:$B,2,FALSE)</f>
        <v>Trek Lift+ - 2018</v>
      </c>
      <c r="I4237">
        <f>VLOOKUP(C4237,[1]products!$A:$D,4,FALSE)</f>
        <v>5</v>
      </c>
      <c r="J4237" t="str">
        <f>VLOOKUP(I4237,[2]categories!$A$1:$B$8,2,FALSE)</f>
        <v>Electric Bikes</v>
      </c>
    </row>
    <row r="4238" customHeight="1" spans="1:10">
      <c r="A4238" s="1">
        <v>1456</v>
      </c>
      <c r="B4238" s="1">
        <v>2</v>
      </c>
      <c r="C4238" s="1">
        <v>246</v>
      </c>
      <c r="D4238" s="1">
        <v>1</v>
      </c>
      <c r="E4238" s="1">
        <v>639.99</v>
      </c>
      <c r="F4238" s="1">
        <v>0.07</v>
      </c>
      <c r="G4238">
        <f t="shared" si="66"/>
        <v>639.92</v>
      </c>
      <c r="H4238" t="str">
        <f>VLOOKUP(C4238,[1]products!$A:$B,2,FALSE)</f>
        <v>Electra Townie Original 3i EQ Ladies' - 2018</v>
      </c>
      <c r="I4238">
        <f>VLOOKUP(C4238,[1]products!$A:$D,4,FALSE)</f>
        <v>3</v>
      </c>
      <c r="J4238" t="str">
        <f>VLOOKUP(I4238,[2]categories!$A$1:$B$8,2,FALSE)</f>
        <v>Cruisers Bicycles</v>
      </c>
    </row>
    <row r="4239" customHeight="1" spans="1:10">
      <c r="A4239" s="1">
        <v>1456</v>
      </c>
      <c r="B4239" s="1">
        <v>3</v>
      </c>
      <c r="C4239" s="1">
        <v>268</v>
      </c>
      <c r="D4239" s="1">
        <v>2</v>
      </c>
      <c r="E4239" s="1">
        <v>159.99</v>
      </c>
      <c r="F4239" s="1">
        <v>0.1</v>
      </c>
      <c r="G4239">
        <f t="shared" si="66"/>
        <v>319.88</v>
      </c>
      <c r="H4239" t="str">
        <f>VLOOKUP(C4239,[1]products!$A:$B,2,FALSE)</f>
        <v>Trek Kickster - 2018</v>
      </c>
      <c r="I4239">
        <f>VLOOKUP(C4239,[1]products!$A:$D,4,FALSE)</f>
        <v>1</v>
      </c>
      <c r="J4239" t="str">
        <f>VLOOKUP(I4239,[2]categories!$A$1:$B$8,2,FALSE)</f>
        <v>Children Bicycles</v>
      </c>
    </row>
    <row r="4240" customHeight="1" spans="1:10">
      <c r="A4240" s="1">
        <v>1456</v>
      </c>
      <c r="B4240" s="1">
        <v>4</v>
      </c>
      <c r="C4240" s="1">
        <v>272</v>
      </c>
      <c r="D4240" s="1">
        <v>1</v>
      </c>
      <c r="E4240" s="1">
        <v>289.99</v>
      </c>
      <c r="F4240" s="1">
        <v>0.1</v>
      </c>
      <c r="G4240">
        <f t="shared" si="66"/>
        <v>289.89</v>
      </c>
      <c r="H4240" t="str">
        <f>VLOOKUP(C4240,[1]products!$A:$B,2,FALSE)</f>
        <v>Trek Precaliber 20 6-speed Boy's - 2018</v>
      </c>
      <c r="I4240">
        <f>VLOOKUP(C4240,[1]products!$A:$D,4,FALSE)</f>
        <v>1</v>
      </c>
      <c r="J4240" t="str">
        <f>VLOOKUP(I4240,[2]categories!$A$1:$B$8,2,FALSE)</f>
        <v>Children Bicycles</v>
      </c>
    </row>
    <row r="4241" customHeight="1" spans="1:10">
      <c r="A4241" s="1">
        <v>1456</v>
      </c>
      <c r="B4241" s="1">
        <v>5</v>
      </c>
      <c r="C4241" s="1">
        <v>126</v>
      </c>
      <c r="D4241" s="1">
        <v>1</v>
      </c>
      <c r="E4241" s="1">
        <v>469.99</v>
      </c>
      <c r="F4241" s="1">
        <v>0.1</v>
      </c>
      <c r="G4241">
        <f t="shared" si="66"/>
        <v>469.89</v>
      </c>
      <c r="H4241" t="str">
        <f>VLOOKUP(C4241,[1]products!$A:$B,2,FALSE)</f>
        <v>Surly Big Fat Dummy Frameset - 2018</v>
      </c>
      <c r="I4241">
        <f>VLOOKUP(C4241,[1]products!$A:$D,4,FALSE)</f>
        <v>6</v>
      </c>
      <c r="J4241" t="str">
        <f>VLOOKUP(I4241,[2]categories!$A$1:$B$8,2,FALSE)</f>
        <v>Mountain Bikes</v>
      </c>
    </row>
    <row r="4242" customHeight="1" spans="1:10">
      <c r="A4242" s="1">
        <v>1457</v>
      </c>
      <c r="B4242" s="1">
        <v>1</v>
      </c>
      <c r="C4242" s="1">
        <v>113</v>
      </c>
      <c r="D4242" s="1">
        <v>1</v>
      </c>
      <c r="E4242" s="1">
        <v>489.99</v>
      </c>
      <c r="F4242" s="1">
        <v>0.07</v>
      </c>
      <c r="G4242">
        <f t="shared" si="66"/>
        <v>489.92</v>
      </c>
      <c r="H4242" t="str">
        <f>VLOOKUP(C4242,[1]products!$A:$B,2,FALSE)</f>
        <v>Trek Marlin 5 - 2018</v>
      </c>
      <c r="I4242">
        <f>VLOOKUP(C4242,[1]products!$A:$D,4,FALSE)</f>
        <v>6</v>
      </c>
      <c r="J4242" t="str">
        <f>VLOOKUP(I4242,[2]categories!$A$1:$B$8,2,FALSE)</f>
        <v>Mountain Bikes</v>
      </c>
    </row>
    <row r="4243" customHeight="1" spans="1:10">
      <c r="A4243" s="1">
        <v>1457</v>
      </c>
      <c r="B4243" s="1">
        <v>2</v>
      </c>
      <c r="C4243" s="1">
        <v>111</v>
      </c>
      <c r="D4243" s="1">
        <v>1</v>
      </c>
      <c r="E4243" s="1">
        <v>470.99</v>
      </c>
      <c r="F4243" s="1">
        <v>0.2</v>
      </c>
      <c r="G4243">
        <f t="shared" si="66"/>
        <v>470.79</v>
      </c>
      <c r="H4243" t="str">
        <f>VLOOKUP(C4243,[1]products!$A:$B,2,FALSE)</f>
        <v>Sun Bicycles Drifter 7 - Women's - 2017</v>
      </c>
      <c r="I4243">
        <f>VLOOKUP(C4243,[1]products!$A:$D,4,FALSE)</f>
        <v>2</v>
      </c>
      <c r="J4243" t="str">
        <f>VLOOKUP(I4243,[2]categories!$A$1:$B$8,2,FALSE)</f>
        <v>Comfort Bicycles</v>
      </c>
    </row>
    <row r="4244" customHeight="1" spans="1:10">
      <c r="A4244" s="1">
        <v>1457</v>
      </c>
      <c r="B4244" s="1">
        <v>3</v>
      </c>
      <c r="C4244" s="1">
        <v>268</v>
      </c>
      <c r="D4244" s="1">
        <v>1</v>
      </c>
      <c r="E4244" s="1">
        <v>159.99</v>
      </c>
      <c r="F4244" s="1">
        <v>0.2</v>
      </c>
      <c r="G4244">
        <f t="shared" si="66"/>
        <v>159.79</v>
      </c>
      <c r="H4244" t="str">
        <f>VLOOKUP(C4244,[1]products!$A:$B,2,FALSE)</f>
        <v>Trek Kickster - 2018</v>
      </c>
      <c r="I4244">
        <f>VLOOKUP(C4244,[1]products!$A:$D,4,FALSE)</f>
        <v>1</v>
      </c>
      <c r="J4244" t="str">
        <f>VLOOKUP(I4244,[2]categories!$A$1:$B$8,2,FALSE)</f>
        <v>Children Bicycles</v>
      </c>
    </row>
    <row r="4245" customHeight="1" spans="1:10">
      <c r="A4245" s="1">
        <v>1457</v>
      </c>
      <c r="B4245" s="1">
        <v>4</v>
      </c>
      <c r="C4245" s="1">
        <v>152</v>
      </c>
      <c r="D4245" s="1">
        <v>2</v>
      </c>
      <c r="E4245" s="1">
        <v>2499.99</v>
      </c>
      <c r="F4245" s="1">
        <v>0.2</v>
      </c>
      <c r="G4245">
        <f t="shared" si="66"/>
        <v>4999.78</v>
      </c>
      <c r="H4245" t="str">
        <f>VLOOKUP(C4245,[1]products!$A:$B,2,FALSE)</f>
        <v>Trek Domane SL 5 Disc Women's - 2018</v>
      </c>
      <c r="I4245">
        <f>VLOOKUP(C4245,[1]products!$A:$D,4,FALSE)</f>
        <v>7</v>
      </c>
      <c r="J4245" t="str">
        <f>VLOOKUP(I4245,[2]categories!$A$1:$B$8,2,FALSE)</f>
        <v>Road Bikes</v>
      </c>
    </row>
    <row r="4246" customHeight="1" spans="1:10">
      <c r="A4246" s="1">
        <v>1458</v>
      </c>
      <c r="B4246" s="1">
        <v>1</v>
      </c>
      <c r="C4246" s="1">
        <v>295</v>
      </c>
      <c r="D4246" s="1">
        <v>2</v>
      </c>
      <c r="E4246" s="1">
        <v>319.99</v>
      </c>
      <c r="F4246" s="1">
        <v>0.05</v>
      </c>
      <c r="G4246">
        <f t="shared" si="66"/>
        <v>639.93</v>
      </c>
      <c r="H4246" t="str">
        <f>VLOOKUP(C4246,[1]products!$A:$B,2,FALSE)</f>
        <v>Electra Treasure 1 20" - 2018</v>
      </c>
      <c r="I4246">
        <f>VLOOKUP(C4246,[1]products!$A:$D,4,FALSE)</f>
        <v>1</v>
      </c>
      <c r="J4246" t="str">
        <f>VLOOKUP(I4246,[2]categories!$A$1:$B$8,2,FALSE)</f>
        <v>Children Bicycles</v>
      </c>
    </row>
    <row r="4247" customHeight="1" spans="1:10">
      <c r="A4247" s="1">
        <v>1458</v>
      </c>
      <c r="B4247" s="1">
        <v>2</v>
      </c>
      <c r="C4247" s="1">
        <v>105</v>
      </c>
      <c r="D4247" s="1">
        <v>1</v>
      </c>
      <c r="E4247" s="1">
        <v>533.99</v>
      </c>
      <c r="F4247" s="1">
        <v>0.05</v>
      </c>
      <c r="G4247">
        <f t="shared" si="66"/>
        <v>533.94</v>
      </c>
      <c r="H4247" t="str">
        <f>VLOOKUP(C4247,[1]products!$A:$B,2,FALSE)</f>
        <v>Sun Bicycles Streamway 7 - 2017</v>
      </c>
      <c r="I4247">
        <f>VLOOKUP(C4247,[1]products!$A:$D,4,FALSE)</f>
        <v>2</v>
      </c>
      <c r="J4247" t="str">
        <f>VLOOKUP(I4247,[2]categories!$A$1:$B$8,2,FALSE)</f>
        <v>Comfort Bicycles</v>
      </c>
    </row>
    <row r="4248" customHeight="1" spans="1:10">
      <c r="A4248" s="1">
        <v>1458</v>
      </c>
      <c r="B4248" s="1">
        <v>3</v>
      </c>
      <c r="C4248" s="1">
        <v>12</v>
      </c>
      <c r="D4248" s="1">
        <v>1</v>
      </c>
      <c r="E4248" s="1">
        <v>549.99</v>
      </c>
      <c r="F4248" s="1">
        <v>0.05</v>
      </c>
      <c r="G4248">
        <f t="shared" si="66"/>
        <v>549.94</v>
      </c>
      <c r="H4248" t="str">
        <f>VLOOKUP(C4248,[1]products!$A:$B,2,FALSE)</f>
        <v>Electra Townie Original 21D - 2016</v>
      </c>
      <c r="I4248">
        <f>VLOOKUP(C4248,[1]products!$A:$D,4,FALSE)</f>
        <v>3</v>
      </c>
      <c r="J4248" t="str">
        <f>VLOOKUP(I4248,[2]categories!$A$1:$B$8,2,FALSE)</f>
        <v>Cruisers Bicycles</v>
      </c>
    </row>
    <row r="4249" customHeight="1" spans="1:10">
      <c r="A4249" s="1">
        <v>1458</v>
      </c>
      <c r="B4249" s="1">
        <v>4</v>
      </c>
      <c r="C4249" s="1">
        <v>78</v>
      </c>
      <c r="D4249" s="1">
        <v>2</v>
      </c>
      <c r="E4249" s="1">
        <v>647.99</v>
      </c>
      <c r="F4249" s="1">
        <v>0.1</v>
      </c>
      <c r="G4249">
        <f t="shared" si="66"/>
        <v>1295.88</v>
      </c>
      <c r="H4249" t="str">
        <f>VLOOKUP(C4249,[1]products!$A:$B,2,FALSE)</f>
        <v>Sun Bicycles Biscayne Tandem CB - 2017</v>
      </c>
      <c r="I4249">
        <f>VLOOKUP(C4249,[1]products!$A:$D,4,FALSE)</f>
        <v>3</v>
      </c>
      <c r="J4249" t="str">
        <f>VLOOKUP(I4249,[2]categories!$A$1:$B$8,2,FALSE)</f>
        <v>Cruisers Bicycles</v>
      </c>
    </row>
    <row r="4250" customHeight="1" spans="1:10">
      <c r="A4250" s="1">
        <v>1459</v>
      </c>
      <c r="B4250" s="1">
        <v>1</v>
      </c>
      <c r="C4250" s="1">
        <v>258</v>
      </c>
      <c r="D4250" s="1">
        <v>1</v>
      </c>
      <c r="E4250" s="1">
        <v>1259.9</v>
      </c>
      <c r="F4250" s="1">
        <v>0.1</v>
      </c>
      <c r="G4250">
        <f t="shared" si="66"/>
        <v>1259.8</v>
      </c>
      <c r="H4250" t="str">
        <f>VLOOKUP(C4250,[1]products!$A:$B,2,FALSE)</f>
        <v>Electra Amsterdam Royal 8i - 2017/2018</v>
      </c>
      <c r="I4250">
        <f>VLOOKUP(C4250,[1]products!$A:$D,4,FALSE)</f>
        <v>3</v>
      </c>
      <c r="J4250" t="str">
        <f>VLOOKUP(I4250,[2]categories!$A$1:$B$8,2,FALSE)</f>
        <v>Cruisers Bicycles</v>
      </c>
    </row>
    <row r="4251" customHeight="1" spans="1:10">
      <c r="A4251" s="1">
        <v>1460</v>
      </c>
      <c r="B4251" s="1">
        <v>1</v>
      </c>
      <c r="C4251" s="1">
        <v>201</v>
      </c>
      <c r="D4251" s="1">
        <v>1</v>
      </c>
      <c r="E4251" s="1">
        <v>4499.99</v>
      </c>
      <c r="F4251" s="1">
        <v>0.05</v>
      </c>
      <c r="G4251">
        <f t="shared" si="66"/>
        <v>4499.94</v>
      </c>
      <c r="H4251" t="str">
        <f>VLOOKUP(C4251,[1]products!$A:$B,2,FALSE)</f>
        <v>Trek Powerfly 5 FS - 2018</v>
      </c>
      <c r="I4251">
        <f>VLOOKUP(C4251,[1]products!$A:$D,4,FALSE)</f>
        <v>5</v>
      </c>
      <c r="J4251" t="str">
        <f>VLOOKUP(I4251,[2]categories!$A$1:$B$8,2,FALSE)</f>
        <v>Electric Bikes</v>
      </c>
    </row>
    <row r="4252" customHeight="1" spans="1:10">
      <c r="A4252" s="1">
        <v>1460</v>
      </c>
      <c r="B4252" s="1">
        <v>2</v>
      </c>
      <c r="C4252" s="1">
        <v>76</v>
      </c>
      <c r="D4252" s="1">
        <v>1</v>
      </c>
      <c r="E4252" s="1">
        <v>299.99</v>
      </c>
      <c r="F4252" s="1">
        <v>0.07</v>
      </c>
      <c r="G4252">
        <f t="shared" si="66"/>
        <v>299.92</v>
      </c>
      <c r="H4252" t="str">
        <f>VLOOKUP(C4252,[1]products!$A:$B,2,FALSE)</f>
        <v>Electra Girl's Hawaii 1 16" - 2017</v>
      </c>
      <c r="I4252">
        <f>VLOOKUP(C4252,[1]products!$A:$D,4,FALSE)</f>
        <v>3</v>
      </c>
      <c r="J4252" t="str">
        <f>VLOOKUP(I4252,[2]categories!$A$1:$B$8,2,FALSE)</f>
        <v>Cruisers Bicycles</v>
      </c>
    </row>
    <row r="4253" customHeight="1" spans="1:10">
      <c r="A4253" s="1">
        <v>1460</v>
      </c>
      <c r="B4253" s="1">
        <v>3</v>
      </c>
      <c r="C4253" s="1">
        <v>167</v>
      </c>
      <c r="D4253" s="1">
        <v>1</v>
      </c>
      <c r="E4253" s="1">
        <v>749.99</v>
      </c>
      <c r="F4253" s="1">
        <v>0.05</v>
      </c>
      <c r="G4253">
        <f t="shared" si="66"/>
        <v>749.94</v>
      </c>
      <c r="H4253" t="str">
        <f>VLOOKUP(C4253,[1]products!$A:$B,2,FALSE)</f>
        <v>Surly ECR Frameset - 2018</v>
      </c>
      <c r="I4253">
        <f>VLOOKUP(C4253,[1]products!$A:$D,4,FALSE)</f>
        <v>7</v>
      </c>
      <c r="J4253" t="str">
        <f>VLOOKUP(I4253,[2]categories!$A$1:$B$8,2,FALSE)</f>
        <v>Road Bikes</v>
      </c>
    </row>
    <row r="4254" customHeight="1" spans="1:10">
      <c r="A4254" s="1">
        <v>1460</v>
      </c>
      <c r="B4254" s="1">
        <v>4</v>
      </c>
      <c r="C4254" s="1">
        <v>7</v>
      </c>
      <c r="D4254" s="1">
        <v>2</v>
      </c>
      <c r="E4254" s="1">
        <v>3999.99</v>
      </c>
      <c r="F4254" s="1">
        <v>0.07</v>
      </c>
      <c r="G4254">
        <f t="shared" si="66"/>
        <v>7999.91</v>
      </c>
      <c r="H4254" t="str">
        <f>VLOOKUP(C4254,[1]products!$A:$B,2,FALSE)</f>
        <v>Trek Slash 8 27.5 - 2016</v>
      </c>
      <c r="I4254">
        <f>VLOOKUP(C4254,[1]products!$A:$D,4,FALSE)</f>
        <v>6</v>
      </c>
      <c r="J4254" t="str">
        <f>VLOOKUP(I4254,[2]categories!$A$1:$B$8,2,FALSE)</f>
        <v>Mountain Bikes</v>
      </c>
    </row>
    <row r="4255" customHeight="1" spans="1:10">
      <c r="A4255" s="1">
        <v>1460</v>
      </c>
      <c r="B4255" s="1">
        <v>5</v>
      </c>
      <c r="C4255" s="1">
        <v>123</v>
      </c>
      <c r="D4255" s="1">
        <v>2</v>
      </c>
      <c r="E4255" s="1">
        <v>999.99</v>
      </c>
      <c r="F4255" s="1">
        <v>0.07</v>
      </c>
      <c r="G4255">
        <f t="shared" si="66"/>
        <v>1999.91</v>
      </c>
      <c r="H4255" t="str">
        <f>VLOOKUP(C4255,[1]products!$A:$B,2,FALSE)</f>
        <v>Trek Farley Carbon Frameset - 2018</v>
      </c>
      <c r="I4255">
        <f>VLOOKUP(C4255,[1]products!$A:$D,4,FALSE)</f>
        <v>6</v>
      </c>
      <c r="J4255" t="str">
        <f>VLOOKUP(I4255,[2]categories!$A$1:$B$8,2,FALSE)</f>
        <v>Mountain Bikes</v>
      </c>
    </row>
    <row r="4256" customHeight="1" spans="1:10">
      <c r="A4256" s="1">
        <v>1461</v>
      </c>
      <c r="B4256" s="1">
        <v>1</v>
      </c>
      <c r="C4256" s="1">
        <v>48</v>
      </c>
      <c r="D4256" s="1">
        <v>1</v>
      </c>
      <c r="E4256" s="1">
        <v>1499.99</v>
      </c>
      <c r="F4256" s="1">
        <v>0.2</v>
      </c>
      <c r="G4256">
        <f t="shared" si="66"/>
        <v>1499.79</v>
      </c>
      <c r="H4256" t="str">
        <f>VLOOKUP(C4256,[1]products!$A:$B,2,FALSE)</f>
        <v>Trek Emonda S 4 - 2017</v>
      </c>
      <c r="I4256">
        <f>VLOOKUP(C4256,[1]products!$A:$D,4,FALSE)</f>
        <v>7</v>
      </c>
      <c r="J4256" t="str">
        <f>VLOOKUP(I4256,[2]categories!$A$1:$B$8,2,FALSE)</f>
        <v>Road Bikes</v>
      </c>
    </row>
    <row r="4257" customHeight="1" spans="1:10">
      <c r="A4257" s="1">
        <v>1461</v>
      </c>
      <c r="B4257" s="1">
        <v>2</v>
      </c>
      <c r="C4257" s="1">
        <v>242</v>
      </c>
      <c r="D4257" s="1">
        <v>2</v>
      </c>
      <c r="E4257" s="1">
        <v>699.99</v>
      </c>
      <c r="F4257" s="1">
        <v>0.2</v>
      </c>
      <c r="G4257">
        <f t="shared" si="66"/>
        <v>1399.78</v>
      </c>
      <c r="H4257" t="str">
        <f>VLOOKUP(C4257,[1]products!$A:$B,2,FALSE)</f>
        <v>Electra Townie Commute 8D Ladies' - 2018</v>
      </c>
      <c r="I4257">
        <f>VLOOKUP(C4257,[1]products!$A:$D,4,FALSE)</f>
        <v>3</v>
      </c>
      <c r="J4257" t="str">
        <f>VLOOKUP(I4257,[2]categories!$A$1:$B$8,2,FALSE)</f>
        <v>Cruisers Bicycles</v>
      </c>
    </row>
    <row r="4258" customHeight="1" spans="1:10">
      <c r="A4258" s="1">
        <v>1462</v>
      </c>
      <c r="B4258" s="1">
        <v>1</v>
      </c>
      <c r="C4258" s="1">
        <v>263</v>
      </c>
      <c r="D4258" s="1">
        <v>1</v>
      </c>
      <c r="E4258" s="1">
        <v>89.99</v>
      </c>
      <c r="F4258" s="1">
        <v>0.2</v>
      </c>
      <c r="G4258">
        <f t="shared" si="66"/>
        <v>89.79</v>
      </c>
      <c r="H4258" t="str">
        <f>VLOOKUP(C4258,[1]products!$A:$B,2,FALSE)</f>
        <v>Strider Classic 12 Balance Bike - 2018</v>
      </c>
      <c r="I4258">
        <f>VLOOKUP(C4258,[1]products!$A:$D,4,FALSE)</f>
        <v>1</v>
      </c>
      <c r="J4258" t="str">
        <f>VLOOKUP(I4258,[2]categories!$A$1:$B$8,2,FALSE)</f>
        <v>Children Bicycles</v>
      </c>
    </row>
    <row r="4259" customHeight="1" spans="1:10">
      <c r="A4259" s="1">
        <v>1462</v>
      </c>
      <c r="B4259" s="1">
        <v>2</v>
      </c>
      <c r="C4259" s="1">
        <v>25</v>
      </c>
      <c r="D4259" s="1">
        <v>1</v>
      </c>
      <c r="E4259" s="1">
        <v>499.99</v>
      </c>
      <c r="F4259" s="1">
        <v>0.07</v>
      </c>
      <c r="G4259">
        <f t="shared" si="66"/>
        <v>499.92</v>
      </c>
      <c r="H4259" t="str">
        <f>VLOOKUP(C4259,[1]products!$A:$B,2,FALSE)</f>
        <v>Electra Townie Original 7D - 2015/2016</v>
      </c>
      <c r="I4259">
        <f>VLOOKUP(C4259,[1]products!$A:$D,4,FALSE)</f>
        <v>2</v>
      </c>
      <c r="J4259" t="str">
        <f>VLOOKUP(I4259,[2]categories!$A$1:$B$8,2,FALSE)</f>
        <v>Comfort Bicycles</v>
      </c>
    </row>
    <row r="4260" customHeight="1" spans="1:10">
      <c r="A4260" s="1">
        <v>1462</v>
      </c>
      <c r="B4260" s="1">
        <v>3</v>
      </c>
      <c r="C4260" s="1">
        <v>223</v>
      </c>
      <c r="D4260" s="1">
        <v>1</v>
      </c>
      <c r="E4260" s="1">
        <v>529.99</v>
      </c>
      <c r="F4260" s="1">
        <v>0.1</v>
      </c>
      <c r="G4260">
        <f t="shared" si="66"/>
        <v>529.89</v>
      </c>
      <c r="H4260" t="str">
        <f>VLOOKUP(C4260,[1]products!$A:$B,2,FALSE)</f>
        <v>Electra Cruiser Lux 3i - 2018</v>
      </c>
      <c r="I4260">
        <f>VLOOKUP(C4260,[1]products!$A:$D,4,FALSE)</f>
        <v>3</v>
      </c>
      <c r="J4260" t="str">
        <f>VLOOKUP(I4260,[2]categories!$A$1:$B$8,2,FALSE)</f>
        <v>Cruisers Bicycles</v>
      </c>
    </row>
    <row r="4261" customHeight="1" spans="1:10">
      <c r="A4261" s="1">
        <v>1462</v>
      </c>
      <c r="B4261" s="1">
        <v>4</v>
      </c>
      <c r="C4261" s="1">
        <v>294</v>
      </c>
      <c r="D4261" s="1">
        <v>1</v>
      </c>
      <c r="E4261" s="1">
        <v>369.99</v>
      </c>
      <c r="F4261" s="1">
        <v>0.1</v>
      </c>
      <c r="G4261">
        <f t="shared" si="66"/>
        <v>369.89</v>
      </c>
      <c r="H4261" t="str">
        <f>VLOOKUP(C4261,[1]products!$A:$B,2,FALSE)</f>
        <v>Electra Tiger Shark 3i (20-inch) - Boys' - 2018</v>
      </c>
      <c r="I4261">
        <f>VLOOKUP(C4261,[1]products!$A:$D,4,FALSE)</f>
        <v>1</v>
      </c>
      <c r="J4261" t="str">
        <f>VLOOKUP(I4261,[2]categories!$A$1:$B$8,2,FALSE)</f>
        <v>Children Bicycles</v>
      </c>
    </row>
    <row r="4262" customHeight="1" spans="1:10">
      <c r="A4262" s="1">
        <v>1462</v>
      </c>
      <c r="B4262" s="1">
        <v>5</v>
      </c>
      <c r="C4262" s="1">
        <v>251</v>
      </c>
      <c r="D4262" s="1">
        <v>1</v>
      </c>
      <c r="E4262" s="1">
        <v>2999.99</v>
      </c>
      <c r="F4262" s="1">
        <v>0.05</v>
      </c>
      <c r="G4262">
        <f t="shared" si="66"/>
        <v>2999.94</v>
      </c>
      <c r="H4262" t="str">
        <f>VLOOKUP(C4262,[1]products!$A:$B,2,FALSE)</f>
        <v>Electra Townie Commute Go! - 2018</v>
      </c>
      <c r="I4262">
        <f>VLOOKUP(C4262,[1]products!$A:$D,4,FALSE)</f>
        <v>3</v>
      </c>
      <c r="J4262" t="str">
        <f>VLOOKUP(I4262,[2]categories!$A$1:$B$8,2,FALSE)</f>
        <v>Cruisers Bicycles</v>
      </c>
    </row>
    <row r="4263" customHeight="1" spans="1:10">
      <c r="A4263" s="1">
        <v>1463</v>
      </c>
      <c r="B4263" s="1">
        <v>1</v>
      </c>
      <c r="C4263" s="1">
        <v>51</v>
      </c>
      <c r="D4263" s="1">
        <v>2</v>
      </c>
      <c r="E4263" s="1">
        <v>6499.99</v>
      </c>
      <c r="F4263" s="1">
        <v>0.05</v>
      </c>
      <c r="G4263">
        <f t="shared" si="66"/>
        <v>12999.93</v>
      </c>
      <c r="H4263" t="str">
        <f>VLOOKUP(C4263,[1]products!$A:$B,2,FALSE)</f>
        <v>Trek Silque SLR 8 Women's - 2017</v>
      </c>
      <c r="I4263">
        <f>VLOOKUP(C4263,[1]products!$A:$D,4,FALSE)</f>
        <v>7</v>
      </c>
      <c r="J4263" t="str">
        <f>VLOOKUP(I4263,[2]categories!$A$1:$B$8,2,FALSE)</f>
        <v>Road Bikes</v>
      </c>
    </row>
    <row r="4264" customHeight="1" spans="1:10">
      <c r="A4264" s="1">
        <v>1463</v>
      </c>
      <c r="B4264" s="1">
        <v>2</v>
      </c>
      <c r="C4264" s="1">
        <v>168</v>
      </c>
      <c r="D4264" s="1">
        <v>1</v>
      </c>
      <c r="E4264" s="1">
        <v>1549</v>
      </c>
      <c r="F4264" s="1">
        <v>0.05</v>
      </c>
      <c r="G4264">
        <f t="shared" si="66"/>
        <v>1548.95</v>
      </c>
      <c r="H4264" t="str">
        <f>VLOOKUP(C4264,[1]products!$A:$B,2,FALSE)</f>
        <v>Surly Straggler - 2018</v>
      </c>
      <c r="I4264">
        <f>VLOOKUP(C4264,[1]products!$A:$D,4,FALSE)</f>
        <v>7</v>
      </c>
      <c r="J4264" t="str">
        <f>VLOOKUP(I4264,[2]categories!$A$1:$B$8,2,FALSE)</f>
        <v>Road Bikes</v>
      </c>
    </row>
    <row r="4265" customHeight="1" spans="1:10">
      <c r="A4265" s="1">
        <v>1464</v>
      </c>
      <c r="B4265" s="1">
        <v>1</v>
      </c>
      <c r="C4265" s="1">
        <v>109</v>
      </c>
      <c r="D4265" s="1">
        <v>2</v>
      </c>
      <c r="E4265" s="1">
        <v>416.99</v>
      </c>
      <c r="F4265" s="1">
        <v>0.05</v>
      </c>
      <c r="G4265">
        <f t="shared" si="66"/>
        <v>833.93</v>
      </c>
      <c r="H4265" t="str">
        <f>VLOOKUP(C4265,[1]products!$A:$B,2,FALSE)</f>
        <v>Sun Bicycles Cruz 7 - Women's - 2017</v>
      </c>
      <c r="I4265">
        <f>VLOOKUP(C4265,[1]products!$A:$D,4,FALSE)</f>
        <v>2</v>
      </c>
      <c r="J4265" t="str">
        <f>VLOOKUP(I4265,[2]categories!$A$1:$B$8,2,FALSE)</f>
        <v>Comfort Bicycles</v>
      </c>
    </row>
    <row r="4266" customHeight="1" spans="1:10">
      <c r="A4266" s="1">
        <v>1464</v>
      </c>
      <c r="B4266" s="1">
        <v>2</v>
      </c>
      <c r="C4266" s="1">
        <v>124</v>
      </c>
      <c r="D4266" s="1">
        <v>1</v>
      </c>
      <c r="E4266" s="1">
        <v>1499</v>
      </c>
      <c r="F4266" s="1">
        <v>0.2</v>
      </c>
      <c r="G4266">
        <f t="shared" si="66"/>
        <v>1498.8</v>
      </c>
      <c r="H4266" t="str">
        <f>VLOOKUP(C4266,[1]products!$A:$B,2,FALSE)</f>
        <v>Surly Krampus - 2018</v>
      </c>
      <c r="I4266">
        <f>VLOOKUP(C4266,[1]products!$A:$D,4,FALSE)</f>
        <v>6</v>
      </c>
      <c r="J4266" t="str">
        <f>VLOOKUP(I4266,[2]categories!$A$1:$B$8,2,FALSE)</f>
        <v>Mountain Bikes</v>
      </c>
    </row>
    <row r="4267" customHeight="1" spans="1:10">
      <c r="A4267" s="1">
        <v>1464</v>
      </c>
      <c r="B4267" s="1">
        <v>3</v>
      </c>
      <c r="C4267" s="1">
        <v>165</v>
      </c>
      <c r="D4267" s="1">
        <v>2</v>
      </c>
      <c r="E4267" s="1">
        <v>2499.99</v>
      </c>
      <c r="F4267" s="1">
        <v>0.2</v>
      </c>
      <c r="G4267">
        <f t="shared" si="66"/>
        <v>4999.78</v>
      </c>
      <c r="H4267" t="str">
        <f>VLOOKUP(C4267,[1]products!$A:$B,2,FALSE)</f>
        <v>Trek 1120 - 2018</v>
      </c>
      <c r="I4267">
        <f>VLOOKUP(C4267,[1]products!$A:$D,4,FALSE)</f>
        <v>7</v>
      </c>
      <c r="J4267" t="str">
        <f>VLOOKUP(I4267,[2]categories!$A$1:$B$8,2,FALSE)</f>
        <v>Road Bikes</v>
      </c>
    </row>
    <row r="4268" customHeight="1" spans="1:10">
      <c r="A4268" s="1">
        <v>1464</v>
      </c>
      <c r="B4268" s="1">
        <v>4</v>
      </c>
      <c r="C4268" s="1">
        <v>151</v>
      </c>
      <c r="D4268" s="1">
        <v>2</v>
      </c>
      <c r="E4268" s="1">
        <v>1549.99</v>
      </c>
      <c r="F4268" s="1">
        <v>0.05</v>
      </c>
      <c r="G4268">
        <f t="shared" si="66"/>
        <v>3099.93</v>
      </c>
      <c r="H4268" t="str">
        <f>VLOOKUP(C4268,[1]products!$A:$B,2,FALSE)</f>
        <v>Trek Domane ALR 4 Disc Women's - 2018</v>
      </c>
      <c r="I4268">
        <f>VLOOKUP(C4268,[1]products!$A:$D,4,FALSE)</f>
        <v>7</v>
      </c>
      <c r="J4268" t="str">
        <f>VLOOKUP(I4268,[2]categories!$A$1:$B$8,2,FALSE)</f>
        <v>Road Bikes</v>
      </c>
    </row>
    <row r="4269" customHeight="1" spans="1:10">
      <c r="A4269" s="1">
        <v>1465</v>
      </c>
      <c r="B4269" s="1">
        <v>1</v>
      </c>
      <c r="C4269" s="1">
        <v>70</v>
      </c>
      <c r="D4269" s="1">
        <v>2</v>
      </c>
      <c r="E4269" s="1">
        <v>659.99</v>
      </c>
      <c r="F4269" s="1">
        <v>0.05</v>
      </c>
      <c r="G4269">
        <f t="shared" si="66"/>
        <v>1319.93</v>
      </c>
      <c r="H4269" t="str">
        <f>VLOOKUP(C4269,[1]products!$A:$B,2,FALSE)</f>
        <v>Electra Amsterdam Original 3i - 2015/2017</v>
      </c>
      <c r="I4269">
        <f>VLOOKUP(C4269,[1]products!$A:$D,4,FALSE)</f>
        <v>3</v>
      </c>
      <c r="J4269" t="str">
        <f>VLOOKUP(I4269,[2]categories!$A$1:$B$8,2,FALSE)</f>
        <v>Cruisers Bicycles</v>
      </c>
    </row>
    <row r="4270" customHeight="1" spans="1:10">
      <c r="A4270" s="1">
        <v>1466</v>
      </c>
      <c r="B4270" s="1">
        <v>1</v>
      </c>
      <c r="C4270" s="1">
        <v>310</v>
      </c>
      <c r="D4270" s="1">
        <v>2</v>
      </c>
      <c r="E4270" s="1">
        <v>899.99</v>
      </c>
      <c r="F4270" s="1">
        <v>0.07</v>
      </c>
      <c r="G4270">
        <f t="shared" si="66"/>
        <v>1799.91</v>
      </c>
      <c r="H4270" t="str">
        <f>VLOOKUP(C4270,[1]products!$A:$B,2,FALSE)</f>
        <v>Electra Townie Commute 27D Ladies - 2018</v>
      </c>
      <c r="I4270">
        <f>VLOOKUP(C4270,[1]products!$A:$D,4,FALSE)</f>
        <v>2</v>
      </c>
      <c r="J4270" t="str">
        <f>VLOOKUP(I4270,[2]categories!$A$1:$B$8,2,FALSE)</f>
        <v>Comfort Bicycles</v>
      </c>
    </row>
    <row r="4271" customHeight="1" spans="1:10">
      <c r="A4271" s="1">
        <v>1466</v>
      </c>
      <c r="B4271" s="1">
        <v>2</v>
      </c>
      <c r="C4271" s="1">
        <v>251</v>
      </c>
      <c r="D4271" s="1">
        <v>1</v>
      </c>
      <c r="E4271" s="1">
        <v>2999.99</v>
      </c>
      <c r="F4271" s="1">
        <v>0.05</v>
      </c>
      <c r="G4271">
        <f t="shared" si="66"/>
        <v>2999.94</v>
      </c>
      <c r="H4271" t="str">
        <f>VLOOKUP(C4271,[1]products!$A:$B,2,FALSE)</f>
        <v>Electra Townie Commute Go! - 2018</v>
      </c>
      <c r="I4271">
        <f>VLOOKUP(C4271,[1]products!$A:$D,4,FALSE)</f>
        <v>3</v>
      </c>
      <c r="J4271" t="str">
        <f>VLOOKUP(I4271,[2]categories!$A$1:$B$8,2,FALSE)</f>
        <v>Cruisers Bicycles</v>
      </c>
    </row>
    <row r="4272" customHeight="1" spans="1:10">
      <c r="A4272" s="1">
        <v>1466</v>
      </c>
      <c r="B4272" s="1">
        <v>3</v>
      </c>
      <c r="C4272" s="1">
        <v>163</v>
      </c>
      <c r="D4272" s="1">
        <v>2</v>
      </c>
      <c r="E4272" s="1">
        <v>1349</v>
      </c>
      <c r="F4272" s="1">
        <v>0.2</v>
      </c>
      <c r="G4272">
        <f t="shared" si="66"/>
        <v>2697.8</v>
      </c>
      <c r="H4272" t="str">
        <f>VLOOKUP(C4272,[1]products!$A:$B,2,FALSE)</f>
        <v>Surly Pack Rat - 2018</v>
      </c>
      <c r="I4272">
        <f>VLOOKUP(C4272,[1]products!$A:$D,4,FALSE)</f>
        <v>7</v>
      </c>
      <c r="J4272" t="str">
        <f>VLOOKUP(I4272,[2]categories!$A$1:$B$8,2,FALSE)</f>
        <v>Road Bikes</v>
      </c>
    </row>
    <row r="4273" customHeight="1" spans="1:10">
      <c r="A4273" s="1">
        <v>1466</v>
      </c>
      <c r="B4273" s="1">
        <v>4</v>
      </c>
      <c r="C4273" s="1">
        <v>39</v>
      </c>
      <c r="D4273" s="1">
        <v>2</v>
      </c>
      <c r="E4273" s="1">
        <v>1499.99</v>
      </c>
      <c r="F4273" s="1">
        <v>0.05</v>
      </c>
      <c r="G4273">
        <f t="shared" si="66"/>
        <v>2999.93</v>
      </c>
      <c r="H4273" t="str">
        <f>VLOOKUP(C4273,[1]products!$A:$B,2,FALSE)</f>
        <v>Trek Stache 5 - 2017</v>
      </c>
      <c r="I4273">
        <f>VLOOKUP(C4273,[1]products!$A:$D,4,FALSE)</f>
        <v>6</v>
      </c>
      <c r="J4273" t="str">
        <f>VLOOKUP(I4273,[2]categories!$A$1:$B$8,2,FALSE)</f>
        <v>Mountain Bikes</v>
      </c>
    </row>
    <row r="4274" customHeight="1" spans="1:10">
      <c r="A4274" s="1">
        <v>1467</v>
      </c>
      <c r="B4274" s="1">
        <v>1</v>
      </c>
      <c r="C4274" s="1">
        <v>18</v>
      </c>
      <c r="D4274" s="1">
        <v>1</v>
      </c>
      <c r="E4274" s="1">
        <v>449</v>
      </c>
      <c r="F4274" s="1">
        <v>0.07</v>
      </c>
      <c r="G4274">
        <f t="shared" si="66"/>
        <v>448.93</v>
      </c>
      <c r="H4274" t="str">
        <f>VLOOKUP(C4274,[1]products!$A:$B,2,FALSE)</f>
        <v>Pure Cycles Western 3-Speed - Women's - 2015/2016</v>
      </c>
      <c r="I4274">
        <f>VLOOKUP(C4274,[1]products!$A:$D,4,FALSE)</f>
        <v>3</v>
      </c>
      <c r="J4274" t="str">
        <f>VLOOKUP(I4274,[2]categories!$A$1:$B$8,2,FALSE)</f>
        <v>Cruisers Bicycles</v>
      </c>
    </row>
    <row r="4275" customHeight="1" spans="1:10">
      <c r="A4275" s="1">
        <v>1467</v>
      </c>
      <c r="B4275" s="1">
        <v>2</v>
      </c>
      <c r="C4275" s="1">
        <v>115</v>
      </c>
      <c r="D4275" s="1">
        <v>1</v>
      </c>
      <c r="E4275" s="1">
        <v>3199.99</v>
      </c>
      <c r="F4275" s="1">
        <v>0.2</v>
      </c>
      <c r="G4275">
        <f t="shared" si="66"/>
        <v>3199.79</v>
      </c>
      <c r="H4275" t="str">
        <f>VLOOKUP(C4275,[1]products!$A:$B,2,FALSE)</f>
        <v>Trek Fuel EX 8 29 - 2018</v>
      </c>
      <c r="I4275">
        <f>VLOOKUP(C4275,[1]products!$A:$D,4,FALSE)</f>
        <v>6</v>
      </c>
      <c r="J4275" t="str">
        <f>VLOOKUP(I4275,[2]categories!$A$1:$B$8,2,FALSE)</f>
        <v>Mountain Bikes</v>
      </c>
    </row>
    <row r="4276" customHeight="1" spans="1:10">
      <c r="A4276" s="1">
        <v>1467</v>
      </c>
      <c r="B4276" s="1">
        <v>3</v>
      </c>
      <c r="C4276" s="1">
        <v>278</v>
      </c>
      <c r="D4276" s="1">
        <v>2</v>
      </c>
      <c r="E4276" s="1">
        <v>369.99</v>
      </c>
      <c r="F4276" s="1">
        <v>0.1</v>
      </c>
      <c r="G4276">
        <f t="shared" si="66"/>
        <v>739.88</v>
      </c>
      <c r="H4276" t="str">
        <f>VLOOKUP(C4276,[1]products!$A:$B,2,FALSE)</f>
        <v>Trek Precaliber 24 21-speed Girl's - 2018</v>
      </c>
      <c r="I4276">
        <f>VLOOKUP(C4276,[1]products!$A:$D,4,FALSE)</f>
        <v>1</v>
      </c>
      <c r="J4276" t="str">
        <f>VLOOKUP(I4276,[2]categories!$A$1:$B$8,2,FALSE)</f>
        <v>Children Bicycles</v>
      </c>
    </row>
    <row r="4277" customHeight="1" spans="1:10">
      <c r="A4277" s="1">
        <v>1468</v>
      </c>
      <c r="B4277" s="1">
        <v>1</v>
      </c>
      <c r="C4277" s="1">
        <v>269</v>
      </c>
      <c r="D4277" s="1">
        <v>1</v>
      </c>
      <c r="E4277" s="1">
        <v>199.99</v>
      </c>
      <c r="F4277" s="1">
        <v>0.05</v>
      </c>
      <c r="G4277">
        <f t="shared" si="66"/>
        <v>199.94</v>
      </c>
      <c r="H4277" t="str">
        <f>VLOOKUP(C4277,[1]products!$A:$B,2,FALSE)</f>
        <v>Trek Precaliber 12 Boy's - 2018</v>
      </c>
      <c r="I4277">
        <f>VLOOKUP(C4277,[1]products!$A:$D,4,FALSE)</f>
        <v>1</v>
      </c>
      <c r="J4277" t="str">
        <f>VLOOKUP(I4277,[2]categories!$A$1:$B$8,2,FALSE)</f>
        <v>Children Bicycles</v>
      </c>
    </row>
    <row r="4278" customHeight="1" spans="1:10">
      <c r="A4278" s="1">
        <v>1468</v>
      </c>
      <c r="B4278" s="1">
        <v>2</v>
      </c>
      <c r="C4278" s="1">
        <v>58</v>
      </c>
      <c r="D4278" s="1">
        <v>1</v>
      </c>
      <c r="E4278" s="1">
        <v>4999.99</v>
      </c>
      <c r="F4278" s="1">
        <v>0.07</v>
      </c>
      <c r="G4278">
        <f t="shared" si="66"/>
        <v>4999.92</v>
      </c>
      <c r="H4278" t="str">
        <f>VLOOKUP(C4278,[1]products!$A:$B,2,FALSE)</f>
        <v>Trek Madone 9.2 - 2017</v>
      </c>
      <c r="I4278">
        <f>VLOOKUP(C4278,[1]products!$A:$D,4,FALSE)</f>
        <v>7</v>
      </c>
      <c r="J4278" t="str">
        <f>VLOOKUP(I4278,[2]categories!$A$1:$B$8,2,FALSE)</f>
        <v>Road Bikes</v>
      </c>
    </row>
    <row r="4279" customHeight="1" spans="1:10">
      <c r="A4279" s="1">
        <v>1468</v>
      </c>
      <c r="B4279" s="1">
        <v>3</v>
      </c>
      <c r="C4279" s="1">
        <v>50</v>
      </c>
      <c r="D4279" s="1">
        <v>2</v>
      </c>
      <c r="E4279" s="1">
        <v>5999.99</v>
      </c>
      <c r="F4279" s="1">
        <v>0.07</v>
      </c>
      <c r="G4279">
        <f t="shared" si="66"/>
        <v>11999.91</v>
      </c>
      <c r="H4279" t="str">
        <f>VLOOKUP(C4279,[1]products!$A:$B,2,FALSE)</f>
        <v>Trek Silque SLR 7 Women's - 2017</v>
      </c>
      <c r="I4279">
        <f>VLOOKUP(C4279,[1]products!$A:$D,4,FALSE)</f>
        <v>7</v>
      </c>
      <c r="J4279" t="str">
        <f>VLOOKUP(I4279,[2]categories!$A$1:$B$8,2,FALSE)</f>
        <v>Road Bikes</v>
      </c>
    </row>
    <row r="4280" customHeight="1" spans="1:10">
      <c r="A4280" s="1">
        <v>1469</v>
      </c>
      <c r="B4280" s="1">
        <v>1</v>
      </c>
      <c r="C4280" s="1">
        <v>77</v>
      </c>
      <c r="D4280" s="1">
        <v>2</v>
      </c>
      <c r="E4280" s="1">
        <v>799.99</v>
      </c>
      <c r="F4280" s="1">
        <v>0.2</v>
      </c>
      <c r="G4280">
        <f t="shared" si="66"/>
        <v>1599.78</v>
      </c>
      <c r="H4280" t="str">
        <f>VLOOKUP(C4280,[1]products!$A:$B,2,FALSE)</f>
        <v>Electra Glam Punk 3i Ladies' - 2017</v>
      </c>
      <c r="I4280">
        <f>VLOOKUP(C4280,[1]products!$A:$D,4,FALSE)</f>
        <v>3</v>
      </c>
      <c r="J4280" t="str">
        <f>VLOOKUP(I4280,[2]categories!$A$1:$B$8,2,FALSE)</f>
        <v>Cruisers Bicycles</v>
      </c>
    </row>
    <row r="4281" customHeight="1" spans="1:10">
      <c r="A4281" s="1">
        <v>1469</v>
      </c>
      <c r="B4281" s="1">
        <v>2</v>
      </c>
      <c r="C4281" s="1">
        <v>237</v>
      </c>
      <c r="D4281" s="1">
        <v>2</v>
      </c>
      <c r="E4281" s="1">
        <v>849.99</v>
      </c>
      <c r="F4281" s="1">
        <v>0.05</v>
      </c>
      <c r="G4281">
        <f t="shared" si="66"/>
        <v>1699.93</v>
      </c>
      <c r="H4281" t="str">
        <f>VLOOKUP(C4281,[1]products!$A:$B,2,FALSE)</f>
        <v>Electra Relic 3i - 2018</v>
      </c>
      <c r="I4281">
        <f>VLOOKUP(C4281,[1]products!$A:$D,4,FALSE)</f>
        <v>3</v>
      </c>
      <c r="J4281" t="str">
        <f>VLOOKUP(I4281,[2]categories!$A$1:$B$8,2,FALSE)</f>
        <v>Cruisers Bicycles</v>
      </c>
    </row>
    <row r="4282" customHeight="1" spans="1:10">
      <c r="A4282" s="1">
        <v>1469</v>
      </c>
      <c r="B4282" s="1">
        <v>3</v>
      </c>
      <c r="C4282" s="1">
        <v>182</v>
      </c>
      <c r="D4282" s="1">
        <v>1</v>
      </c>
      <c r="E4282" s="1">
        <v>2499.99</v>
      </c>
      <c r="F4282" s="1">
        <v>0.07</v>
      </c>
      <c r="G4282">
        <f t="shared" si="66"/>
        <v>2499.92</v>
      </c>
      <c r="H4282" t="str">
        <f>VLOOKUP(C4282,[1]products!$A:$B,2,FALSE)</f>
        <v>Trek Domane SL 5 Disc - 2018</v>
      </c>
      <c r="I4282">
        <f>VLOOKUP(C4282,[1]products!$A:$D,4,FALSE)</f>
        <v>7</v>
      </c>
      <c r="J4282" t="str">
        <f>VLOOKUP(I4282,[2]categories!$A$1:$B$8,2,FALSE)</f>
        <v>Road Bikes</v>
      </c>
    </row>
    <row r="4283" customHeight="1" spans="1:10">
      <c r="A4283" s="1">
        <v>1469</v>
      </c>
      <c r="B4283" s="1">
        <v>4</v>
      </c>
      <c r="C4283" s="1">
        <v>100</v>
      </c>
      <c r="D4283" s="1">
        <v>2</v>
      </c>
      <c r="E4283" s="1">
        <v>489.99</v>
      </c>
      <c r="F4283" s="1">
        <v>0.05</v>
      </c>
      <c r="G4283">
        <f t="shared" si="66"/>
        <v>979.93</v>
      </c>
      <c r="H4283" t="str">
        <f>VLOOKUP(C4283,[1]products!$A:$B,2,FALSE)</f>
        <v>Electra Townie 3i EQ (20-inch) - Boys' - 2017</v>
      </c>
      <c r="I4283">
        <f>VLOOKUP(C4283,[1]products!$A:$D,4,FALSE)</f>
        <v>1</v>
      </c>
      <c r="J4283" t="str">
        <f>VLOOKUP(I4283,[2]categories!$A$1:$B$8,2,FALSE)</f>
        <v>Children Bicycles</v>
      </c>
    </row>
    <row r="4284" customHeight="1" spans="1:10">
      <c r="A4284" s="1">
        <v>1470</v>
      </c>
      <c r="B4284" s="1">
        <v>1</v>
      </c>
      <c r="C4284" s="1">
        <v>110</v>
      </c>
      <c r="D4284" s="1">
        <v>2</v>
      </c>
      <c r="E4284" s="1">
        <v>470.99</v>
      </c>
      <c r="F4284" s="1">
        <v>0.1</v>
      </c>
      <c r="G4284">
        <f t="shared" si="66"/>
        <v>941.88</v>
      </c>
      <c r="H4284" t="str">
        <f>VLOOKUP(C4284,[1]products!$A:$B,2,FALSE)</f>
        <v>Sun Bicycles Drifter 7 - 2017</v>
      </c>
      <c r="I4284">
        <f>VLOOKUP(C4284,[1]products!$A:$D,4,FALSE)</f>
        <v>2</v>
      </c>
      <c r="J4284" t="str">
        <f>VLOOKUP(I4284,[2]categories!$A$1:$B$8,2,FALSE)</f>
        <v>Comfort Bicycles</v>
      </c>
    </row>
    <row r="4285" customHeight="1" spans="1:10">
      <c r="A4285" s="1">
        <v>1470</v>
      </c>
      <c r="B4285" s="1">
        <v>2</v>
      </c>
      <c r="C4285" s="1">
        <v>287</v>
      </c>
      <c r="D4285" s="1">
        <v>1</v>
      </c>
      <c r="E4285" s="1">
        <v>279.99</v>
      </c>
      <c r="F4285" s="1">
        <v>0.05</v>
      </c>
      <c r="G4285">
        <f t="shared" si="66"/>
        <v>279.94</v>
      </c>
      <c r="H4285" t="str">
        <f>VLOOKUP(C4285,[1]products!$A:$B,2,FALSE)</f>
        <v>Electra Straight 8 1 (16-inch) - Boy's - 2018</v>
      </c>
      <c r="I4285">
        <f>VLOOKUP(C4285,[1]products!$A:$D,4,FALSE)</f>
        <v>1</v>
      </c>
      <c r="J4285" t="str">
        <f>VLOOKUP(I4285,[2]categories!$A$1:$B$8,2,FALSE)</f>
        <v>Children Bicycles</v>
      </c>
    </row>
    <row r="4286" customHeight="1" spans="1:10">
      <c r="A4286" s="1">
        <v>1470</v>
      </c>
      <c r="B4286" s="1">
        <v>3</v>
      </c>
      <c r="C4286" s="1">
        <v>252</v>
      </c>
      <c r="D4286" s="1">
        <v>2</v>
      </c>
      <c r="E4286" s="1">
        <v>2999.99</v>
      </c>
      <c r="F4286" s="1">
        <v>0.05</v>
      </c>
      <c r="G4286">
        <f t="shared" si="66"/>
        <v>5999.93</v>
      </c>
      <c r="H4286" t="str">
        <f>VLOOKUP(C4286,[1]products!$A:$B,2,FALSE)</f>
        <v>Electra Townie Commute Go! Ladies' - 2018</v>
      </c>
      <c r="I4286">
        <f>VLOOKUP(C4286,[1]products!$A:$D,4,FALSE)</f>
        <v>3</v>
      </c>
      <c r="J4286" t="str">
        <f>VLOOKUP(I4286,[2]categories!$A$1:$B$8,2,FALSE)</f>
        <v>Cruisers Bicycles</v>
      </c>
    </row>
    <row r="4287" customHeight="1" spans="1:10">
      <c r="A4287" s="1">
        <v>1471</v>
      </c>
      <c r="B4287" s="1">
        <v>1</v>
      </c>
      <c r="C4287" s="1">
        <v>59</v>
      </c>
      <c r="D4287" s="1">
        <v>2</v>
      </c>
      <c r="E4287" s="1">
        <v>2599.99</v>
      </c>
      <c r="F4287" s="1">
        <v>0.2</v>
      </c>
      <c r="G4287">
        <f t="shared" si="66"/>
        <v>5199.78</v>
      </c>
      <c r="H4287" t="str">
        <f>VLOOKUP(C4287,[1]products!$A:$B,2,FALSE)</f>
        <v>Trek Domane S 5 Disc - 2017</v>
      </c>
      <c r="I4287">
        <f>VLOOKUP(C4287,[1]products!$A:$D,4,FALSE)</f>
        <v>7</v>
      </c>
      <c r="J4287" t="str">
        <f>VLOOKUP(I4287,[2]categories!$A$1:$B$8,2,FALSE)</f>
        <v>Road Bikes</v>
      </c>
    </row>
    <row r="4288" customHeight="1" spans="1:10">
      <c r="A4288" s="1">
        <v>1471</v>
      </c>
      <c r="B4288" s="1">
        <v>2</v>
      </c>
      <c r="C4288" s="1">
        <v>136</v>
      </c>
      <c r="D4288" s="1">
        <v>1</v>
      </c>
      <c r="E4288" s="1">
        <v>1799.99</v>
      </c>
      <c r="F4288" s="1">
        <v>0.07</v>
      </c>
      <c r="G4288">
        <f t="shared" si="66"/>
        <v>1799.92</v>
      </c>
      <c r="H4288" t="str">
        <f>VLOOKUP(C4288,[1]products!$A:$B,2,FALSE)</f>
        <v>Trek Procaliber 6 - 2018</v>
      </c>
      <c r="I4288">
        <f>VLOOKUP(C4288,[1]products!$A:$D,4,FALSE)</f>
        <v>6</v>
      </c>
      <c r="J4288" t="str">
        <f>VLOOKUP(I4288,[2]categories!$A$1:$B$8,2,FALSE)</f>
        <v>Mountain Bikes</v>
      </c>
    </row>
    <row r="4289" customHeight="1" spans="1:10">
      <c r="A4289" s="1">
        <v>1472</v>
      </c>
      <c r="B4289" s="1">
        <v>1</v>
      </c>
      <c r="C4289" s="1">
        <v>84</v>
      </c>
      <c r="D4289" s="1">
        <v>1</v>
      </c>
      <c r="E4289" s="1">
        <v>109.99</v>
      </c>
      <c r="F4289" s="1">
        <v>0.2</v>
      </c>
      <c r="G4289">
        <f t="shared" si="66"/>
        <v>109.79</v>
      </c>
      <c r="H4289" t="str">
        <f>VLOOKUP(C4289,[1]products!$A:$B,2,FALSE)</f>
        <v>Sun Bicycles Lil Kitt'n - 2017</v>
      </c>
      <c r="I4289">
        <f>VLOOKUP(C4289,[1]products!$A:$D,4,FALSE)</f>
        <v>1</v>
      </c>
      <c r="J4289" t="str">
        <f>VLOOKUP(I4289,[2]categories!$A$1:$B$8,2,FALSE)</f>
        <v>Children Bicycles</v>
      </c>
    </row>
    <row r="4290" customHeight="1" spans="1:10">
      <c r="A4290" s="1">
        <v>1472</v>
      </c>
      <c r="B4290" s="1">
        <v>2</v>
      </c>
      <c r="C4290" s="1">
        <v>300</v>
      </c>
      <c r="D4290" s="1">
        <v>1</v>
      </c>
      <c r="E4290" s="1">
        <v>799.99</v>
      </c>
      <c r="F4290" s="1">
        <v>0.2</v>
      </c>
      <c r="G4290">
        <f t="shared" si="66"/>
        <v>799.79</v>
      </c>
      <c r="H4290" t="str">
        <f>VLOOKUP(C4290,[1]products!$A:$B,2,FALSE)</f>
        <v>Electra Townie Balloon 3i EQ Ladies' - 2018</v>
      </c>
      <c r="I4290">
        <f>VLOOKUP(C4290,[1]products!$A:$D,4,FALSE)</f>
        <v>2</v>
      </c>
      <c r="J4290" t="str">
        <f>VLOOKUP(I4290,[2]categories!$A$1:$B$8,2,FALSE)</f>
        <v>Comfort Bicycles</v>
      </c>
    </row>
    <row r="4291" customHeight="1" spans="1:10">
      <c r="A4291" s="1">
        <v>1473</v>
      </c>
      <c r="B4291" s="1">
        <v>1</v>
      </c>
      <c r="C4291" s="1">
        <v>84</v>
      </c>
      <c r="D4291" s="1">
        <v>2</v>
      </c>
      <c r="E4291" s="1">
        <v>109.99</v>
      </c>
      <c r="F4291" s="1">
        <v>0.2</v>
      </c>
      <c r="G4291">
        <f t="shared" ref="G4291:G4354" si="67">(E4291*D4291)-F4291</f>
        <v>219.78</v>
      </c>
      <c r="H4291" t="str">
        <f>VLOOKUP(C4291,[1]products!$A:$B,2,FALSE)</f>
        <v>Sun Bicycles Lil Kitt'n - 2017</v>
      </c>
      <c r="I4291">
        <f>VLOOKUP(C4291,[1]products!$A:$D,4,FALSE)</f>
        <v>1</v>
      </c>
      <c r="J4291" t="str">
        <f>VLOOKUP(I4291,[2]categories!$A$1:$B$8,2,FALSE)</f>
        <v>Children Bicycles</v>
      </c>
    </row>
    <row r="4292" customHeight="1" spans="1:10">
      <c r="A4292" s="1">
        <v>1473</v>
      </c>
      <c r="B4292" s="1">
        <v>2</v>
      </c>
      <c r="C4292" s="1">
        <v>102</v>
      </c>
      <c r="D4292" s="1">
        <v>1</v>
      </c>
      <c r="E4292" s="1">
        <v>489.99</v>
      </c>
      <c r="F4292" s="1">
        <v>0.07</v>
      </c>
      <c r="G4292">
        <f t="shared" si="67"/>
        <v>489.92</v>
      </c>
      <c r="H4292" t="str">
        <f>VLOOKUP(C4292,[1]products!$A:$B,2,FALSE)</f>
        <v>Electra Townie Original 7D - 2017</v>
      </c>
      <c r="I4292">
        <f>VLOOKUP(C4292,[1]products!$A:$D,4,FALSE)</f>
        <v>2</v>
      </c>
      <c r="J4292" t="str">
        <f>VLOOKUP(I4292,[2]categories!$A$1:$B$8,2,FALSE)</f>
        <v>Comfort Bicycles</v>
      </c>
    </row>
    <row r="4293" customHeight="1" spans="1:10">
      <c r="A4293" s="1">
        <v>1474</v>
      </c>
      <c r="B4293" s="1">
        <v>1</v>
      </c>
      <c r="C4293" s="1">
        <v>301</v>
      </c>
      <c r="D4293" s="1">
        <v>1</v>
      </c>
      <c r="E4293" s="1">
        <v>899.99</v>
      </c>
      <c r="F4293" s="1">
        <v>0.2</v>
      </c>
      <c r="G4293">
        <f t="shared" si="67"/>
        <v>899.79</v>
      </c>
      <c r="H4293" t="str">
        <f>VLOOKUP(C4293,[1]products!$A:$B,2,FALSE)</f>
        <v>Electra Townie Balloon 7i EQ - 2018</v>
      </c>
      <c r="I4293">
        <f>VLOOKUP(C4293,[1]products!$A:$D,4,FALSE)</f>
        <v>2</v>
      </c>
      <c r="J4293" t="str">
        <f>VLOOKUP(I4293,[2]categories!$A$1:$B$8,2,FALSE)</f>
        <v>Comfort Bicycles</v>
      </c>
    </row>
    <row r="4294" customHeight="1" spans="1:10">
      <c r="A4294" s="1">
        <v>1474</v>
      </c>
      <c r="B4294" s="1">
        <v>2</v>
      </c>
      <c r="C4294" s="1">
        <v>123</v>
      </c>
      <c r="D4294" s="1">
        <v>1</v>
      </c>
      <c r="E4294" s="1">
        <v>999.99</v>
      </c>
      <c r="F4294" s="1">
        <v>0.05</v>
      </c>
      <c r="G4294">
        <f t="shared" si="67"/>
        <v>999.94</v>
      </c>
      <c r="H4294" t="str">
        <f>VLOOKUP(C4294,[1]products!$A:$B,2,FALSE)</f>
        <v>Trek Farley Carbon Frameset - 2018</v>
      </c>
      <c r="I4294">
        <f>VLOOKUP(C4294,[1]products!$A:$D,4,FALSE)</f>
        <v>6</v>
      </c>
      <c r="J4294" t="str">
        <f>VLOOKUP(I4294,[2]categories!$A$1:$B$8,2,FALSE)</f>
        <v>Mountain Bikes</v>
      </c>
    </row>
    <row r="4295" customHeight="1" spans="1:10">
      <c r="A4295" s="1">
        <v>1475</v>
      </c>
      <c r="B4295" s="1">
        <v>1</v>
      </c>
      <c r="C4295" s="1">
        <v>306</v>
      </c>
      <c r="D4295" s="1">
        <v>2</v>
      </c>
      <c r="E4295" s="1">
        <v>899.99</v>
      </c>
      <c r="F4295" s="1">
        <v>0.05</v>
      </c>
      <c r="G4295">
        <f t="shared" si="67"/>
        <v>1799.93</v>
      </c>
      <c r="H4295" t="str">
        <f>VLOOKUP(C4295,[1]products!$A:$B,2,FALSE)</f>
        <v>Electra Townie Balloon 7i EQ Ladies' - 2017/2018</v>
      </c>
      <c r="I4295">
        <f>VLOOKUP(C4295,[1]products!$A:$D,4,FALSE)</f>
        <v>2</v>
      </c>
      <c r="J4295" t="str">
        <f>VLOOKUP(I4295,[2]categories!$A$1:$B$8,2,FALSE)</f>
        <v>Comfort Bicycles</v>
      </c>
    </row>
    <row r="4296" customHeight="1" spans="1:10">
      <c r="A4296" s="1">
        <v>1475</v>
      </c>
      <c r="B4296" s="1">
        <v>2</v>
      </c>
      <c r="C4296" s="1">
        <v>261</v>
      </c>
      <c r="D4296" s="1">
        <v>2</v>
      </c>
      <c r="E4296" s="1">
        <v>899.99</v>
      </c>
      <c r="F4296" s="1">
        <v>0.07</v>
      </c>
      <c r="G4296">
        <f t="shared" si="67"/>
        <v>1799.91</v>
      </c>
      <c r="H4296" t="str">
        <f>VLOOKUP(C4296,[1]products!$A:$B,2,FALSE)</f>
        <v>Electra Townie Balloon 7i EQ - 2018</v>
      </c>
      <c r="I4296">
        <f>VLOOKUP(C4296,[1]products!$A:$D,4,FALSE)</f>
        <v>3</v>
      </c>
      <c r="J4296" t="str">
        <f>VLOOKUP(I4296,[2]categories!$A$1:$B$8,2,FALSE)</f>
        <v>Cruisers Bicycles</v>
      </c>
    </row>
    <row r="4297" customHeight="1" spans="1:10">
      <c r="A4297" s="1">
        <v>1475</v>
      </c>
      <c r="B4297" s="1">
        <v>3</v>
      </c>
      <c r="C4297" s="1">
        <v>161</v>
      </c>
      <c r="D4297" s="1">
        <v>2</v>
      </c>
      <c r="E4297" s="1">
        <v>1899</v>
      </c>
      <c r="F4297" s="1">
        <v>0.05</v>
      </c>
      <c r="G4297">
        <f t="shared" si="67"/>
        <v>3797.95</v>
      </c>
      <c r="H4297" t="str">
        <f>VLOOKUP(C4297,[1]products!$A:$B,2,FALSE)</f>
        <v>Surly ECR - 2018</v>
      </c>
      <c r="I4297">
        <f>VLOOKUP(C4297,[1]products!$A:$D,4,FALSE)</f>
        <v>7</v>
      </c>
      <c r="J4297" t="str">
        <f>VLOOKUP(I4297,[2]categories!$A$1:$B$8,2,FALSE)</f>
        <v>Road Bikes</v>
      </c>
    </row>
    <row r="4298" customHeight="1" spans="1:10">
      <c r="A4298" s="1">
        <v>1475</v>
      </c>
      <c r="B4298" s="1">
        <v>4</v>
      </c>
      <c r="C4298" s="1">
        <v>248</v>
      </c>
      <c r="D4298" s="1">
        <v>2</v>
      </c>
      <c r="E4298" s="1">
        <v>599.99</v>
      </c>
      <c r="F4298" s="1">
        <v>0.2</v>
      </c>
      <c r="G4298">
        <f t="shared" si="67"/>
        <v>1199.78</v>
      </c>
      <c r="H4298" t="str">
        <f>VLOOKUP(C4298,[1]products!$A:$B,2,FALSE)</f>
        <v>Electra Townie Original 7D EQ Ladies' - 2017/2018</v>
      </c>
      <c r="I4298">
        <f>VLOOKUP(C4298,[1]products!$A:$D,4,FALSE)</f>
        <v>3</v>
      </c>
      <c r="J4298" t="str">
        <f>VLOOKUP(I4298,[2]categories!$A$1:$B$8,2,FALSE)</f>
        <v>Cruisers Bicycles</v>
      </c>
    </row>
    <row r="4299" customHeight="1" spans="1:10">
      <c r="A4299" s="1">
        <v>1476</v>
      </c>
      <c r="B4299" s="1">
        <v>1</v>
      </c>
      <c r="C4299" s="1">
        <v>142</v>
      </c>
      <c r="D4299" s="1">
        <v>2</v>
      </c>
      <c r="E4299" s="1">
        <v>3199.99</v>
      </c>
      <c r="F4299" s="1">
        <v>0.07</v>
      </c>
      <c r="G4299">
        <f t="shared" si="67"/>
        <v>6399.91</v>
      </c>
      <c r="H4299" t="str">
        <f>VLOOKUP(C4299,[1]products!$A:$B,2,FALSE)</f>
        <v>Trek Fuel EX 8 29 XT - 2018</v>
      </c>
      <c r="I4299">
        <f>VLOOKUP(C4299,[1]products!$A:$D,4,FALSE)</f>
        <v>6</v>
      </c>
      <c r="J4299" t="str">
        <f>VLOOKUP(I4299,[2]categories!$A$1:$B$8,2,FALSE)</f>
        <v>Mountain Bikes</v>
      </c>
    </row>
    <row r="4300" customHeight="1" spans="1:10">
      <c r="A4300" s="1">
        <v>1476</v>
      </c>
      <c r="B4300" s="1">
        <v>2</v>
      </c>
      <c r="C4300" s="1">
        <v>91</v>
      </c>
      <c r="D4300" s="1">
        <v>2</v>
      </c>
      <c r="E4300" s="1">
        <v>349.99</v>
      </c>
      <c r="F4300" s="1">
        <v>0.07</v>
      </c>
      <c r="G4300">
        <f t="shared" si="67"/>
        <v>699.91</v>
      </c>
      <c r="H4300" t="str">
        <f>VLOOKUP(C4300,[1]products!$A:$B,2,FALSE)</f>
        <v>Trek Precaliber 24 (21-Speed) - Girls - 2017</v>
      </c>
      <c r="I4300">
        <f>VLOOKUP(C4300,[1]products!$A:$D,4,FALSE)</f>
        <v>1</v>
      </c>
      <c r="J4300" t="str">
        <f>VLOOKUP(I4300,[2]categories!$A$1:$B$8,2,FALSE)</f>
        <v>Children Bicycles</v>
      </c>
    </row>
    <row r="4301" customHeight="1" spans="1:10">
      <c r="A4301" s="1">
        <v>1476</v>
      </c>
      <c r="B4301" s="1">
        <v>3</v>
      </c>
      <c r="C4301" s="1">
        <v>43</v>
      </c>
      <c r="D4301" s="1">
        <v>1</v>
      </c>
      <c r="E4301" s="1">
        <v>5299.99</v>
      </c>
      <c r="F4301" s="1">
        <v>0.07</v>
      </c>
      <c r="G4301">
        <f t="shared" si="67"/>
        <v>5299.92</v>
      </c>
      <c r="H4301" t="str">
        <f>VLOOKUP(C4301,[1]products!$A:$B,2,FALSE)</f>
        <v>Trek Fuel EX 9.8 27.5 Plus - 2017</v>
      </c>
      <c r="I4301">
        <f>VLOOKUP(C4301,[1]products!$A:$D,4,FALSE)</f>
        <v>6</v>
      </c>
      <c r="J4301" t="str">
        <f>VLOOKUP(I4301,[2]categories!$A$1:$B$8,2,FALSE)</f>
        <v>Mountain Bikes</v>
      </c>
    </row>
    <row r="4302" customHeight="1" spans="1:10">
      <c r="A4302" s="1">
        <v>1476</v>
      </c>
      <c r="B4302" s="1">
        <v>4</v>
      </c>
      <c r="C4302" s="1">
        <v>191</v>
      </c>
      <c r="D4302" s="1">
        <v>1</v>
      </c>
      <c r="E4302" s="1">
        <v>2799.99</v>
      </c>
      <c r="F4302" s="1">
        <v>0.1</v>
      </c>
      <c r="G4302">
        <f t="shared" si="67"/>
        <v>2799.89</v>
      </c>
      <c r="H4302" t="str">
        <f>VLOOKUP(C4302,[1]products!$A:$B,2,FALSE)</f>
        <v>Electra Loft Go! 8i - 2018</v>
      </c>
      <c r="I4302">
        <f>VLOOKUP(C4302,[1]products!$A:$D,4,FALSE)</f>
        <v>5</v>
      </c>
      <c r="J4302" t="str">
        <f>VLOOKUP(I4302,[2]categories!$A$1:$B$8,2,FALSE)</f>
        <v>Electric Bikes</v>
      </c>
    </row>
    <row r="4303" customHeight="1" spans="1:10">
      <c r="A4303" s="1">
        <v>1476</v>
      </c>
      <c r="B4303" s="1">
        <v>5</v>
      </c>
      <c r="C4303" s="1">
        <v>265</v>
      </c>
      <c r="D4303" s="1">
        <v>2</v>
      </c>
      <c r="E4303" s="1">
        <v>289.99</v>
      </c>
      <c r="F4303" s="1">
        <v>0.1</v>
      </c>
      <c r="G4303">
        <f t="shared" si="67"/>
        <v>579.88</v>
      </c>
      <c r="H4303" t="str">
        <f>VLOOKUP(C4303,[1]products!$A:$B,2,FALSE)</f>
        <v>Strider Strider 20 Sport - 2018</v>
      </c>
      <c r="I4303">
        <f>VLOOKUP(C4303,[1]products!$A:$D,4,FALSE)</f>
        <v>1</v>
      </c>
      <c r="J4303" t="str">
        <f>VLOOKUP(I4303,[2]categories!$A$1:$B$8,2,FALSE)</f>
        <v>Children Bicycles</v>
      </c>
    </row>
    <row r="4304" customHeight="1" spans="1:10">
      <c r="A4304" s="1">
        <v>1477</v>
      </c>
      <c r="B4304" s="1">
        <v>1</v>
      </c>
      <c r="C4304" s="1">
        <v>210</v>
      </c>
      <c r="D4304" s="1">
        <v>2</v>
      </c>
      <c r="E4304" s="1">
        <v>1549</v>
      </c>
      <c r="F4304" s="1">
        <v>0.2</v>
      </c>
      <c r="G4304">
        <f t="shared" si="67"/>
        <v>3097.8</v>
      </c>
      <c r="H4304" t="str">
        <f>VLOOKUP(C4304,[1]products!$A:$B,2,FALSE)</f>
        <v>Surly Straggler - 2018</v>
      </c>
      <c r="I4304">
        <f>VLOOKUP(C4304,[1]products!$A:$D,4,FALSE)</f>
        <v>4</v>
      </c>
      <c r="J4304" t="str">
        <f>VLOOKUP(I4304,[2]categories!$A$1:$B$8,2,FALSE)</f>
        <v>Cyclocross Bicycles</v>
      </c>
    </row>
    <row r="4305" customHeight="1" spans="1:10">
      <c r="A4305" s="1">
        <v>1478</v>
      </c>
      <c r="B4305" s="1">
        <v>1</v>
      </c>
      <c r="C4305" s="1">
        <v>100</v>
      </c>
      <c r="D4305" s="1">
        <v>2</v>
      </c>
      <c r="E4305" s="1">
        <v>489.99</v>
      </c>
      <c r="F4305" s="1">
        <v>0.1</v>
      </c>
      <c r="G4305">
        <f t="shared" si="67"/>
        <v>979.88</v>
      </c>
      <c r="H4305" t="str">
        <f>VLOOKUP(C4305,[1]products!$A:$B,2,FALSE)</f>
        <v>Electra Townie 3i EQ (20-inch) - Boys' - 2017</v>
      </c>
      <c r="I4305">
        <f>VLOOKUP(C4305,[1]products!$A:$D,4,FALSE)</f>
        <v>1</v>
      </c>
      <c r="J4305" t="str">
        <f>VLOOKUP(I4305,[2]categories!$A$1:$B$8,2,FALSE)</f>
        <v>Children Bicycles</v>
      </c>
    </row>
    <row r="4306" customHeight="1" spans="1:10">
      <c r="A4306" s="1">
        <v>1478</v>
      </c>
      <c r="B4306" s="1">
        <v>2</v>
      </c>
      <c r="C4306" s="1">
        <v>123</v>
      </c>
      <c r="D4306" s="1">
        <v>1</v>
      </c>
      <c r="E4306" s="1">
        <v>999.99</v>
      </c>
      <c r="F4306" s="1">
        <v>0.2</v>
      </c>
      <c r="G4306">
        <f t="shared" si="67"/>
        <v>999.79</v>
      </c>
      <c r="H4306" t="str">
        <f>VLOOKUP(C4306,[1]products!$A:$B,2,FALSE)</f>
        <v>Trek Farley Carbon Frameset - 2018</v>
      </c>
      <c r="I4306">
        <f>VLOOKUP(C4306,[1]products!$A:$D,4,FALSE)</f>
        <v>6</v>
      </c>
      <c r="J4306" t="str">
        <f>VLOOKUP(I4306,[2]categories!$A$1:$B$8,2,FALSE)</f>
        <v>Mountain Bikes</v>
      </c>
    </row>
    <row r="4307" customHeight="1" spans="1:10">
      <c r="A4307" s="1">
        <v>1479</v>
      </c>
      <c r="B4307" s="1">
        <v>1</v>
      </c>
      <c r="C4307" s="1">
        <v>252</v>
      </c>
      <c r="D4307" s="1">
        <v>1</v>
      </c>
      <c r="E4307" s="1">
        <v>2999.99</v>
      </c>
      <c r="F4307" s="1">
        <v>0.05</v>
      </c>
      <c r="G4307">
        <f t="shared" si="67"/>
        <v>2999.94</v>
      </c>
      <c r="H4307" t="str">
        <f>VLOOKUP(C4307,[1]products!$A:$B,2,FALSE)</f>
        <v>Electra Townie Commute Go! Ladies' - 2018</v>
      </c>
      <c r="I4307">
        <f>VLOOKUP(C4307,[1]products!$A:$D,4,FALSE)</f>
        <v>3</v>
      </c>
      <c r="J4307" t="str">
        <f>VLOOKUP(I4307,[2]categories!$A$1:$B$8,2,FALSE)</f>
        <v>Cruisers Bicycles</v>
      </c>
    </row>
    <row r="4308" customHeight="1" spans="1:10">
      <c r="A4308" s="1">
        <v>1479</v>
      </c>
      <c r="B4308" s="1">
        <v>2</v>
      </c>
      <c r="C4308" s="1">
        <v>256</v>
      </c>
      <c r="D4308" s="1">
        <v>1</v>
      </c>
      <c r="E4308" s="1">
        <v>899.99</v>
      </c>
      <c r="F4308" s="1">
        <v>0.1</v>
      </c>
      <c r="G4308">
        <f t="shared" si="67"/>
        <v>899.89</v>
      </c>
      <c r="H4308" t="str">
        <f>VLOOKUP(C4308,[1]products!$A:$B,2,FALSE)</f>
        <v>Electra Townie Commute 27D - 2018</v>
      </c>
      <c r="I4308">
        <f>VLOOKUP(C4308,[1]products!$A:$D,4,FALSE)</f>
        <v>3</v>
      </c>
      <c r="J4308" t="str">
        <f>VLOOKUP(I4308,[2]categories!$A$1:$B$8,2,FALSE)</f>
        <v>Cruisers Bicycles</v>
      </c>
    </row>
    <row r="4309" customHeight="1" spans="1:10">
      <c r="A4309" s="1">
        <v>1480</v>
      </c>
      <c r="B4309" s="1">
        <v>1</v>
      </c>
      <c r="C4309" s="1">
        <v>308</v>
      </c>
      <c r="D4309" s="1">
        <v>2</v>
      </c>
      <c r="E4309" s="1">
        <v>749.99</v>
      </c>
      <c r="F4309" s="1">
        <v>0.1</v>
      </c>
      <c r="G4309">
        <f t="shared" si="67"/>
        <v>1499.88</v>
      </c>
      <c r="H4309" t="str">
        <f>VLOOKUP(C4309,[1]products!$A:$B,2,FALSE)</f>
        <v>Electra Townie Balloon 8D EQ Ladies' - 2016/2017/2018</v>
      </c>
      <c r="I4309">
        <f>VLOOKUP(C4309,[1]products!$A:$D,4,FALSE)</f>
        <v>2</v>
      </c>
      <c r="J4309" t="str">
        <f>VLOOKUP(I4309,[2]categories!$A$1:$B$8,2,FALSE)</f>
        <v>Comfort Bicycles</v>
      </c>
    </row>
    <row r="4310" customHeight="1" spans="1:10">
      <c r="A4310" s="1">
        <v>1480</v>
      </c>
      <c r="B4310" s="1">
        <v>2</v>
      </c>
      <c r="C4310" s="1">
        <v>82</v>
      </c>
      <c r="D4310" s="1">
        <v>2</v>
      </c>
      <c r="E4310" s="1">
        <v>659.99</v>
      </c>
      <c r="F4310" s="1">
        <v>0.1</v>
      </c>
      <c r="G4310">
        <f t="shared" si="67"/>
        <v>1319.88</v>
      </c>
      <c r="H4310" t="str">
        <f>VLOOKUP(C4310,[1]products!$A:$B,2,FALSE)</f>
        <v>Electra Amsterdam Original 3i Ladies' - 2017</v>
      </c>
      <c r="I4310">
        <f>VLOOKUP(C4310,[1]products!$A:$D,4,FALSE)</f>
        <v>3</v>
      </c>
      <c r="J4310" t="str">
        <f>VLOOKUP(I4310,[2]categories!$A$1:$B$8,2,FALSE)</f>
        <v>Cruisers Bicycles</v>
      </c>
    </row>
    <row r="4311" customHeight="1" spans="1:10">
      <c r="A4311" s="1">
        <v>1480</v>
      </c>
      <c r="B4311" s="1">
        <v>3</v>
      </c>
      <c r="C4311" s="1">
        <v>92</v>
      </c>
      <c r="D4311" s="1">
        <v>2</v>
      </c>
      <c r="E4311" s="1">
        <v>209.99</v>
      </c>
      <c r="F4311" s="1">
        <v>0.07</v>
      </c>
      <c r="G4311">
        <f t="shared" si="67"/>
        <v>419.91</v>
      </c>
      <c r="H4311" t="str">
        <f>VLOOKUP(C4311,[1]products!$A:$B,2,FALSE)</f>
        <v>Haro Shredder 20 - 2017</v>
      </c>
      <c r="I4311">
        <f>VLOOKUP(C4311,[1]products!$A:$D,4,FALSE)</f>
        <v>1</v>
      </c>
      <c r="J4311" t="str">
        <f>VLOOKUP(I4311,[2]categories!$A$1:$B$8,2,FALSE)</f>
        <v>Children Bicycles</v>
      </c>
    </row>
    <row r="4312" customHeight="1" spans="1:10">
      <c r="A4312" s="1">
        <v>1480</v>
      </c>
      <c r="B4312" s="1">
        <v>4</v>
      </c>
      <c r="C4312" s="1">
        <v>225</v>
      </c>
      <c r="D4312" s="1">
        <v>2</v>
      </c>
      <c r="E4312" s="1">
        <v>959.99</v>
      </c>
      <c r="F4312" s="1">
        <v>0.07</v>
      </c>
      <c r="G4312">
        <f t="shared" si="67"/>
        <v>1919.91</v>
      </c>
      <c r="H4312" t="str">
        <f>VLOOKUP(C4312,[1]products!$A:$B,2,FALSE)</f>
        <v>Electra Delivery 3i - 2016/2017/2018</v>
      </c>
      <c r="I4312">
        <f>VLOOKUP(C4312,[1]products!$A:$D,4,FALSE)</f>
        <v>3</v>
      </c>
      <c r="J4312" t="str">
        <f>VLOOKUP(I4312,[2]categories!$A$1:$B$8,2,FALSE)</f>
        <v>Cruisers Bicycles</v>
      </c>
    </row>
    <row r="4313" customHeight="1" spans="1:10">
      <c r="A4313" s="1">
        <v>1481</v>
      </c>
      <c r="B4313" s="1">
        <v>1</v>
      </c>
      <c r="C4313" s="1">
        <v>53</v>
      </c>
      <c r="D4313" s="1">
        <v>2</v>
      </c>
      <c r="E4313" s="1">
        <v>749.99</v>
      </c>
      <c r="F4313" s="1">
        <v>0.07</v>
      </c>
      <c r="G4313">
        <f t="shared" si="67"/>
        <v>1499.91</v>
      </c>
      <c r="H4313" t="str">
        <f>VLOOKUP(C4313,[1]products!$A:$B,2,FALSE)</f>
        <v>Surly Ogre Frameset - 2017</v>
      </c>
      <c r="I4313">
        <f>VLOOKUP(C4313,[1]products!$A:$D,4,FALSE)</f>
        <v>7</v>
      </c>
      <c r="J4313" t="str">
        <f>VLOOKUP(I4313,[2]categories!$A$1:$B$8,2,FALSE)</f>
        <v>Road Bikes</v>
      </c>
    </row>
    <row r="4314" customHeight="1" spans="1:10">
      <c r="A4314" s="1">
        <v>1481</v>
      </c>
      <c r="B4314" s="1">
        <v>2</v>
      </c>
      <c r="C4314" s="1">
        <v>130</v>
      </c>
      <c r="D4314" s="1">
        <v>1</v>
      </c>
      <c r="E4314" s="1">
        <v>919.99</v>
      </c>
      <c r="F4314" s="1">
        <v>0.1</v>
      </c>
      <c r="G4314">
        <f t="shared" si="67"/>
        <v>919.89</v>
      </c>
      <c r="H4314" t="str">
        <f>VLOOKUP(C4314,[1]products!$A:$B,2,FALSE)</f>
        <v>Trek Stache Carbon Frameset - 2018</v>
      </c>
      <c r="I4314">
        <f>VLOOKUP(C4314,[1]products!$A:$D,4,FALSE)</f>
        <v>6</v>
      </c>
      <c r="J4314" t="str">
        <f>VLOOKUP(I4314,[2]categories!$A$1:$B$8,2,FALSE)</f>
        <v>Mountain Bikes</v>
      </c>
    </row>
    <row r="4315" customHeight="1" spans="1:10">
      <c r="A4315" s="1">
        <v>1482</v>
      </c>
      <c r="B4315" s="1">
        <v>1</v>
      </c>
      <c r="C4315" s="1">
        <v>48</v>
      </c>
      <c r="D4315" s="1">
        <v>1</v>
      </c>
      <c r="E4315" s="1">
        <v>1499.99</v>
      </c>
      <c r="F4315" s="1">
        <v>0.1</v>
      </c>
      <c r="G4315">
        <f t="shared" si="67"/>
        <v>1499.89</v>
      </c>
      <c r="H4315" t="str">
        <f>VLOOKUP(C4315,[1]products!$A:$B,2,FALSE)</f>
        <v>Trek Emonda S 4 - 2017</v>
      </c>
      <c r="I4315">
        <f>VLOOKUP(C4315,[1]products!$A:$D,4,FALSE)</f>
        <v>7</v>
      </c>
      <c r="J4315" t="str">
        <f>VLOOKUP(I4315,[2]categories!$A$1:$B$8,2,FALSE)</f>
        <v>Road Bikes</v>
      </c>
    </row>
    <row r="4316" customHeight="1" spans="1:10">
      <c r="A4316" s="1">
        <v>1482</v>
      </c>
      <c r="B4316" s="1">
        <v>2</v>
      </c>
      <c r="C4316" s="1">
        <v>113</v>
      </c>
      <c r="D4316" s="1">
        <v>1</v>
      </c>
      <c r="E4316" s="1">
        <v>489.99</v>
      </c>
      <c r="F4316" s="1">
        <v>0.05</v>
      </c>
      <c r="G4316">
        <f t="shared" si="67"/>
        <v>489.94</v>
      </c>
      <c r="H4316" t="str">
        <f>VLOOKUP(C4316,[1]products!$A:$B,2,FALSE)</f>
        <v>Trek Marlin 5 - 2018</v>
      </c>
      <c r="I4316">
        <f>VLOOKUP(C4316,[1]products!$A:$D,4,FALSE)</f>
        <v>6</v>
      </c>
      <c r="J4316" t="str">
        <f>VLOOKUP(I4316,[2]categories!$A$1:$B$8,2,FALSE)</f>
        <v>Mountain Bikes</v>
      </c>
    </row>
    <row r="4317" customHeight="1" spans="1:10">
      <c r="A4317" s="1">
        <v>1482</v>
      </c>
      <c r="B4317" s="1">
        <v>3</v>
      </c>
      <c r="C4317" s="1">
        <v>58</v>
      </c>
      <c r="D4317" s="1">
        <v>2</v>
      </c>
      <c r="E4317" s="1">
        <v>4999.99</v>
      </c>
      <c r="F4317" s="1">
        <v>0.07</v>
      </c>
      <c r="G4317">
        <f t="shared" si="67"/>
        <v>9999.91</v>
      </c>
      <c r="H4317" t="str">
        <f>VLOOKUP(C4317,[1]products!$A:$B,2,FALSE)</f>
        <v>Trek Madone 9.2 - 2017</v>
      </c>
      <c r="I4317">
        <f>VLOOKUP(C4317,[1]products!$A:$D,4,FALSE)</f>
        <v>7</v>
      </c>
      <c r="J4317" t="str">
        <f>VLOOKUP(I4317,[2]categories!$A$1:$B$8,2,FALSE)</f>
        <v>Road Bikes</v>
      </c>
    </row>
    <row r="4318" customHeight="1" spans="1:10">
      <c r="A4318" s="1">
        <v>1482</v>
      </c>
      <c r="B4318" s="1">
        <v>4</v>
      </c>
      <c r="C4318" s="1">
        <v>40</v>
      </c>
      <c r="D4318" s="1">
        <v>1</v>
      </c>
      <c r="E4318" s="1">
        <v>4999.99</v>
      </c>
      <c r="F4318" s="1">
        <v>0.05</v>
      </c>
      <c r="G4318">
        <f t="shared" si="67"/>
        <v>4999.94</v>
      </c>
      <c r="H4318" t="str">
        <f>VLOOKUP(C4318,[1]products!$A:$B,2,FALSE)</f>
        <v>Trek Fuel EX 9.8 29 - 2017</v>
      </c>
      <c r="I4318">
        <f>VLOOKUP(C4318,[1]products!$A:$D,4,FALSE)</f>
        <v>6</v>
      </c>
      <c r="J4318" t="str">
        <f>VLOOKUP(I4318,[2]categories!$A$1:$B$8,2,FALSE)</f>
        <v>Mountain Bikes</v>
      </c>
    </row>
    <row r="4319" customHeight="1" spans="1:10">
      <c r="A4319" s="1">
        <v>1482</v>
      </c>
      <c r="B4319" s="1">
        <v>5</v>
      </c>
      <c r="C4319" s="1">
        <v>205</v>
      </c>
      <c r="D4319" s="1">
        <v>2</v>
      </c>
      <c r="E4319" s="1">
        <v>4999.99</v>
      </c>
      <c r="F4319" s="1">
        <v>0.05</v>
      </c>
      <c r="G4319">
        <f t="shared" si="67"/>
        <v>9999.93</v>
      </c>
      <c r="H4319" t="str">
        <f>VLOOKUP(C4319,[1]products!$A:$B,2,FALSE)</f>
        <v>Trek Super Commuter+ 8S - 2018</v>
      </c>
      <c r="I4319">
        <f>VLOOKUP(C4319,[1]products!$A:$D,4,FALSE)</f>
        <v>5</v>
      </c>
      <c r="J4319" t="str">
        <f>VLOOKUP(I4319,[2]categories!$A$1:$B$8,2,FALSE)</f>
        <v>Electric Bikes</v>
      </c>
    </row>
    <row r="4320" customHeight="1" spans="1:10">
      <c r="A4320" s="1">
        <v>1483</v>
      </c>
      <c r="B4320" s="1">
        <v>1</v>
      </c>
      <c r="C4320" s="1">
        <v>280</v>
      </c>
      <c r="D4320" s="1">
        <v>1</v>
      </c>
      <c r="E4320" s="1">
        <v>489.99</v>
      </c>
      <c r="F4320" s="1">
        <v>0.05</v>
      </c>
      <c r="G4320">
        <f t="shared" si="67"/>
        <v>489.94</v>
      </c>
      <c r="H4320" t="str">
        <f>VLOOKUP(C4320,[1]products!$A:$B,2,FALSE)</f>
        <v>Trek Superfly 24 - 2017/2018</v>
      </c>
      <c r="I4320">
        <f>VLOOKUP(C4320,[1]products!$A:$D,4,FALSE)</f>
        <v>1</v>
      </c>
      <c r="J4320" t="str">
        <f>VLOOKUP(I4320,[2]categories!$A$1:$B$8,2,FALSE)</f>
        <v>Children Bicycles</v>
      </c>
    </row>
    <row r="4321" customHeight="1" spans="1:10">
      <c r="A4321" s="1">
        <v>1483</v>
      </c>
      <c r="B4321" s="1">
        <v>2</v>
      </c>
      <c r="C4321" s="1">
        <v>226</v>
      </c>
      <c r="D4321" s="1">
        <v>2</v>
      </c>
      <c r="E4321" s="1">
        <v>679.99</v>
      </c>
      <c r="F4321" s="1">
        <v>0.07</v>
      </c>
      <c r="G4321">
        <f t="shared" si="67"/>
        <v>1359.91</v>
      </c>
      <c r="H4321" t="str">
        <f>VLOOKUP(C4321,[1]products!$A:$B,2,FALSE)</f>
        <v>Electra Townie Original 21D EQ - 2017/2018</v>
      </c>
      <c r="I4321">
        <f>VLOOKUP(C4321,[1]products!$A:$D,4,FALSE)</f>
        <v>3</v>
      </c>
      <c r="J4321" t="str">
        <f>VLOOKUP(I4321,[2]categories!$A$1:$B$8,2,FALSE)</f>
        <v>Cruisers Bicycles</v>
      </c>
    </row>
    <row r="4322" customHeight="1" spans="1:10">
      <c r="A4322" s="1">
        <v>1484</v>
      </c>
      <c r="B4322" s="1">
        <v>1</v>
      </c>
      <c r="C4322" s="1">
        <v>295</v>
      </c>
      <c r="D4322" s="1">
        <v>2</v>
      </c>
      <c r="E4322" s="1">
        <v>319.99</v>
      </c>
      <c r="F4322" s="1">
        <v>0.07</v>
      </c>
      <c r="G4322">
        <f t="shared" si="67"/>
        <v>639.91</v>
      </c>
      <c r="H4322" t="str">
        <f>VLOOKUP(C4322,[1]products!$A:$B,2,FALSE)</f>
        <v>Electra Treasure 1 20" - 2018</v>
      </c>
      <c r="I4322">
        <f>VLOOKUP(C4322,[1]products!$A:$D,4,FALSE)</f>
        <v>1</v>
      </c>
      <c r="J4322" t="str">
        <f>VLOOKUP(I4322,[2]categories!$A$1:$B$8,2,FALSE)</f>
        <v>Children Bicycles</v>
      </c>
    </row>
    <row r="4323" customHeight="1" spans="1:10">
      <c r="A4323" s="1">
        <v>1484</v>
      </c>
      <c r="B4323" s="1">
        <v>2</v>
      </c>
      <c r="C4323" s="1">
        <v>49</v>
      </c>
      <c r="D4323" s="1">
        <v>2</v>
      </c>
      <c r="E4323" s="1">
        <v>3499.99</v>
      </c>
      <c r="F4323" s="1">
        <v>0.2</v>
      </c>
      <c r="G4323">
        <f t="shared" si="67"/>
        <v>6999.78</v>
      </c>
      <c r="H4323" t="str">
        <f>VLOOKUP(C4323,[1]products!$A:$B,2,FALSE)</f>
        <v>Trek Domane SL 6 - 2017</v>
      </c>
      <c r="I4323">
        <f>VLOOKUP(C4323,[1]products!$A:$D,4,FALSE)</f>
        <v>7</v>
      </c>
      <c r="J4323" t="str">
        <f>VLOOKUP(I4323,[2]categories!$A$1:$B$8,2,FALSE)</f>
        <v>Road Bikes</v>
      </c>
    </row>
    <row r="4324" customHeight="1" spans="1:10">
      <c r="A4324" s="1">
        <v>1484</v>
      </c>
      <c r="B4324" s="1">
        <v>3</v>
      </c>
      <c r="C4324" s="1">
        <v>304</v>
      </c>
      <c r="D4324" s="1">
        <v>2</v>
      </c>
      <c r="E4324" s="1">
        <v>679.99</v>
      </c>
      <c r="F4324" s="1">
        <v>0.05</v>
      </c>
      <c r="G4324">
        <f t="shared" si="67"/>
        <v>1359.93</v>
      </c>
      <c r="H4324" t="str">
        <f>VLOOKUP(C4324,[1]products!$A:$B,2,FALSE)</f>
        <v>Electra Townie Original 21D EQ - 2017/2018</v>
      </c>
      <c r="I4324">
        <f>VLOOKUP(C4324,[1]products!$A:$D,4,FALSE)</f>
        <v>2</v>
      </c>
      <c r="J4324" t="str">
        <f>VLOOKUP(I4324,[2]categories!$A$1:$B$8,2,FALSE)</f>
        <v>Comfort Bicycles</v>
      </c>
    </row>
    <row r="4325" customHeight="1" spans="1:10">
      <c r="A4325" s="1">
        <v>1485</v>
      </c>
      <c r="B4325" s="1">
        <v>1</v>
      </c>
      <c r="C4325" s="1">
        <v>122</v>
      </c>
      <c r="D4325" s="1">
        <v>2</v>
      </c>
      <c r="E4325" s="1">
        <v>2499.99</v>
      </c>
      <c r="F4325" s="1">
        <v>0.2</v>
      </c>
      <c r="G4325">
        <f t="shared" si="67"/>
        <v>4999.78</v>
      </c>
      <c r="H4325" t="str">
        <f>VLOOKUP(C4325,[1]products!$A:$B,2,FALSE)</f>
        <v>Surly Troll Frameset - 2018</v>
      </c>
      <c r="I4325">
        <f>VLOOKUP(C4325,[1]products!$A:$D,4,FALSE)</f>
        <v>6</v>
      </c>
      <c r="J4325" t="str">
        <f>VLOOKUP(I4325,[2]categories!$A$1:$B$8,2,FALSE)</f>
        <v>Mountain Bikes</v>
      </c>
    </row>
    <row r="4326" customHeight="1" spans="1:10">
      <c r="A4326" s="1">
        <v>1485</v>
      </c>
      <c r="B4326" s="1">
        <v>2</v>
      </c>
      <c r="C4326" s="1">
        <v>276</v>
      </c>
      <c r="D4326" s="1">
        <v>1</v>
      </c>
      <c r="E4326" s="1">
        <v>319.99</v>
      </c>
      <c r="F4326" s="1">
        <v>0.2</v>
      </c>
      <c r="G4326">
        <f t="shared" si="67"/>
        <v>319.79</v>
      </c>
      <c r="H4326" t="str">
        <f>VLOOKUP(C4326,[1]products!$A:$B,2,FALSE)</f>
        <v>Trek Precaliber 24 (7-Speed) - Boys - 2018</v>
      </c>
      <c r="I4326">
        <f>VLOOKUP(C4326,[1]products!$A:$D,4,FALSE)</f>
        <v>1</v>
      </c>
      <c r="J4326" t="str">
        <f>VLOOKUP(I4326,[2]categories!$A$1:$B$8,2,FALSE)</f>
        <v>Children Bicycles</v>
      </c>
    </row>
    <row r="4327" customHeight="1" spans="1:10">
      <c r="A4327" s="1">
        <v>1486</v>
      </c>
      <c r="B4327" s="1">
        <v>1</v>
      </c>
      <c r="C4327" s="1">
        <v>60</v>
      </c>
      <c r="D4327" s="1">
        <v>2</v>
      </c>
      <c r="E4327" s="1">
        <v>1559.99</v>
      </c>
      <c r="F4327" s="1">
        <v>0.05</v>
      </c>
      <c r="G4327">
        <f t="shared" si="67"/>
        <v>3119.93</v>
      </c>
      <c r="H4327" t="str">
        <f>VLOOKUP(C4327,[1]products!$A:$B,2,FALSE)</f>
        <v>Sun Bicycles ElectroLite - 2017</v>
      </c>
      <c r="I4327">
        <f>VLOOKUP(C4327,[1]products!$A:$D,4,FALSE)</f>
        <v>5</v>
      </c>
      <c r="J4327" t="str">
        <f>VLOOKUP(I4327,[2]categories!$A$1:$B$8,2,FALSE)</f>
        <v>Electric Bikes</v>
      </c>
    </row>
    <row r="4328" customHeight="1" spans="1:10">
      <c r="A4328" s="1">
        <v>1486</v>
      </c>
      <c r="B4328" s="1">
        <v>2</v>
      </c>
      <c r="C4328" s="1">
        <v>98</v>
      </c>
      <c r="D4328" s="1">
        <v>1</v>
      </c>
      <c r="E4328" s="1">
        <v>489.99</v>
      </c>
      <c r="F4328" s="1">
        <v>0.05</v>
      </c>
      <c r="G4328">
        <f t="shared" si="67"/>
        <v>489.94</v>
      </c>
      <c r="H4328" t="str">
        <f>VLOOKUP(C4328,[1]products!$A:$B,2,FALSE)</f>
        <v>Electra Straight 8 3i (20-inch) - Boy's - 2017</v>
      </c>
      <c r="I4328">
        <f>VLOOKUP(C4328,[1]products!$A:$D,4,FALSE)</f>
        <v>1</v>
      </c>
      <c r="J4328" t="str">
        <f>VLOOKUP(I4328,[2]categories!$A$1:$B$8,2,FALSE)</f>
        <v>Children Bicycles</v>
      </c>
    </row>
    <row r="4329" customHeight="1" spans="1:10">
      <c r="A4329" s="1">
        <v>1486</v>
      </c>
      <c r="B4329" s="1">
        <v>3</v>
      </c>
      <c r="C4329" s="1">
        <v>113</v>
      </c>
      <c r="D4329" s="1">
        <v>1</v>
      </c>
      <c r="E4329" s="1">
        <v>489.99</v>
      </c>
      <c r="F4329" s="1">
        <v>0.1</v>
      </c>
      <c r="G4329">
        <f t="shared" si="67"/>
        <v>489.89</v>
      </c>
      <c r="H4329" t="str">
        <f>VLOOKUP(C4329,[1]products!$A:$B,2,FALSE)</f>
        <v>Trek Marlin 5 - 2018</v>
      </c>
      <c r="I4329">
        <f>VLOOKUP(C4329,[1]products!$A:$D,4,FALSE)</f>
        <v>6</v>
      </c>
      <c r="J4329" t="str">
        <f>VLOOKUP(I4329,[2]categories!$A$1:$B$8,2,FALSE)</f>
        <v>Mountain Bikes</v>
      </c>
    </row>
    <row r="4330" customHeight="1" spans="1:10">
      <c r="A4330" s="1">
        <v>1486</v>
      </c>
      <c r="B4330" s="1">
        <v>4</v>
      </c>
      <c r="C4330" s="1">
        <v>269</v>
      </c>
      <c r="D4330" s="1">
        <v>1</v>
      </c>
      <c r="E4330" s="1">
        <v>199.99</v>
      </c>
      <c r="F4330" s="1">
        <v>0.1</v>
      </c>
      <c r="G4330">
        <f t="shared" si="67"/>
        <v>199.89</v>
      </c>
      <c r="H4330" t="str">
        <f>VLOOKUP(C4330,[1]products!$A:$B,2,FALSE)</f>
        <v>Trek Precaliber 12 Boy's - 2018</v>
      </c>
      <c r="I4330">
        <f>VLOOKUP(C4330,[1]products!$A:$D,4,FALSE)</f>
        <v>1</v>
      </c>
      <c r="J4330" t="str">
        <f>VLOOKUP(I4330,[2]categories!$A$1:$B$8,2,FALSE)</f>
        <v>Children Bicycles</v>
      </c>
    </row>
    <row r="4331" customHeight="1" spans="1:10">
      <c r="A4331" s="1">
        <v>1487</v>
      </c>
      <c r="B4331" s="1">
        <v>1</v>
      </c>
      <c r="C4331" s="1">
        <v>160</v>
      </c>
      <c r="D4331" s="1">
        <v>1</v>
      </c>
      <c r="E4331" s="1">
        <v>4499.99</v>
      </c>
      <c r="F4331" s="1">
        <v>0.07</v>
      </c>
      <c r="G4331">
        <f t="shared" si="67"/>
        <v>4499.92</v>
      </c>
      <c r="H4331" t="str">
        <f>VLOOKUP(C4331,[1]products!$A:$B,2,FALSE)</f>
        <v>Trek Emonda SLR 6 - 2018</v>
      </c>
      <c r="I4331">
        <f>VLOOKUP(C4331,[1]products!$A:$D,4,FALSE)</f>
        <v>7</v>
      </c>
      <c r="J4331" t="str">
        <f>VLOOKUP(I4331,[2]categories!$A$1:$B$8,2,FALSE)</f>
        <v>Road Bikes</v>
      </c>
    </row>
    <row r="4332" customHeight="1" spans="1:10">
      <c r="A4332" s="1">
        <v>1487</v>
      </c>
      <c r="B4332" s="1">
        <v>2</v>
      </c>
      <c r="C4332" s="1">
        <v>151</v>
      </c>
      <c r="D4332" s="1">
        <v>2</v>
      </c>
      <c r="E4332" s="1">
        <v>1549.99</v>
      </c>
      <c r="F4332" s="1">
        <v>0.2</v>
      </c>
      <c r="G4332">
        <f t="shared" si="67"/>
        <v>3099.78</v>
      </c>
      <c r="H4332" t="str">
        <f>VLOOKUP(C4332,[1]products!$A:$B,2,FALSE)</f>
        <v>Trek Domane ALR 4 Disc Women's - 2018</v>
      </c>
      <c r="I4332">
        <f>VLOOKUP(C4332,[1]products!$A:$D,4,FALSE)</f>
        <v>7</v>
      </c>
      <c r="J4332" t="str">
        <f>VLOOKUP(I4332,[2]categories!$A$1:$B$8,2,FALSE)</f>
        <v>Road Bikes</v>
      </c>
    </row>
    <row r="4333" customHeight="1" spans="1:10">
      <c r="A4333" s="1">
        <v>1487</v>
      </c>
      <c r="B4333" s="1">
        <v>3</v>
      </c>
      <c r="C4333" s="1">
        <v>198</v>
      </c>
      <c r="D4333" s="1">
        <v>1</v>
      </c>
      <c r="E4333" s="1">
        <v>2999.99</v>
      </c>
      <c r="F4333" s="1">
        <v>0.05</v>
      </c>
      <c r="G4333">
        <f t="shared" si="67"/>
        <v>2999.94</v>
      </c>
      <c r="H4333" t="str">
        <f>VLOOKUP(C4333,[1]products!$A:$B,2,FALSE)</f>
        <v>Electra Townie Commute Go! - 2018</v>
      </c>
      <c r="I4333">
        <f>VLOOKUP(C4333,[1]products!$A:$D,4,FALSE)</f>
        <v>5</v>
      </c>
      <c r="J4333" t="str">
        <f>VLOOKUP(I4333,[2]categories!$A$1:$B$8,2,FALSE)</f>
        <v>Electric Bikes</v>
      </c>
    </row>
    <row r="4334" customHeight="1" spans="1:10">
      <c r="A4334" s="1">
        <v>1487</v>
      </c>
      <c r="B4334" s="1">
        <v>4</v>
      </c>
      <c r="C4334" s="1">
        <v>196</v>
      </c>
      <c r="D4334" s="1">
        <v>1</v>
      </c>
      <c r="E4334" s="1">
        <v>2299.99</v>
      </c>
      <c r="F4334" s="1">
        <v>0.05</v>
      </c>
      <c r="G4334">
        <f t="shared" si="67"/>
        <v>2299.94</v>
      </c>
      <c r="H4334" t="str">
        <f>VLOOKUP(C4334,[1]products!$A:$B,2,FALSE)</f>
        <v>Trek Verve+ - 2018</v>
      </c>
      <c r="I4334">
        <f>VLOOKUP(C4334,[1]products!$A:$D,4,FALSE)</f>
        <v>5</v>
      </c>
      <c r="J4334" t="str">
        <f>VLOOKUP(I4334,[2]categories!$A$1:$B$8,2,FALSE)</f>
        <v>Electric Bikes</v>
      </c>
    </row>
    <row r="4335" customHeight="1" spans="1:10">
      <c r="A4335" s="1">
        <v>1487</v>
      </c>
      <c r="B4335" s="1">
        <v>5</v>
      </c>
      <c r="C4335" s="1">
        <v>96</v>
      </c>
      <c r="D4335" s="1">
        <v>2</v>
      </c>
      <c r="E4335" s="1">
        <v>349.99</v>
      </c>
      <c r="F4335" s="1">
        <v>0.2</v>
      </c>
      <c r="G4335">
        <f t="shared" si="67"/>
        <v>699.78</v>
      </c>
      <c r="H4335" t="str">
        <f>VLOOKUP(C4335,[1]products!$A:$B,2,FALSE)</f>
        <v>Electra Moto 3i (20-inch) - Boy's - 2017</v>
      </c>
      <c r="I4335">
        <f>VLOOKUP(C4335,[1]products!$A:$D,4,FALSE)</f>
        <v>1</v>
      </c>
      <c r="J4335" t="str">
        <f>VLOOKUP(I4335,[2]categories!$A$1:$B$8,2,FALSE)</f>
        <v>Children Bicycles</v>
      </c>
    </row>
    <row r="4336" customHeight="1" spans="1:10">
      <c r="A4336" s="1">
        <v>1488</v>
      </c>
      <c r="B4336" s="1">
        <v>1</v>
      </c>
      <c r="C4336" s="1">
        <v>42</v>
      </c>
      <c r="D4336" s="1">
        <v>1</v>
      </c>
      <c r="E4336" s="1">
        <v>2299.99</v>
      </c>
      <c r="F4336" s="1">
        <v>0.07</v>
      </c>
      <c r="G4336">
        <f t="shared" si="67"/>
        <v>2299.92</v>
      </c>
      <c r="H4336" t="str">
        <f>VLOOKUP(C4336,[1]products!$A:$B,2,FALSE)</f>
        <v>Trek Fuel EX 5 27.5 Plus - 2017</v>
      </c>
      <c r="I4336">
        <f>VLOOKUP(C4336,[1]products!$A:$D,4,FALSE)</f>
        <v>6</v>
      </c>
      <c r="J4336" t="str">
        <f>VLOOKUP(I4336,[2]categories!$A$1:$B$8,2,FALSE)</f>
        <v>Mountain Bikes</v>
      </c>
    </row>
    <row r="4337" customHeight="1" spans="1:10">
      <c r="A4337" s="1">
        <v>1488</v>
      </c>
      <c r="B4337" s="1">
        <v>2</v>
      </c>
      <c r="C4337" s="1">
        <v>122</v>
      </c>
      <c r="D4337" s="1">
        <v>1</v>
      </c>
      <c r="E4337" s="1">
        <v>2499.99</v>
      </c>
      <c r="F4337" s="1">
        <v>0.07</v>
      </c>
      <c r="G4337">
        <f t="shared" si="67"/>
        <v>2499.92</v>
      </c>
      <c r="H4337" t="str">
        <f>VLOOKUP(C4337,[1]products!$A:$B,2,FALSE)</f>
        <v>Surly Troll Frameset - 2018</v>
      </c>
      <c r="I4337">
        <f>VLOOKUP(C4337,[1]products!$A:$D,4,FALSE)</f>
        <v>6</v>
      </c>
      <c r="J4337" t="str">
        <f>VLOOKUP(I4337,[2]categories!$A$1:$B$8,2,FALSE)</f>
        <v>Mountain Bikes</v>
      </c>
    </row>
    <row r="4338" customHeight="1" spans="1:10">
      <c r="A4338" s="1">
        <v>1489</v>
      </c>
      <c r="B4338" s="1">
        <v>1</v>
      </c>
      <c r="C4338" s="1">
        <v>198</v>
      </c>
      <c r="D4338" s="1">
        <v>1</v>
      </c>
      <c r="E4338" s="1">
        <v>2999.99</v>
      </c>
      <c r="F4338" s="1">
        <v>0.2</v>
      </c>
      <c r="G4338">
        <f t="shared" si="67"/>
        <v>2999.79</v>
      </c>
      <c r="H4338" t="str">
        <f>VLOOKUP(C4338,[1]products!$A:$B,2,FALSE)</f>
        <v>Electra Townie Commute Go! - 2018</v>
      </c>
      <c r="I4338">
        <f>VLOOKUP(C4338,[1]products!$A:$D,4,FALSE)</f>
        <v>5</v>
      </c>
      <c r="J4338" t="str">
        <f>VLOOKUP(I4338,[2]categories!$A$1:$B$8,2,FALSE)</f>
        <v>Electric Bikes</v>
      </c>
    </row>
    <row r="4339" customHeight="1" spans="1:10">
      <c r="A4339" s="1">
        <v>1489</v>
      </c>
      <c r="B4339" s="1">
        <v>2</v>
      </c>
      <c r="C4339" s="1">
        <v>282</v>
      </c>
      <c r="D4339" s="1">
        <v>2</v>
      </c>
      <c r="E4339" s="1">
        <v>279.99</v>
      </c>
      <c r="F4339" s="1">
        <v>0.2</v>
      </c>
      <c r="G4339">
        <f t="shared" si="67"/>
        <v>559.78</v>
      </c>
      <c r="H4339" t="str">
        <f>VLOOKUP(C4339,[1]products!$A:$B,2,FALSE)</f>
        <v>Electra Cyclosaurus 1 (16-inch) - Boy's - 2018</v>
      </c>
      <c r="I4339">
        <f>VLOOKUP(C4339,[1]products!$A:$D,4,FALSE)</f>
        <v>1</v>
      </c>
      <c r="J4339" t="str">
        <f>VLOOKUP(I4339,[2]categories!$A$1:$B$8,2,FALSE)</f>
        <v>Children Bicycles</v>
      </c>
    </row>
    <row r="4340" customHeight="1" spans="1:10">
      <c r="A4340" s="1">
        <v>1489</v>
      </c>
      <c r="B4340" s="1">
        <v>3</v>
      </c>
      <c r="C4340" s="1">
        <v>52</v>
      </c>
      <c r="D4340" s="1">
        <v>1</v>
      </c>
      <c r="E4340" s="1">
        <v>875.99</v>
      </c>
      <c r="F4340" s="1">
        <v>0.1</v>
      </c>
      <c r="G4340">
        <f t="shared" si="67"/>
        <v>875.89</v>
      </c>
      <c r="H4340" t="str">
        <f>VLOOKUP(C4340,[1]products!$A:$B,2,FALSE)</f>
        <v>Surly Steamroller - 2017</v>
      </c>
      <c r="I4340">
        <f>VLOOKUP(C4340,[1]products!$A:$D,4,FALSE)</f>
        <v>7</v>
      </c>
      <c r="J4340" t="str">
        <f>VLOOKUP(I4340,[2]categories!$A$1:$B$8,2,FALSE)</f>
        <v>Road Bikes</v>
      </c>
    </row>
    <row r="4341" customHeight="1" spans="1:10">
      <c r="A4341" s="1">
        <v>1490</v>
      </c>
      <c r="B4341" s="1">
        <v>1</v>
      </c>
      <c r="C4341" s="1">
        <v>99</v>
      </c>
      <c r="D4341" s="1">
        <v>1</v>
      </c>
      <c r="E4341" s="1">
        <v>299.99</v>
      </c>
      <c r="F4341" s="1">
        <v>0.1</v>
      </c>
      <c r="G4341">
        <f t="shared" si="67"/>
        <v>299.89</v>
      </c>
      <c r="H4341" t="str">
        <f>VLOOKUP(C4341,[1]products!$A:$B,2,FALSE)</f>
        <v>Electra Sugar Skulls 1 (20-inch) - Girl's - 2017</v>
      </c>
      <c r="I4341">
        <f>VLOOKUP(C4341,[1]products!$A:$D,4,FALSE)</f>
        <v>1</v>
      </c>
      <c r="J4341" t="str">
        <f>VLOOKUP(I4341,[2]categories!$A$1:$B$8,2,FALSE)</f>
        <v>Children Bicycles</v>
      </c>
    </row>
    <row r="4342" customHeight="1" spans="1:10">
      <c r="A4342" s="1">
        <v>1490</v>
      </c>
      <c r="B4342" s="1">
        <v>2</v>
      </c>
      <c r="C4342" s="1">
        <v>254</v>
      </c>
      <c r="D4342" s="1">
        <v>1</v>
      </c>
      <c r="E4342" s="1">
        <v>749.99</v>
      </c>
      <c r="F4342" s="1">
        <v>0.1</v>
      </c>
      <c r="G4342">
        <f t="shared" si="67"/>
        <v>749.89</v>
      </c>
      <c r="H4342" t="str">
        <f>VLOOKUP(C4342,[1]products!$A:$B,2,FALSE)</f>
        <v>Electra Townie Balloon 3i EQ - 2017/2018</v>
      </c>
      <c r="I4342">
        <f>VLOOKUP(C4342,[1]products!$A:$D,4,FALSE)</f>
        <v>3</v>
      </c>
      <c r="J4342" t="str">
        <f>VLOOKUP(I4342,[2]categories!$A$1:$B$8,2,FALSE)</f>
        <v>Cruisers Bicycles</v>
      </c>
    </row>
    <row r="4343" customHeight="1" spans="1:10">
      <c r="A4343" s="1">
        <v>1490</v>
      </c>
      <c r="B4343" s="1">
        <v>3</v>
      </c>
      <c r="C4343" s="1">
        <v>218</v>
      </c>
      <c r="D4343" s="1">
        <v>1</v>
      </c>
      <c r="E4343" s="1">
        <v>319.99</v>
      </c>
      <c r="F4343" s="1">
        <v>0.05</v>
      </c>
      <c r="G4343">
        <f t="shared" si="67"/>
        <v>319.94</v>
      </c>
      <c r="H4343" t="str">
        <f>VLOOKUP(C4343,[1]products!$A:$B,2,FALSE)</f>
        <v>Electra Cruiser 7D - 2016/2017/2018</v>
      </c>
      <c r="I4343">
        <f>VLOOKUP(C4343,[1]products!$A:$D,4,FALSE)</f>
        <v>3</v>
      </c>
      <c r="J4343" t="str">
        <f>VLOOKUP(I4343,[2]categories!$A$1:$B$8,2,FALSE)</f>
        <v>Cruisers Bicycles</v>
      </c>
    </row>
    <row r="4344" customHeight="1" spans="1:10">
      <c r="A4344" s="1">
        <v>1491</v>
      </c>
      <c r="B4344" s="1">
        <v>1</v>
      </c>
      <c r="C4344" s="1">
        <v>95</v>
      </c>
      <c r="D4344" s="1">
        <v>2</v>
      </c>
      <c r="E4344" s="1">
        <v>299.99</v>
      </c>
      <c r="F4344" s="1">
        <v>0.2</v>
      </c>
      <c r="G4344">
        <f t="shared" si="67"/>
        <v>599.78</v>
      </c>
      <c r="H4344" t="str">
        <f>VLOOKUP(C4344,[1]products!$A:$B,2,FALSE)</f>
        <v>Electra Girl's Hawaii 1 16" - 2017</v>
      </c>
      <c r="I4344">
        <f>VLOOKUP(C4344,[1]products!$A:$D,4,FALSE)</f>
        <v>1</v>
      </c>
      <c r="J4344" t="str">
        <f>VLOOKUP(I4344,[2]categories!$A$1:$B$8,2,FALSE)</f>
        <v>Children Bicycles</v>
      </c>
    </row>
    <row r="4345" customHeight="1" spans="1:10">
      <c r="A4345" s="1">
        <v>1491</v>
      </c>
      <c r="B4345" s="1">
        <v>2</v>
      </c>
      <c r="C4345" s="1">
        <v>302</v>
      </c>
      <c r="D4345" s="1">
        <v>1</v>
      </c>
      <c r="E4345" s="1">
        <v>449.99</v>
      </c>
      <c r="F4345" s="1">
        <v>0.05</v>
      </c>
      <c r="G4345">
        <f t="shared" si="67"/>
        <v>449.94</v>
      </c>
      <c r="H4345" t="str">
        <f>VLOOKUP(C4345,[1]products!$A:$B,2,FALSE)</f>
        <v>Electra Townie Original 1 - 2018</v>
      </c>
      <c r="I4345">
        <f>VLOOKUP(C4345,[1]products!$A:$D,4,FALSE)</f>
        <v>2</v>
      </c>
      <c r="J4345" t="str">
        <f>VLOOKUP(I4345,[2]categories!$A$1:$B$8,2,FALSE)</f>
        <v>Comfort Bicycles</v>
      </c>
    </row>
    <row r="4346" customHeight="1" spans="1:10">
      <c r="A4346" s="1">
        <v>1491</v>
      </c>
      <c r="B4346" s="1">
        <v>3</v>
      </c>
      <c r="C4346" s="1">
        <v>60</v>
      </c>
      <c r="D4346" s="1">
        <v>2</v>
      </c>
      <c r="E4346" s="1">
        <v>1559.99</v>
      </c>
      <c r="F4346" s="1">
        <v>0.07</v>
      </c>
      <c r="G4346">
        <f t="shared" si="67"/>
        <v>3119.91</v>
      </c>
      <c r="H4346" t="str">
        <f>VLOOKUP(C4346,[1]products!$A:$B,2,FALSE)</f>
        <v>Sun Bicycles ElectroLite - 2017</v>
      </c>
      <c r="I4346">
        <f>VLOOKUP(C4346,[1]products!$A:$D,4,FALSE)</f>
        <v>5</v>
      </c>
      <c r="J4346" t="str">
        <f>VLOOKUP(I4346,[2]categories!$A$1:$B$8,2,FALSE)</f>
        <v>Electric Bikes</v>
      </c>
    </row>
    <row r="4347" customHeight="1" spans="1:10">
      <c r="A4347" s="1">
        <v>1491</v>
      </c>
      <c r="B4347" s="1">
        <v>4</v>
      </c>
      <c r="C4347" s="1">
        <v>139</v>
      </c>
      <c r="D4347" s="1">
        <v>2</v>
      </c>
      <c r="E4347" s="1">
        <v>2999.99</v>
      </c>
      <c r="F4347" s="1">
        <v>0.07</v>
      </c>
      <c r="G4347">
        <f t="shared" si="67"/>
        <v>5999.91</v>
      </c>
      <c r="H4347" t="str">
        <f>VLOOKUP(C4347,[1]products!$A:$B,2,FALSE)</f>
        <v>Trek Remedy 7 27.5 - 2018</v>
      </c>
      <c r="I4347">
        <f>VLOOKUP(C4347,[1]products!$A:$D,4,FALSE)</f>
        <v>6</v>
      </c>
      <c r="J4347" t="str">
        <f>VLOOKUP(I4347,[2]categories!$A$1:$B$8,2,FALSE)</f>
        <v>Mountain Bikes</v>
      </c>
    </row>
    <row r="4348" customHeight="1" spans="1:10">
      <c r="A4348" s="1">
        <v>1492</v>
      </c>
      <c r="B4348" s="1">
        <v>1</v>
      </c>
      <c r="C4348" s="1">
        <v>37</v>
      </c>
      <c r="D4348" s="1">
        <v>2</v>
      </c>
      <c r="E4348" s="1">
        <v>379.99</v>
      </c>
      <c r="F4348" s="1">
        <v>0.1</v>
      </c>
      <c r="G4348">
        <f t="shared" si="67"/>
        <v>759.88</v>
      </c>
      <c r="H4348" t="str">
        <f>VLOOKUP(C4348,[1]products!$A:$B,2,FALSE)</f>
        <v>Haro Flightline One ST - 2017</v>
      </c>
      <c r="I4348">
        <f>VLOOKUP(C4348,[1]products!$A:$D,4,FALSE)</f>
        <v>6</v>
      </c>
      <c r="J4348" t="str">
        <f>VLOOKUP(I4348,[2]categories!$A$1:$B$8,2,FALSE)</f>
        <v>Mountain Bikes</v>
      </c>
    </row>
    <row r="4349" customHeight="1" spans="1:10">
      <c r="A4349" s="1">
        <v>1493</v>
      </c>
      <c r="B4349" s="1">
        <v>1</v>
      </c>
      <c r="C4349" s="1">
        <v>230</v>
      </c>
      <c r="D4349" s="1">
        <v>1</v>
      </c>
      <c r="E4349" s="1">
        <v>429.99</v>
      </c>
      <c r="F4349" s="1">
        <v>0.1</v>
      </c>
      <c r="G4349">
        <f t="shared" si="67"/>
        <v>429.89</v>
      </c>
      <c r="H4349" t="str">
        <f>VLOOKUP(C4349,[1]products!$A:$B,2,FALSE)</f>
        <v>Electra Cruiser Lux 1 Ladies' - 2018</v>
      </c>
      <c r="I4349">
        <f>VLOOKUP(C4349,[1]products!$A:$D,4,FALSE)</f>
        <v>3</v>
      </c>
      <c r="J4349" t="str">
        <f>VLOOKUP(I4349,[2]categories!$A$1:$B$8,2,FALSE)</f>
        <v>Cruisers Bicycles</v>
      </c>
    </row>
    <row r="4350" customHeight="1" spans="1:10">
      <c r="A4350" s="1">
        <v>1494</v>
      </c>
      <c r="B4350" s="1">
        <v>1</v>
      </c>
      <c r="C4350" s="1">
        <v>230</v>
      </c>
      <c r="D4350" s="1">
        <v>2</v>
      </c>
      <c r="E4350" s="1">
        <v>429.99</v>
      </c>
      <c r="F4350" s="1">
        <v>0.1</v>
      </c>
      <c r="G4350">
        <f t="shared" si="67"/>
        <v>859.88</v>
      </c>
      <c r="H4350" t="str">
        <f>VLOOKUP(C4350,[1]products!$A:$B,2,FALSE)</f>
        <v>Electra Cruiser Lux 1 Ladies' - 2018</v>
      </c>
      <c r="I4350">
        <f>VLOOKUP(C4350,[1]products!$A:$D,4,FALSE)</f>
        <v>3</v>
      </c>
      <c r="J4350" t="str">
        <f>VLOOKUP(I4350,[2]categories!$A$1:$B$8,2,FALSE)</f>
        <v>Cruisers Bicycles</v>
      </c>
    </row>
    <row r="4351" customHeight="1" spans="1:10">
      <c r="A4351" s="1">
        <v>1494</v>
      </c>
      <c r="B4351" s="1">
        <v>2</v>
      </c>
      <c r="C4351" s="1">
        <v>178</v>
      </c>
      <c r="D4351" s="1">
        <v>2</v>
      </c>
      <c r="E4351" s="1">
        <v>749.99</v>
      </c>
      <c r="F4351" s="1">
        <v>0.2</v>
      </c>
      <c r="G4351">
        <f t="shared" si="67"/>
        <v>1499.78</v>
      </c>
      <c r="H4351" t="str">
        <f>VLOOKUP(C4351,[1]products!$A:$B,2,FALSE)</f>
        <v>Trek Domane AL 2 - 2018</v>
      </c>
      <c r="I4351">
        <f>VLOOKUP(C4351,[1]products!$A:$D,4,FALSE)</f>
        <v>7</v>
      </c>
      <c r="J4351" t="str">
        <f>VLOOKUP(I4351,[2]categories!$A$1:$B$8,2,FALSE)</f>
        <v>Road Bikes</v>
      </c>
    </row>
    <row r="4352" customHeight="1" spans="1:10">
      <c r="A4352" s="1">
        <v>1494</v>
      </c>
      <c r="B4352" s="1">
        <v>3</v>
      </c>
      <c r="C4352" s="1">
        <v>264</v>
      </c>
      <c r="D4352" s="1">
        <v>2</v>
      </c>
      <c r="E4352" s="1">
        <v>249.99</v>
      </c>
      <c r="F4352" s="1">
        <v>0.05</v>
      </c>
      <c r="G4352">
        <f t="shared" si="67"/>
        <v>499.93</v>
      </c>
      <c r="H4352" t="str">
        <f>VLOOKUP(C4352,[1]products!$A:$B,2,FALSE)</f>
        <v>Strider Sport 16 - 2018</v>
      </c>
      <c r="I4352">
        <f>VLOOKUP(C4352,[1]products!$A:$D,4,FALSE)</f>
        <v>1</v>
      </c>
      <c r="J4352" t="str">
        <f>VLOOKUP(I4352,[2]categories!$A$1:$B$8,2,FALSE)</f>
        <v>Children Bicycles</v>
      </c>
    </row>
    <row r="4353" customHeight="1" spans="1:10">
      <c r="A4353" s="1">
        <v>1495</v>
      </c>
      <c r="B4353" s="1">
        <v>1</v>
      </c>
      <c r="C4353" s="1">
        <v>292</v>
      </c>
      <c r="D4353" s="1">
        <v>2</v>
      </c>
      <c r="E4353" s="1">
        <v>369.99</v>
      </c>
      <c r="F4353" s="1">
        <v>0.05</v>
      </c>
      <c r="G4353">
        <f t="shared" si="67"/>
        <v>739.93</v>
      </c>
      <c r="H4353" t="str">
        <f>VLOOKUP(C4353,[1]products!$A:$B,2,FALSE)</f>
        <v>Electra Sweet Ride 3i (20-inch) - Girls' - 2018</v>
      </c>
      <c r="I4353">
        <f>VLOOKUP(C4353,[1]products!$A:$D,4,FALSE)</f>
        <v>1</v>
      </c>
      <c r="J4353" t="str">
        <f>VLOOKUP(I4353,[2]categories!$A$1:$B$8,2,FALSE)</f>
        <v>Children Bicycles</v>
      </c>
    </row>
    <row r="4354" customHeight="1" spans="1:10">
      <c r="A4354" s="1">
        <v>1495</v>
      </c>
      <c r="B4354" s="1">
        <v>2</v>
      </c>
      <c r="C4354" s="1">
        <v>308</v>
      </c>
      <c r="D4354" s="1">
        <v>2</v>
      </c>
      <c r="E4354" s="1">
        <v>749.99</v>
      </c>
      <c r="F4354" s="1">
        <v>0.2</v>
      </c>
      <c r="G4354">
        <f t="shared" si="67"/>
        <v>1499.78</v>
      </c>
      <c r="H4354" t="str">
        <f>VLOOKUP(C4354,[1]products!$A:$B,2,FALSE)</f>
        <v>Electra Townie Balloon 8D EQ Ladies' - 2016/2017/2018</v>
      </c>
      <c r="I4354">
        <f>VLOOKUP(C4354,[1]products!$A:$D,4,FALSE)</f>
        <v>2</v>
      </c>
      <c r="J4354" t="str">
        <f>VLOOKUP(I4354,[2]categories!$A$1:$B$8,2,FALSE)</f>
        <v>Comfort Bicycles</v>
      </c>
    </row>
    <row r="4355" customHeight="1" spans="1:10">
      <c r="A4355" s="1">
        <v>1495</v>
      </c>
      <c r="B4355" s="1">
        <v>3</v>
      </c>
      <c r="C4355" s="1">
        <v>137</v>
      </c>
      <c r="D4355" s="1">
        <v>1</v>
      </c>
      <c r="E4355" s="1">
        <v>2599</v>
      </c>
      <c r="F4355" s="1">
        <v>0.1</v>
      </c>
      <c r="G4355">
        <f t="shared" ref="G4355:G4418" si="68">(E4355*D4355)-F4355</f>
        <v>2598.9</v>
      </c>
      <c r="H4355" t="str">
        <f>VLOOKUP(C4355,[1]products!$A:$B,2,FALSE)</f>
        <v>Heller Shagamaw GX1 - 2018</v>
      </c>
      <c r="I4355">
        <f>VLOOKUP(C4355,[1]products!$A:$D,4,FALSE)</f>
        <v>6</v>
      </c>
      <c r="J4355" t="str">
        <f>VLOOKUP(I4355,[2]categories!$A$1:$B$8,2,FALSE)</f>
        <v>Mountain Bikes</v>
      </c>
    </row>
    <row r="4356" customHeight="1" spans="1:10">
      <c r="A4356" s="1">
        <v>1496</v>
      </c>
      <c r="B4356" s="1">
        <v>1</v>
      </c>
      <c r="C4356" s="1">
        <v>248</v>
      </c>
      <c r="D4356" s="1">
        <v>1</v>
      </c>
      <c r="E4356" s="1">
        <v>599.99</v>
      </c>
      <c r="F4356" s="1">
        <v>0.07</v>
      </c>
      <c r="G4356">
        <f t="shared" si="68"/>
        <v>599.92</v>
      </c>
      <c r="H4356" t="str">
        <f>VLOOKUP(C4356,[1]products!$A:$B,2,FALSE)</f>
        <v>Electra Townie Original 7D EQ Ladies' - 2017/2018</v>
      </c>
      <c r="I4356">
        <f>VLOOKUP(C4356,[1]products!$A:$D,4,FALSE)</f>
        <v>3</v>
      </c>
      <c r="J4356" t="str">
        <f>VLOOKUP(I4356,[2]categories!$A$1:$B$8,2,FALSE)</f>
        <v>Cruisers Bicycles</v>
      </c>
    </row>
    <row r="4357" customHeight="1" spans="1:10">
      <c r="A4357" s="1">
        <v>1496</v>
      </c>
      <c r="B4357" s="1">
        <v>2</v>
      </c>
      <c r="C4357" s="1">
        <v>214</v>
      </c>
      <c r="D4357" s="1">
        <v>1</v>
      </c>
      <c r="E4357" s="1">
        <v>899.99</v>
      </c>
      <c r="F4357" s="1">
        <v>0.07</v>
      </c>
      <c r="G4357">
        <f t="shared" si="68"/>
        <v>899.92</v>
      </c>
      <c r="H4357" t="str">
        <f>VLOOKUP(C4357,[1]products!$A:$B,2,FALSE)</f>
        <v>Electra Tiger Shark 3i - 2018</v>
      </c>
      <c r="I4357">
        <f>VLOOKUP(C4357,[1]products!$A:$D,4,FALSE)</f>
        <v>3</v>
      </c>
      <c r="J4357" t="str">
        <f>VLOOKUP(I4357,[2]categories!$A$1:$B$8,2,FALSE)</f>
        <v>Cruisers Bicycles</v>
      </c>
    </row>
    <row r="4358" customHeight="1" spans="1:10">
      <c r="A4358" s="1">
        <v>1496</v>
      </c>
      <c r="B4358" s="1">
        <v>3</v>
      </c>
      <c r="C4358" s="1">
        <v>224</v>
      </c>
      <c r="D4358" s="1">
        <v>2</v>
      </c>
      <c r="E4358" s="1">
        <v>479.99</v>
      </c>
      <c r="F4358" s="1">
        <v>0.05</v>
      </c>
      <c r="G4358">
        <f t="shared" si="68"/>
        <v>959.93</v>
      </c>
      <c r="H4358" t="str">
        <f>VLOOKUP(C4358,[1]products!$A:$B,2,FALSE)</f>
        <v>Electra Cruiser Lux 7D - 2018</v>
      </c>
      <c r="I4358">
        <f>VLOOKUP(C4358,[1]products!$A:$D,4,FALSE)</f>
        <v>3</v>
      </c>
      <c r="J4358" t="str">
        <f>VLOOKUP(I4358,[2]categories!$A$1:$B$8,2,FALSE)</f>
        <v>Cruisers Bicycles</v>
      </c>
    </row>
    <row r="4359" customHeight="1" spans="1:10">
      <c r="A4359" s="1">
        <v>1496</v>
      </c>
      <c r="B4359" s="1">
        <v>4</v>
      </c>
      <c r="C4359" s="1">
        <v>302</v>
      </c>
      <c r="D4359" s="1">
        <v>1</v>
      </c>
      <c r="E4359" s="1">
        <v>449.99</v>
      </c>
      <c r="F4359" s="1">
        <v>0.05</v>
      </c>
      <c r="G4359">
        <f t="shared" si="68"/>
        <v>449.94</v>
      </c>
      <c r="H4359" t="str">
        <f>VLOOKUP(C4359,[1]products!$A:$B,2,FALSE)</f>
        <v>Electra Townie Original 1 - 2018</v>
      </c>
      <c r="I4359">
        <f>VLOOKUP(C4359,[1]products!$A:$D,4,FALSE)</f>
        <v>2</v>
      </c>
      <c r="J4359" t="str">
        <f>VLOOKUP(I4359,[2]categories!$A$1:$B$8,2,FALSE)</f>
        <v>Comfort Bicycles</v>
      </c>
    </row>
    <row r="4360" customHeight="1" spans="1:10">
      <c r="A4360" s="1">
        <v>1496</v>
      </c>
      <c r="B4360" s="1">
        <v>5</v>
      </c>
      <c r="C4360" s="1">
        <v>225</v>
      </c>
      <c r="D4360" s="1">
        <v>2</v>
      </c>
      <c r="E4360" s="1">
        <v>959.99</v>
      </c>
      <c r="F4360" s="1">
        <v>0.2</v>
      </c>
      <c r="G4360">
        <f t="shared" si="68"/>
        <v>1919.78</v>
      </c>
      <c r="H4360" t="str">
        <f>VLOOKUP(C4360,[1]products!$A:$B,2,FALSE)</f>
        <v>Electra Delivery 3i - 2016/2017/2018</v>
      </c>
      <c r="I4360">
        <f>VLOOKUP(C4360,[1]products!$A:$D,4,FALSE)</f>
        <v>3</v>
      </c>
      <c r="J4360" t="str">
        <f>VLOOKUP(I4360,[2]categories!$A$1:$B$8,2,FALSE)</f>
        <v>Cruisers Bicycles</v>
      </c>
    </row>
    <row r="4361" customHeight="1" spans="1:10">
      <c r="A4361" s="1">
        <v>1497</v>
      </c>
      <c r="B4361" s="1">
        <v>1</v>
      </c>
      <c r="C4361" s="1">
        <v>141</v>
      </c>
      <c r="D4361" s="1">
        <v>2</v>
      </c>
      <c r="E4361" s="1">
        <v>1599.99</v>
      </c>
      <c r="F4361" s="1">
        <v>0.2</v>
      </c>
      <c r="G4361">
        <f t="shared" si="68"/>
        <v>3199.78</v>
      </c>
      <c r="H4361" t="str">
        <f>VLOOKUP(C4361,[1]products!$A:$B,2,FALSE)</f>
        <v>Trek Stache 5 - 2018</v>
      </c>
      <c r="I4361">
        <f>VLOOKUP(C4361,[1]products!$A:$D,4,FALSE)</f>
        <v>6</v>
      </c>
      <c r="J4361" t="str">
        <f>VLOOKUP(I4361,[2]categories!$A$1:$B$8,2,FALSE)</f>
        <v>Mountain Bikes</v>
      </c>
    </row>
    <row r="4362" customHeight="1" spans="1:10">
      <c r="A4362" s="1">
        <v>1497</v>
      </c>
      <c r="B4362" s="1">
        <v>2</v>
      </c>
      <c r="C4362" s="1">
        <v>198</v>
      </c>
      <c r="D4362" s="1">
        <v>2</v>
      </c>
      <c r="E4362" s="1">
        <v>2999.99</v>
      </c>
      <c r="F4362" s="1">
        <v>0.1</v>
      </c>
      <c r="G4362">
        <f t="shared" si="68"/>
        <v>5999.88</v>
      </c>
      <c r="H4362" t="str">
        <f>VLOOKUP(C4362,[1]products!$A:$B,2,FALSE)</f>
        <v>Electra Townie Commute Go! - 2018</v>
      </c>
      <c r="I4362">
        <f>VLOOKUP(C4362,[1]products!$A:$D,4,FALSE)</f>
        <v>5</v>
      </c>
      <c r="J4362" t="str">
        <f>VLOOKUP(I4362,[2]categories!$A$1:$B$8,2,FALSE)</f>
        <v>Electric Bikes</v>
      </c>
    </row>
    <row r="4363" customHeight="1" spans="1:10">
      <c r="A4363" s="1">
        <v>1497</v>
      </c>
      <c r="B4363" s="1">
        <v>3</v>
      </c>
      <c r="C4363" s="1">
        <v>204</v>
      </c>
      <c r="D4363" s="1">
        <v>2</v>
      </c>
      <c r="E4363" s="1">
        <v>3599.99</v>
      </c>
      <c r="F4363" s="1">
        <v>0.07</v>
      </c>
      <c r="G4363">
        <f t="shared" si="68"/>
        <v>7199.91</v>
      </c>
      <c r="H4363" t="str">
        <f>VLOOKUP(C4363,[1]products!$A:$B,2,FALSE)</f>
        <v>Trek Super Commuter+ 7 - 2018</v>
      </c>
      <c r="I4363">
        <f>VLOOKUP(C4363,[1]products!$A:$D,4,FALSE)</f>
        <v>5</v>
      </c>
      <c r="J4363" t="str">
        <f>VLOOKUP(I4363,[2]categories!$A$1:$B$8,2,FALSE)</f>
        <v>Electric Bikes</v>
      </c>
    </row>
    <row r="4364" customHeight="1" spans="1:10">
      <c r="A4364" s="1">
        <v>1498</v>
      </c>
      <c r="B4364" s="1">
        <v>1</v>
      </c>
      <c r="C4364" s="1">
        <v>172</v>
      </c>
      <c r="D4364" s="1">
        <v>1</v>
      </c>
      <c r="E4364" s="1">
        <v>3199.99</v>
      </c>
      <c r="F4364" s="1">
        <v>0.05</v>
      </c>
      <c r="G4364">
        <f t="shared" si="68"/>
        <v>3199.94</v>
      </c>
      <c r="H4364" t="str">
        <f>VLOOKUP(C4364,[1]products!$A:$B,2,FALSE)</f>
        <v>Trek Domane ALR Disc Frameset - 2018</v>
      </c>
      <c r="I4364">
        <f>VLOOKUP(C4364,[1]products!$A:$D,4,FALSE)</f>
        <v>7</v>
      </c>
      <c r="J4364" t="str">
        <f>VLOOKUP(I4364,[2]categories!$A$1:$B$8,2,FALSE)</f>
        <v>Road Bikes</v>
      </c>
    </row>
    <row r="4365" customHeight="1" spans="1:10">
      <c r="A4365" s="1">
        <v>1498</v>
      </c>
      <c r="B4365" s="1">
        <v>2</v>
      </c>
      <c r="C4365" s="1">
        <v>260</v>
      </c>
      <c r="D4365" s="1">
        <v>2</v>
      </c>
      <c r="E4365" s="1">
        <v>799.99</v>
      </c>
      <c r="F4365" s="1">
        <v>0.07</v>
      </c>
      <c r="G4365">
        <f t="shared" si="68"/>
        <v>1599.91</v>
      </c>
      <c r="H4365" t="str">
        <f>VLOOKUP(C4365,[1]products!$A:$B,2,FALSE)</f>
        <v>Electra Townie Balloon 3i EQ Ladies' - 2018</v>
      </c>
      <c r="I4365">
        <f>VLOOKUP(C4365,[1]products!$A:$D,4,FALSE)</f>
        <v>3</v>
      </c>
      <c r="J4365" t="str">
        <f>VLOOKUP(I4365,[2]categories!$A$1:$B$8,2,FALSE)</f>
        <v>Cruisers Bicycles</v>
      </c>
    </row>
    <row r="4366" customHeight="1" spans="1:10">
      <c r="A4366" s="1">
        <v>1499</v>
      </c>
      <c r="B4366" s="1">
        <v>1</v>
      </c>
      <c r="C4366" s="1">
        <v>110</v>
      </c>
      <c r="D4366" s="1">
        <v>1</v>
      </c>
      <c r="E4366" s="1">
        <v>470.99</v>
      </c>
      <c r="F4366" s="1">
        <v>0.05</v>
      </c>
      <c r="G4366">
        <f t="shared" si="68"/>
        <v>470.94</v>
      </c>
      <c r="H4366" t="str">
        <f>VLOOKUP(C4366,[1]products!$A:$B,2,FALSE)</f>
        <v>Sun Bicycles Drifter 7 - 2017</v>
      </c>
      <c r="I4366">
        <f>VLOOKUP(C4366,[1]products!$A:$D,4,FALSE)</f>
        <v>2</v>
      </c>
      <c r="J4366" t="str">
        <f>VLOOKUP(I4366,[2]categories!$A$1:$B$8,2,FALSE)</f>
        <v>Comfort Bicycles</v>
      </c>
    </row>
    <row r="4367" customHeight="1" spans="1:10">
      <c r="A4367" s="1">
        <v>1499</v>
      </c>
      <c r="B4367" s="1">
        <v>2</v>
      </c>
      <c r="C4367" s="1">
        <v>208</v>
      </c>
      <c r="D4367" s="1">
        <v>1</v>
      </c>
      <c r="E4367" s="1">
        <v>1799.99</v>
      </c>
      <c r="F4367" s="1">
        <v>0.07</v>
      </c>
      <c r="G4367">
        <f t="shared" si="68"/>
        <v>1799.92</v>
      </c>
      <c r="H4367" t="str">
        <f>VLOOKUP(C4367,[1]products!$A:$B,2,FALSE)</f>
        <v>Trek Crockett 5 Disc - 2018</v>
      </c>
      <c r="I4367">
        <f>VLOOKUP(C4367,[1]products!$A:$D,4,FALSE)</f>
        <v>4</v>
      </c>
      <c r="J4367" t="str">
        <f>VLOOKUP(I4367,[2]categories!$A$1:$B$8,2,FALSE)</f>
        <v>Cyclocross Bicycles</v>
      </c>
    </row>
    <row r="4368" customHeight="1" spans="1:10">
      <c r="A4368" s="1">
        <v>1499</v>
      </c>
      <c r="B4368" s="1">
        <v>3</v>
      </c>
      <c r="C4368" s="1">
        <v>268</v>
      </c>
      <c r="D4368" s="1">
        <v>2</v>
      </c>
      <c r="E4368" s="1">
        <v>159.99</v>
      </c>
      <c r="F4368" s="1">
        <v>0.05</v>
      </c>
      <c r="G4368">
        <f t="shared" si="68"/>
        <v>319.93</v>
      </c>
      <c r="H4368" t="str">
        <f>VLOOKUP(C4368,[1]products!$A:$B,2,FALSE)</f>
        <v>Trek Kickster - 2018</v>
      </c>
      <c r="I4368">
        <f>VLOOKUP(C4368,[1]products!$A:$D,4,FALSE)</f>
        <v>1</v>
      </c>
      <c r="J4368" t="str">
        <f>VLOOKUP(I4368,[2]categories!$A$1:$B$8,2,FALSE)</f>
        <v>Children Bicycles</v>
      </c>
    </row>
    <row r="4369" customHeight="1" spans="1:10">
      <c r="A4369" s="1">
        <v>1499</v>
      </c>
      <c r="B4369" s="1">
        <v>4</v>
      </c>
      <c r="C4369" s="1">
        <v>2</v>
      </c>
      <c r="D4369" s="1">
        <v>1</v>
      </c>
      <c r="E4369" s="1">
        <v>749.99</v>
      </c>
      <c r="F4369" s="1">
        <v>0.05</v>
      </c>
      <c r="G4369">
        <f t="shared" si="68"/>
        <v>749.94</v>
      </c>
      <c r="H4369" t="str">
        <f>VLOOKUP(C4369,[1]products!$A:$B,2,FALSE)</f>
        <v>Ritchey Timberwolf Frameset - 2016</v>
      </c>
      <c r="I4369">
        <f>VLOOKUP(C4369,[1]products!$A:$D,4,FALSE)</f>
        <v>6</v>
      </c>
      <c r="J4369" t="str">
        <f>VLOOKUP(I4369,[2]categories!$A$1:$B$8,2,FALSE)</f>
        <v>Mountain Bikes</v>
      </c>
    </row>
    <row r="4370" customHeight="1" spans="1:10">
      <c r="A4370" s="1">
        <v>1499</v>
      </c>
      <c r="B4370" s="1">
        <v>5</v>
      </c>
      <c r="C4370" s="1">
        <v>171</v>
      </c>
      <c r="D4370" s="1">
        <v>2</v>
      </c>
      <c r="E4370" s="1">
        <v>3199.99</v>
      </c>
      <c r="F4370" s="1">
        <v>0.1</v>
      </c>
      <c r="G4370">
        <f t="shared" si="68"/>
        <v>6399.88</v>
      </c>
      <c r="H4370" t="str">
        <f>VLOOKUP(C4370,[1]products!$A:$B,2,FALSE)</f>
        <v>Trek Domane SL 6 - 2018</v>
      </c>
      <c r="I4370">
        <f>VLOOKUP(C4370,[1]products!$A:$D,4,FALSE)</f>
        <v>7</v>
      </c>
      <c r="J4370" t="str">
        <f>VLOOKUP(I4370,[2]categories!$A$1:$B$8,2,FALSE)</f>
        <v>Road Bikes</v>
      </c>
    </row>
    <row r="4371" customHeight="1" spans="1:10">
      <c r="A4371" s="1">
        <v>1500</v>
      </c>
      <c r="B4371" s="1">
        <v>1</v>
      </c>
      <c r="C4371" s="1">
        <v>41</v>
      </c>
      <c r="D4371" s="1">
        <v>2</v>
      </c>
      <c r="E4371" s="1">
        <v>1469.99</v>
      </c>
      <c r="F4371" s="1">
        <v>0.07</v>
      </c>
      <c r="G4371">
        <f t="shared" si="68"/>
        <v>2939.91</v>
      </c>
      <c r="H4371" t="str">
        <f>VLOOKUP(C4371,[1]products!$A:$B,2,FALSE)</f>
        <v>Haro Shift R3 - 2017</v>
      </c>
      <c r="I4371">
        <f>VLOOKUP(C4371,[1]products!$A:$D,4,FALSE)</f>
        <v>6</v>
      </c>
      <c r="J4371" t="str">
        <f>VLOOKUP(I4371,[2]categories!$A$1:$B$8,2,FALSE)</f>
        <v>Mountain Bikes</v>
      </c>
    </row>
    <row r="4372" customHeight="1" spans="1:10">
      <c r="A4372" s="1">
        <v>1500</v>
      </c>
      <c r="B4372" s="1">
        <v>2</v>
      </c>
      <c r="C4372" s="1">
        <v>293</v>
      </c>
      <c r="D4372" s="1">
        <v>1</v>
      </c>
      <c r="E4372" s="1">
        <v>319.99</v>
      </c>
      <c r="F4372" s="1">
        <v>0.07</v>
      </c>
      <c r="G4372">
        <f t="shared" si="68"/>
        <v>319.92</v>
      </c>
      <c r="H4372" t="str">
        <f>VLOOKUP(C4372,[1]products!$A:$B,2,FALSE)</f>
        <v>Electra Tiger Shark 1 (20-inch) - Boys' - 2018</v>
      </c>
      <c r="I4372">
        <f>VLOOKUP(C4372,[1]products!$A:$D,4,FALSE)</f>
        <v>1</v>
      </c>
      <c r="J4372" t="str">
        <f>VLOOKUP(I4372,[2]categories!$A$1:$B$8,2,FALSE)</f>
        <v>Children Bicycles</v>
      </c>
    </row>
    <row r="4373" customHeight="1" spans="1:10">
      <c r="A4373" s="1">
        <v>1501</v>
      </c>
      <c r="B4373" s="1">
        <v>1</v>
      </c>
      <c r="C4373" s="1">
        <v>248</v>
      </c>
      <c r="D4373" s="1">
        <v>1</v>
      </c>
      <c r="E4373" s="1">
        <v>599.99</v>
      </c>
      <c r="F4373" s="1">
        <v>0.05</v>
      </c>
      <c r="G4373">
        <f t="shared" si="68"/>
        <v>599.94</v>
      </c>
      <c r="H4373" t="str">
        <f>VLOOKUP(C4373,[1]products!$A:$B,2,FALSE)</f>
        <v>Electra Townie Original 7D EQ Ladies' - 2017/2018</v>
      </c>
      <c r="I4373">
        <f>VLOOKUP(C4373,[1]products!$A:$D,4,FALSE)</f>
        <v>3</v>
      </c>
      <c r="J4373" t="str">
        <f>VLOOKUP(I4373,[2]categories!$A$1:$B$8,2,FALSE)</f>
        <v>Cruisers Bicycles</v>
      </c>
    </row>
    <row r="4374" customHeight="1" spans="1:10">
      <c r="A4374" s="1">
        <v>1501</v>
      </c>
      <c r="B4374" s="1">
        <v>2</v>
      </c>
      <c r="C4374" s="1">
        <v>219</v>
      </c>
      <c r="D4374" s="1">
        <v>1</v>
      </c>
      <c r="E4374" s="1">
        <v>639.99</v>
      </c>
      <c r="F4374" s="1">
        <v>0.07</v>
      </c>
      <c r="G4374">
        <f t="shared" si="68"/>
        <v>639.92</v>
      </c>
      <c r="H4374" t="str">
        <f>VLOOKUP(C4374,[1]products!$A:$B,2,FALSE)</f>
        <v>Electra Moto 3i - 2018</v>
      </c>
      <c r="I4374">
        <f>VLOOKUP(C4374,[1]products!$A:$D,4,FALSE)</f>
        <v>3</v>
      </c>
      <c r="J4374" t="str">
        <f>VLOOKUP(I4374,[2]categories!$A$1:$B$8,2,FALSE)</f>
        <v>Cruisers Bicycles</v>
      </c>
    </row>
    <row r="4375" customHeight="1" spans="1:10">
      <c r="A4375" s="1">
        <v>1501</v>
      </c>
      <c r="B4375" s="1">
        <v>3</v>
      </c>
      <c r="C4375" s="1">
        <v>15</v>
      </c>
      <c r="D4375" s="1">
        <v>1</v>
      </c>
      <c r="E4375" s="1">
        <v>529.99</v>
      </c>
      <c r="F4375" s="1">
        <v>0.05</v>
      </c>
      <c r="G4375">
        <f t="shared" si="68"/>
        <v>529.94</v>
      </c>
      <c r="H4375" t="str">
        <f>VLOOKUP(C4375,[1]products!$A:$B,2,FALSE)</f>
        <v>Electra Moto 1 - 2016</v>
      </c>
      <c r="I4375">
        <f>VLOOKUP(C4375,[1]products!$A:$D,4,FALSE)</f>
        <v>3</v>
      </c>
      <c r="J4375" t="str">
        <f>VLOOKUP(I4375,[2]categories!$A$1:$B$8,2,FALSE)</f>
        <v>Cruisers Bicycles</v>
      </c>
    </row>
    <row r="4376" customHeight="1" spans="1:10">
      <c r="A4376" s="1">
        <v>1501</v>
      </c>
      <c r="B4376" s="1">
        <v>4</v>
      </c>
      <c r="C4376" s="1">
        <v>67</v>
      </c>
      <c r="D4376" s="1">
        <v>1</v>
      </c>
      <c r="E4376" s="1">
        <v>250.99</v>
      </c>
      <c r="F4376" s="1">
        <v>0.2</v>
      </c>
      <c r="G4376">
        <f t="shared" si="68"/>
        <v>250.79</v>
      </c>
      <c r="H4376" t="str">
        <f>VLOOKUP(C4376,[1]products!$A:$B,2,FALSE)</f>
        <v>Sun Bicycles Revolutions 24 - Girl's - 2017</v>
      </c>
      <c r="I4376">
        <f>VLOOKUP(C4376,[1]products!$A:$D,4,FALSE)</f>
        <v>3</v>
      </c>
      <c r="J4376" t="str">
        <f>VLOOKUP(I4376,[2]categories!$A$1:$B$8,2,FALSE)</f>
        <v>Cruisers Bicycles</v>
      </c>
    </row>
    <row r="4377" customHeight="1" spans="1:10">
      <c r="A4377" s="1">
        <v>1501</v>
      </c>
      <c r="B4377" s="1">
        <v>5</v>
      </c>
      <c r="C4377" s="1">
        <v>210</v>
      </c>
      <c r="D4377" s="1">
        <v>1</v>
      </c>
      <c r="E4377" s="1">
        <v>1549</v>
      </c>
      <c r="F4377" s="1">
        <v>0.05</v>
      </c>
      <c r="G4377">
        <f t="shared" si="68"/>
        <v>1548.95</v>
      </c>
      <c r="H4377" t="str">
        <f>VLOOKUP(C4377,[1]products!$A:$B,2,FALSE)</f>
        <v>Surly Straggler - 2018</v>
      </c>
      <c r="I4377">
        <f>VLOOKUP(C4377,[1]products!$A:$D,4,FALSE)</f>
        <v>4</v>
      </c>
      <c r="J4377" t="str">
        <f>VLOOKUP(I4377,[2]categories!$A$1:$B$8,2,FALSE)</f>
        <v>Cyclocross Bicycles</v>
      </c>
    </row>
    <row r="4378" customHeight="1" spans="1:10">
      <c r="A4378" s="1">
        <v>1502</v>
      </c>
      <c r="B4378" s="1">
        <v>1</v>
      </c>
      <c r="C4378" s="1">
        <v>231</v>
      </c>
      <c r="D4378" s="1">
        <v>2</v>
      </c>
      <c r="E4378" s="1">
        <v>529.99</v>
      </c>
      <c r="F4378" s="1">
        <v>0.2</v>
      </c>
      <c r="G4378">
        <f t="shared" si="68"/>
        <v>1059.78</v>
      </c>
      <c r="H4378" t="str">
        <f>VLOOKUP(C4378,[1]products!$A:$B,2,FALSE)</f>
        <v>Electra Cruiser Lux 3i Ladies' - 2018</v>
      </c>
      <c r="I4378">
        <f>VLOOKUP(C4378,[1]products!$A:$D,4,FALSE)</f>
        <v>3</v>
      </c>
      <c r="J4378" t="str">
        <f>VLOOKUP(I4378,[2]categories!$A$1:$B$8,2,FALSE)</f>
        <v>Cruisers Bicycles</v>
      </c>
    </row>
    <row r="4379" customHeight="1" spans="1:10">
      <c r="A4379" s="1">
        <v>1502</v>
      </c>
      <c r="B4379" s="1">
        <v>2</v>
      </c>
      <c r="C4379" s="1">
        <v>19</v>
      </c>
      <c r="D4379" s="1">
        <v>2</v>
      </c>
      <c r="E4379" s="1">
        <v>449</v>
      </c>
      <c r="F4379" s="1">
        <v>0.07</v>
      </c>
      <c r="G4379">
        <f t="shared" si="68"/>
        <v>897.93</v>
      </c>
      <c r="H4379" t="str">
        <f>VLOOKUP(C4379,[1]products!$A:$B,2,FALSE)</f>
        <v>Pure Cycles William 3-Speed - 2016</v>
      </c>
      <c r="I4379">
        <f>VLOOKUP(C4379,[1]products!$A:$D,4,FALSE)</f>
        <v>3</v>
      </c>
      <c r="J4379" t="str">
        <f>VLOOKUP(I4379,[2]categories!$A$1:$B$8,2,FALSE)</f>
        <v>Cruisers Bicycles</v>
      </c>
    </row>
    <row r="4380" customHeight="1" spans="1:10">
      <c r="A4380" s="1">
        <v>1502</v>
      </c>
      <c r="B4380" s="1">
        <v>3</v>
      </c>
      <c r="C4380" s="1">
        <v>26</v>
      </c>
      <c r="D4380" s="1">
        <v>2</v>
      </c>
      <c r="E4380" s="1">
        <v>599.99</v>
      </c>
      <c r="F4380" s="1">
        <v>0.07</v>
      </c>
      <c r="G4380">
        <f t="shared" si="68"/>
        <v>1199.91</v>
      </c>
      <c r="H4380" t="str">
        <f>VLOOKUP(C4380,[1]products!$A:$B,2,FALSE)</f>
        <v>Electra Townie Original 7D EQ - 2016</v>
      </c>
      <c r="I4380">
        <f>VLOOKUP(C4380,[1]products!$A:$D,4,FALSE)</f>
        <v>2</v>
      </c>
      <c r="J4380" t="str">
        <f>VLOOKUP(I4380,[2]categories!$A$1:$B$8,2,FALSE)</f>
        <v>Comfort Bicycles</v>
      </c>
    </row>
    <row r="4381" customHeight="1" spans="1:10">
      <c r="A4381" s="1">
        <v>1502</v>
      </c>
      <c r="B4381" s="1">
        <v>4</v>
      </c>
      <c r="C4381" s="1">
        <v>268</v>
      </c>
      <c r="D4381" s="1">
        <v>1</v>
      </c>
      <c r="E4381" s="1">
        <v>159.99</v>
      </c>
      <c r="F4381" s="1">
        <v>0.2</v>
      </c>
      <c r="G4381">
        <f t="shared" si="68"/>
        <v>159.79</v>
      </c>
      <c r="H4381" t="str">
        <f>VLOOKUP(C4381,[1]products!$A:$B,2,FALSE)</f>
        <v>Trek Kickster - 2018</v>
      </c>
      <c r="I4381">
        <f>VLOOKUP(C4381,[1]products!$A:$D,4,FALSE)</f>
        <v>1</v>
      </c>
      <c r="J4381" t="str">
        <f>VLOOKUP(I4381,[2]categories!$A$1:$B$8,2,FALSE)</f>
        <v>Children Bicycles</v>
      </c>
    </row>
    <row r="4382" customHeight="1" spans="1:10">
      <c r="A4382" s="1">
        <v>1502</v>
      </c>
      <c r="B4382" s="1">
        <v>5</v>
      </c>
      <c r="C4382" s="1">
        <v>255</v>
      </c>
      <c r="D4382" s="1">
        <v>1</v>
      </c>
      <c r="E4382" s="1">
        <v>899.99</v>
      </c>
      <c r="F4382" s="1">
        <v>0.07</v>
      </c>
      <c r="G4382">
        <f t="shared" si="68"/>
        <v>899.92</v>
      </c>
      <c r="H4382" t="str">
        <f>VLOOKUP(C4382,[1]products!$A:$B,2,FALSE)</f>
        <v>Electra Townie Balloon 7i EQ Ladies' - 2017/2018</v>
      </c>
      <c r="I4382">
        <f>VLOOKUP(C4382,[1]products!$A:$D,4,FALSE)</f>
        <v>3</v>
      </c>
      <c r="J4382" t="str">
        <f>VLOOKUP(I4382,[2]categories!$A$1:$B$8,2,FALSE)</f>
        <v>Cruisers Bicycles</v>
      </c>
    </row>
    <row r="4383" customHeight="1" spans="1:10">
      <c r="A4383" s="1">
        <v>1503</v>
      </c>
      <c r="B4383" s="1">
        <v>1</v>
      </c>
      <c r="C4383" s="1">
        <v>217</v>
      </c>
      <c r="D4383" s="1">
        <v>1</v>
      </c>
      <c r="E4383" s="1">
        <v>909.99</v>
      </c>
      <c r="F4383" s="1">
        <v>0.1</v>
      </c>
      <c r="G4383">
        <f t="shared" si="68"/>
        <v>909.89</v>
      </c>
      <c r="H4383" t="str">
        <f>VLOOKUP(C4383,[1]products!$A:$B,2,FALSE)</f>
        <v>Electra Straight 8 3i - 2018</v>
      </c>
      <c r="I4383">
        <f>VLOOKUP(C4383,[1]products!$A:$D,4,FALSE)</f>
        <v>3</v>
      </c>
      <c r="J4383" t="str">
        <f>VLOOKUP(I4383,[2]categories!$A$1:$B$8,2,FALSE)</f>
        <v>Cruisers Bicycles</v>
      </c>
    </row>
    <row r="4384" customHeight="1" spans="1:10">
      <c r="A4384" s="1">
        <v>1503</v>
      </c>
      <c r="B4384" s="1">
        <v>2</v>
      </c>
      <c r="C4384" s="1">
        <v>302</v>
      </c>
      <c r="D4384" s="1">
        <v>2</v>
      </c>
      <c r="E4384" s="1">
        <v>449.99</v>
      </c>
      <c r="F4384" s="1">
        <v>0.05</v>
      </c>
      <c r="G4384">
        <f t="shared" si="68"/>
        <v>899.93</v>
      </c>
      <c r="H4384" t="str">
        <f>VLOOKUP(C4384,[1]products!$A:$B,2,FALSE)</f>
        <v>Electra Townie Original 1 - 2018</v>
      </c>
      <c r="I4384">
        <f>VLOOKUP(C4384,[1]products!$A:$D,4,FALSE)</f>
        <v>2</v>
      </c>
      <c r="J4384" t="str">
        <f>VLOOKUP(I4384,[2]categories!$A$1:$B$8,2,FALSE)</f>
        <v>Comfort Bicycles</v>
      </c>
    </row>
    <row r="4385" customHeight="1" spans="1:10">
      <c r="A4385" s="1">
        <v>1504</v>
      </c>
      <c r="B4385" s="1">
        <v>1</v>
      </c>
      <c r="C4385" s="1">
        <v>276</v>
      </c>
      <c r="D4385" s="1">
        <v>1</v>
      </c>
      <c r="E4385" s="1">
        <v>319.99</v>
      </c>
      <c r="F4385" s="1">
        <v>0.07</v>
      </c>
      <c r="G4385">
        <f t="shared" si="68"/>
        <v>319.92</v>
      </c>
      <c r="H4385" t="str">
        <f>VLOOKUP(C4385,[1]products!$A:$B,2,FALSE)</f>
        <v>Trek Precaliber 24 (7-Speed) - Boys - 2018</v>
      </c>
      <c r="I4385">
        <f>VLOOKUP(C4385,[1]products!$A:$D,4,FALSE)</f>
        <v>1</v>
      </c>
      <c r="J4385" t="str">
        <f>VLOOKUP(I4385,[2]categories!$A$1:$B$8,2,FALSE)</f>
        <v>Children Bicycles</v>
      </c>
    </row>
    <row r="4386" customHeight="1" spans="1:10">
      <c r="A4386" s="1">
        <v>1505</v>
      </c>
      <c r="B4386" s="1">
        <v>1</v>
      </c>
      <c r="C4386" s="1">
        <v>223</v>
      </c>
      <c r="D4386" s="1">
        <v>2</v>
      </c>
      <c r="E4386" s="1">
        <v>529.99</v>
      </c>
      <c r="F4386" s="1">
        <v>0.05</v>
      </c>
      <c r="G4386">
        <f t="shared" si="68"/>
        <v>1059.93</v>
      </c>
      <c r="H4386" t="str">
        <f>VLOOKUP(C4386,[1]products!$A:$B,2,FALSE)</f>
        <v>Electra Cruiser Lux 3i - 2018</v>
      </c>
      <c r="I4386">
        <f>VLOOKUP(C4386,[1]products!$A:$D,4,FALSE)</f>
        <v>3</v>
      </c>
      <c r="J4386" t="str">
        <f>VLOOKUP(I4386,[2]categories!$A$1:$B$8,2,FALSE)</f>
        <v>Cruisers Bicycles</v>
      </c>
    </row>
    <row r="4387" customHeight="1" spans="1:10">
      <c r="A4387" s="1">
        <v>1505</v>
      </c>
      <c r="B4387" s="1">
        <v>2</v>
      </c>
      <c r="C4387" s="1">
        <v>24</v>
      </c>
      <c r="D4387" s="1">
        <v>2</v>
      </c>
      <c r="E4387" s="1">
        <v>549.99</v>
      </c>
      <c r="F4387" s="1">
        <v>0.07</v>
      </c>
      <c r="G4387">
        <f t="shared" si="68"/>
        <v>1099.91</v>
      </c>
      <c r="H4387" t="str">
        <f>VLOOKUP(C4387,[1]products!$A:$B,2,FALSE)</f>
        <v>Electra Townie Original 21D - 2016</v>
      </c>
      <c r="I4387">
        <f>VLOOKUP(C4387,[1]products!$A:$D,4,FALSE)</f>
        <v>2</v>
      </c>
      <c r="J4387" t="str">
        <f>VLOOKUP(I4387,[2]categories!$A$1:$B$8,2,FALSE)</f>
        <v>Comfort Bicycles</v>
      </c>
    </row>
    <row r="4388" customHeight="1" spans="1:10">
      <c r="A4388" s="1">
        <v>1505</v>
      </c>
      <c r="B4388" s="1">
        <v>3</v>
      </c>
      <c r="C4388" s="1">
        <v>43</v>
      </c>
      <c r="D4388" s="1">
        <v>2</v>
      </c>
      <c r="E4388" s="1">
        <v>5299.99</v>
      </c>
      <c r="F4388" s="1">
        <v>0.05</v>
      </c>
      <c r="G4388">
        <f t="shared" si="68"/>
        <v>10599.93</v>
      </c>
      <c r="H4388" t="str">
        <f>VLOOKUP(C4388,[1]products!$A:$B,2,FALSE)</f>
        <v>Trek Fuel EX 9.8 27.5 Plus - 2017</v>
      </c>
      <c r="I4388">
        <f>VLOOKUP(C4388,[1]products!$A:$D,4,FALSE)</f>
        <v>6</v>
      </c>
      <c r="J4388" t="str">
        <f>VLOOKUP(I4388,[2]categories!$A$1:$B$8,2,FALSE)</f>
        <v>Mountain Bikes</v>
      </c>
    </row>
    <row r="4389" customHeight="1" spans="1:10">
      <c r="A4389" s="1">
        <v>1506</v>
      </c>
      <c r="B4389" s="1">
        <v>1</v>
      </c>
      <c r="C4389" s="1">
        <v>184</v>
      </c>
      <c r="D4389" s="1">
        <v>1</v>
      </c>
      <c r="E4389" s="1">
        <v>3499.99</v>
      </c>
      <c r="F4389" s="1">
        <v>0.05</v>
      </c>
      <c r="G4389">
        <f t="shared" si="68"/>
        <v>3499.94</v>
      </c>
      <c r="H4389" t="str">
        <f>VLOOKUP(C4389,[1]products!$A:$B,2,FALSE)</f>
        <v>Trek Domane SL 6 Disc - 2018</v>
      </c>
      <c r="I4389">
        <f>VLOOKUP(C4389,[1]products!$A:$D,4,FALSE)</f>
        <v>7</v>
      </c>
      <c r="J4389" t="str">
        <f>VLOOKUP(I4389,[2]categories!$A$1:$B$8,2,FALSE)</f>
        <v>Road Bikes</v>
      </c>
    </row>
    <row r="4390" customHeight="1" spans="1:10">
      <c r="A4390" s="1">
        <v>1506</v>
      </c>
      <c r="B4390" s="1">
        <v>2</v>
      </c>
      <c r="C4390" s="1">
        <v>153</v>
      </c>
      <c r="D4390" s="1">
        <v>2</v>
      </c>
      <c r="E4390" s="1">
        <v>4999.99</v>
      </c>
      <c r="F4390" s="1">
        <v>0.2</v>
      </c>
      <c r="G4390">
        <f t="shared" si="68"/>
        <v>9999.78</v>
      </c>
      <c r="H4390" t="str">
        <f>VLOOKUP(C4390,[1]products!$A:$B,2,FALSE)</f>
        <v>Trek Domane SL 7 Women's - 2018</v>
      </c>
      <c r="I4390">
        <f>VLOOKUP(C4390,[1]products!$A:$D,4,FALSE)</f>
        <v>7</v>
      </c>
      <c r="J4390" t="str">
        <f>VLOOKUP(I4390,[2]categories!$A$1:$B$8,2,FALSE)</f>
        <v>Road Bikes</v>
      </c>
    </row>
    <row r="4391" customHeight="1" spans="1:10">
      <c r="A4391" s="1">
        <v>1506</v>
      </c>
      <c r="B4391" s="1">
        <v>3</v>
      </c>
      <c r="C4391" s="1">
        <v>149</v>
      </c>
      <c r="D4391" s="1">
        <v>2</v>
      </c>
      <c r="E4391" s="1">
        <v>7499.99</v>
      </c>
      <c r="F4391" s="1">
        <v>0.05</v>
      </c>
      <c r="G4391">
        <f t="shared" si="68"/>
        <v>14999.93</v>
      </c>
      <c r="H4391" t="str">
        <f>VLOOKUP(C4391,[1]products!$A:$B,2,FALSE)</f>
        <v>Trek Domane SLR 8 Disc - 2018</v>
      </c>
      <c r="I4391">
        <f>VLOOKUP(C4391,[1]products!$A:$D,4,FALSE)</f>
        <v>7</v>
      </c>
      <c r="J4391" t="str">
        <f>VLOOKUP(I4391,[2]categories!$A$1:$B$8,2,FALSE)</f>
        <v>Road Bikes</v>
      </c>
    </row>
    <row r="4392" customHeight="1" spans="1:10">
      <c r="A4392" s="1">
        <v>1507</v>
      </c>
      <c r="B4392" s="1">
        <v>1</v>
      </c>
      <c r="C4392" s="1">
        <v>39</v>
      </c>
      <c r="D4392" s="1">
        <v>2</v>
      </c>
      <c r="E4392" s="1">
        <v>1499.99</v>
      </c>
      <c r="F4392" s="1">
        <v>0.2</v>
      </c>
      <c r="G4392">
        <f t="shared" si="68"/>
        <v>2999.78</v>
      </c>
      <c r="H4392" t="str">
        <f>VLOOKUP(C4392,[1]products!$A:$B,2,FALSE)</f>
        <v>Trek Stache 5 - 2017</v>
      </c>
      <c r="I4392">
        <f>VLOOKUP(C4392,[1]products!$A:$D,4,FALSE)</f>
        <v>6</v>
      </c>
      <c r="J4392" t="str">
        <f>VLOOKUP(I4392,[2]categories!$A$1:$B$8,2,FALSE)</f>
        <v>Mountain Bikes</v>
      </c>
    </row>
    <row r="4393" customHeight="1" spans="1:10">
      <c r="A4393" s="1">
        <v>1507</v>
      </c>
      <c r="B4393" s="1">
        <v>2</v>
      </c>
      <c r="C4393" s="1">
        <v>11</v>
      </c>
      <c r="D4393" s="1">
        <v>2</v>
      </c>
      <c r="E4393" s="1">
        <v>1680.99</v>
      </c>
      <c r="F4393" s="1">
        <v>0.1</v>
      </c>
      <c r="G4393">
        <f t="shared" si="68"/>
        <v>3361.88</v>
      </c>
      <c r="H4393" t="str">
        <f>VLOOKUP(C4393,[1]products!$A:$B,2,FALSE)</f>
        <v>Surly Straggler 650b - 2016</v>
      </c>
      <c r="I4393">
        <f>VLOOKUP(C4393,[1]products!$A:$D,4,FALSE)</f>
        <v>4</v>
      </c>
      <c r="J4393" t="str">
        <f>VLOOKUP(I4393,[2]categories!$A$1:$B$8,2,FALSE)</f>
        <v>Cyclocross Bicycles</v>
      </c>
    </row>
    <row r="4394" customHeight="1" spans="1:10">
      <c r="A4394" s="1">
        <v>1507</v>
      </c>
      <c r="B4394" s="1">
        <v>3</v>
      </c>
      <c r="C4394" s="1">
        <v>259</v>
      </c>
      <c r="D4394" s="1">
        <v>1</v>
      </c>
      <c r="E4394" s="1">
        <v>1199.99</v>
      </c>
      <c r="F4394" s="1">
        <v>0.07</v>
      </c>
      <c r="G4394">
        <f t="shared" si="68"/>
        <v>1199.92</v>
      </c>
      <c r="H4394" t="str">
        <f>VLOOKUP(C4394,[1]products!$A:$B,2,FALSE)</f>
        <v>Electra Amsterdam Royal 8i Ladies - 2018</v>
      </c>
      <c r="I4394">
        <f>VLOOKUP(C4394,[1]products!$A:$D,4,FALSE)</f>
        <v>3</v>
      </c>
      <c r="J4394" t="str">
        <f>VLOOKUP(I4394,[2]categories!$A$1:$B$8,2,FALSE)</f>
        <v>Cruisers Bicycles</v>
      </c>
    </row>
    <row r="4395" customHeight="1" spans="1:10">
      <c r="A4395" s="1">
        <v>1507</v>
      </c>
      <c r="B4395" s="1">
        <v>4</v>
      </c>
      <c r="C4395" s="1">
        <v>281</v>
      </c>
      <c r="D4395" s="1">
        <v>1</v>
      </c>
      <c r="E4395" s="1">
        <v>319.99</v>
      </c>
      <c r="F4395" s="1">
        <v>0.07</v>
      </c>
      <c r="G4395">
        <f t="shared" si="68"/>
        <v>319.92</v>
      </c>
      <c r="H4395" t="str">
        <f>VLOOKUP(C4395,[1]products!$A:$B,2,FALSE)</f>
        <v>Electra Cruiser 7D (24-Inch) Ladies' - 2016/2018</v>
      </c>
      <c r="I4395">
        <f>VLOOKUP(C4395,[1]products!$A:$D,4,FALSE)</f>
        <v>1</v>
      </c>
      <c r="J4395" t="str">
        <f>VLOOKUP(I4395,[2]categories!$A$1:$B$8,2,FALSE)</f>
        <v>Children Bicycles</v>
      </c>
    </row>
    <row r="4396" customHeight="1" spans="1:10">
      <c r="A4396" s="1">
        <v>1507</v>
      </c>
      <c r="B4396" s="1">
        <v>5</v>
      </c>
      <c r="C4396" s="1">
        <v>293</v>
      </c>
      <c r="D4396" s="1">
        <v>2</v>
      </c>
      <c r="E4396" s="1">
        <v>319.99</v>
      </c>
      <c r="F4396" s="1">
        <v>0.05</v>
      </c>
      <c r="G4396">
        <f t="shared" si="68"/>
        <v>639.93</v>
      </c>
      <c r="H4396" t="str">
        <f>VLOOKUP(C4396,[1]products!$A:$B,2,FALSE)</f>
        <v>Electra Tiger Shark 1 (20-inch) - Boys' - 2018</v>
      </c>
      <c r="I4396">
        <f>VLOOKUP(C4396,[1]products!$A:$D,4,FALSE)</f>
        <v>1</v>
      </c>
      <c r="J4396" t="str">
        <f>VLOOKUP(I4396,[2]categories!$A$1:$B$8,2,FALSE)</f>
        <v>Children Bicycles</v>
      </c>
    </row>
    <row r="4397" customHeight="1" spans="1:10">
      <c r="A4397" s="1">
        <v>1508</v>
      </c>
      <c r="B4397" s="1">
        <v>1</v>
      </c>
      <c r="C4397" s="1">
        <v>37</v>
      </c>
      <c r="D4397" s="1">
        <v>1</v>
      </c>
      <c r="E4397" s="1">
        <v>379.99</v>
      </c>
      <c r="F4397" s="1">
        <v>0.2</v>
      </c>
      <c r="G4397">
        <f t="shared" si="68"/>
        <v>379.79</v>
      </c>
      <c r="H4397" t="str">
        <f>VLOOKUP(C4397,[1]products!$A:$B,2,FALSE)</f>
        <v>Haro Flightline One ST - 2017</v>
      </c>
      <c r="I4397">
        <f>VLOOKUP(C4397,[1]products!$A:$D,4,FALSE)</f>
        <v>6</v>
      </c>
      <c r="J4397" t="str">
        <f>VLOOKUP(I4397,[2]categories!$A$1:$B$8,2,FALSE)</f>
        <v>Mountain Bikes</v>
      </c>
    </row>
    <row r="4398" customHeight="1" spans="1:10">
      <c r="A4398" s="1">
        <v>1508</v>
      </c>
      <c r="B4398" s="1">
        <v>2</v>
      </c>
      <c r="C4398" s="1">
        <v>109</v>
      </c>
      <c r="D4398" s="1">
        <v>1</v>
      </c>
      <c r="E4398" s="1">
        <v>416.99</v>
      </c>
      <c r="F4398" s="1">
        <v>0.1</v>
      </c>
      <c r="G4398">
        <f t="shared" si="68"/>
        <v>416.89</v>
      </c>
      <c r="H4398" t="str">
        <f>VLOOKUP(C4398,[1]products!$A:$B,2,FALSE)</f>
        <v>Sun Bicycles Cruz 7 - Women's - 2017</v>
      </c>
      <c r="I4398">
        <f>VLOOKUP(C4398,[1]products!$A:$D,4,FALSE)</f>
        <v>2</v>
      </c>
      <c r="J4398" t="str">
        <f>VLOOKUP(I4398,[2]categories!$A$1:$B$8,2,FALSE)</f>
        <v>Comfort Bicycles</v>
      </c>
    </row>
    <row r="4399" customHeight="1" spans="1:10">
      <c r="A4399" s="1">
        <v>1508</v>
      </c>
      <c r="B4399" s="1">
        <v>3</v>
      </c>
      <c r="C4399" s="1">
        <v>52</v>
      </c>
      <c r="D4399" s="1">
        <v>2</v>
      </c>
      <c r="E4399" s="1">
        <v>875.99</v>
      </c>
      <c r="F4399" s="1">
        <v>0.05</v>
      </c>
      <c r="G4399">
        <f t="shared" si="68"/>
        <v>1751.93</v>
      </c>
      <c r="H4399" t="str">
        <f>VLOOKUP(C4399,[1]products!$A:$B,2,FALSE)</f>
        <v>Surly Steamroller - 2017</v>
      </c>
      <c r="I4399">
        <f>VLOOKUP(C4399,[1]products!$A:$D,4,FALSE)</f>
        <v>7</v>
      </c>
      <c r="J4399" t="str">
        <f>VLOOKUP(I4399,[2]categories!$A$1:$B$8,2,FALSE)</f>
        <v>Road Bikes</v>
      </c>
    </row>
    <row r="4400" customHeight="1" spans="1:10">
      <c r="A4400" s="1">
        <v>1508</v>
      </c>
      <c r="B4400" s="1">
        <v>4</v>
      </c>
      <c r="C4400" s="1">
        <v>88</v>
      </c>
      <c r="D4400" s="1">
        <v>1</v>
      </c>
      <c r="E4400" s="1">
        <v>189.99</v>
      </c>
      <c r="F4400" s="1">
        <v>0.05</v>
      </c>
      <c r="G4400">
        <f t="shared" si="68"/>
        <v>189.94</v>
      </c>
      <c r="H4400" t="str">
        <f>VLOOKUP(C4400,[1]products!$A:$B,2,FALSE)</f>
        <v>Trek Precaliber 12 Girls - 2017</v>
      </c>
      <c r="I4400">
        <f>VLOOKUP(C4400,[1]products!$A:$D,4,FALSE)</f>
        <v>1</v>
      </c>
      <c r="J4400" t="str">
        <f>VLOOKUP(I4400,[2]categories!$A$1:$B$8,2,FALSE)</f>
        <v>Children Bicycles</v>
      </c>
    </row>
    <row r="4401" customHeight="1" spans="1:10">
      <c r="A4401" s="1">
        <v>1509</v>
      </c>
      <c r="B4401" s="1">
        <v>1</v>
      </c>
      <c r="C4401" s="1">
        <v>215</v>
      </c>
      <c r="D4401" s="1">
        <v>2</v>
      </c>
      <c r="E4401" s="1">
        <v>749.99</v>
      </c>
      <c r="F4401" s="1">
        <v>0.07</v>
      </c>
      <c r="G4401">
        <f t="shared" si="68"/>
        <v>1499.91</v>
      </c>
      <c r="H4401" t="str">
        <f>VLOOKUP(C4401,[1]products!$A:$B,2,FALSE)</f>
        <v>Electra Queen of Hearts 3i - 2018</v>
      </c>
      <c r="I4401">
        <f>VLOOKUP(C4401,[1]products!$A:$D,4,FALSE)</f>
        <v>3</v>
      </c>
      <c r="J4401" t="str">
        <f>VLOOKUP(I4401,[2]categories!$A$1:$B$8,2,FALSE)</f>
        <v>Cruisers Bicycles</v>
      </c>
    </row>
    <row r="4402" customHeight="1" spans="1:10">
      <c r="A4402" s="1">
        <v>1510</v>
      </c>
      <c r="B4402" s="1">
        <v>1</v>
      </c>
      <c r="C4402" s="1">
        <v>142</v>
      </c>
      <c r="D4402" s="1">
        <v>2</v>
      </c>
      <c r="E4402" s="1">
        <v>3199.99</v>
      </c>
      <c r="F4402" s="1">
        <v>0.05</v>
      </c>
      <c r="G4402">
        <f t="shared" si="68"/>
        <v>6399.93</v>
      </c>
      <c r="H4402" t="str">
        <f>VLOOKUP(C4402,[1]products!$A:$B,2,FALSE)</f>
        <v>Trek Fuel EX 8 29 XT - 2018</v>
      </c>
      <c r="I4402">
        <f>VLOOKUP(C4402,[1]products!$A:$D,4,FALSE)</f>
        <v>6</v>
      </c>
      <c r="J4402" t="str">
        <f>VLOOKUP(I4402,[2]categories!$A$1:$B$8,2,FALSE)</f>
        <v>Mountain Bikes</v>
      </c>
    </row>
    <row r="4403" customHeight="1" spans="1:10">
      <c r="A4403" s="1">
        <v>1510</v>
      </c>
      <c r="B4403" s="1">
        <v>2</v>
      </c>
      <c r="C4403" s="1">
        <v>68</v>
      </c>
      <c r="D4403" s="1">
        <v>1</v>
      </c>
      <c r="E4403" s="1">
        <v>449.99</v>
      </c>
      <c r="F4403" s="1">
        <v>0.1</v>
      </c>
      <c r="G4403">
        <f t="shared" si="68"/>
        <v>449.89</v>
      </c>
      <c r="H4403" t="str">
        <f>VLOOKUP(C4403,[1]products!$A:$B,2,FALSE)</f>
        <v>Sun Bicycles Cruz 3 - 2017</v>
      </c>
      <c r="I4403">
        <f>VLOOKUP(C4403,[1]products!$A:$D,4,FALSE)</f>
        <v>3</v>
      </c>
      <c r="J4403" t="str">
        <f>VLOOKUP(I4403,[2]categories!$A$1:$B$8,2,FALSE)</f>
        <v>Cruisers Bicycles</v>
      </c>
    </row>
    <row r="4404" customHeight="1" spans="1:10">
      <c r="A4404" s="1">
        <v>1510</v>
      </c>
      <c r="B4404" s="1">
        <v>3</v>
      </c>
      <c r="C4404" s="1">
        <v>251</v>
      </c>
      <c r="D4404" s="1">
        <v>2</v>
      </c>
      <c r="E4404" s="1">
        <v>2999.99</v>
      </c>
      <c r="F4404" s="1">
        <v>0.1</v>
      </c>
      <c r="G4404">
        <f t="shared" si="68"/>
        <v>5999.88</v>
      </c>
      <c r="H4404" t="str">
        <f>VLOOKUP(C4404,[1]products!$A:$B,2,FALSE)</f>
        <v>Electra Townie Commute Go! - 2018</v>
      </c>
      <c r="I4404">
        <f>VLOOKUP(C4404,[1]products!$A:$D,4,FALSE)</f>
        <v>3</v>
      </c>
      <c r="J4404" t="str">
        <f>VLOOKUP(I4404,[2]categories!$A$1:$B$8,2,FALSE)</f>
        <v>Cruisers Bicycles</v>
      </c>
    </row>
    <row r="4405" customHeight="1" spans="1:10">
      <c r="A4405" s="1">
        <v>1510</v>
      </c>
      <c r="B4405" s="1">
        <v>4</v>
      </c>
      <c r="C4405" s="1">
        <v>220</v>
      </c>
      <c r="D4405" s="1">
        <v>2</v>
      </c>
      <c r="E4405" s="1">
        <v>269.99</v>
      </c>
      <c r="F4405" s="1">
        <v>0.1</v>
      </c>
      <c r="G4405">
        <f t="shared" si="68"/>
        <v>539.88</v>
      </c>
      <c r="H4405" t="str">
        <f>VLOOKUP(C4405,[1]products!$A:$B,2,FALSE)</f>
        <v>Electra Cruiser 1 Ladies' - 2018</v>
      </c>
      <c r="I4405">
        <f>VLOOKUP(C4405,[1]products!$A:$D,4,FALSE)</f>
        <v>3</v>
      </c>
      <c r="J4405" t="str">
        <f>VLOOKUP(I4405,[2]categories!$A$1:$B$8,2,FALSE)</f>
        <v>Cruisers Bicycles</v>
      </c>
    </row>
    <row r="4406" customHeight="1" spans="1:10">
      <c r="A4406" s="1">
        <v>1510</v>
      </c>
      <c r="B4406" s="1">
        <v>5</v>
      </c>
      <c r="C4406" s="1">
        <v>137</v>
      </c>
      <c r="D4406" s="1">
        <v>1</v>
      </c>
      <c r="E4406" s="1">
        <v>2599</v>
      </c>
      <c r="F4406" s="1">
        <v>0.05</v>
      </c>
      <c r="G4406">
        <f t="shared" si="68"/>
        <v>2598.95</v>
      </c>
      <c r="H4406" t="str">
        <f>VLOOKUP(C4406,[1]products!$A:$B,2,FALSE)</f>
        <v>Heller Shagamaw GX1 - 2018</v>
      </c>
      <c r="I4406">
        <f>VLOOKUP(C4406,[1]products!$A:$D,4,FALSE)</f>
        <v>6</v>
      </c>
      <c r="J4406" t="str">
        <f>VLOOKUP(I4406,[2]categories!$A$1:$B$8,2,FALSE)</f>
        <v>Mountain Bikes</v>
      </c>
    </row>
    <row r="4407" customHeight="1" spans="1:10">
      <c r="A4407" s="1">
        <v>1511</v>
      </c>
      <c r="B4407" s="1">
        <v>1</v>
      </c>
      <c r="C4407" s="1">
        <v>144</v>
      </c>
      <c r="D4407" s="1">
        <v>2</v>
      </c>
      <c r="E4407" s="1">
        <v>1549.99</v>
      </c>
      <c r="F4407" s="1">
        <v>0.2</v>
      </c>
      <c r="G4407">
        <f t="shared" si="68"/>
        <v>3099.78</v>
      </c>
      <c r="H4407" t="str">
        <f>VLOOKUP(C4407,[1]products!$A:$B,2,FALSE)</f>
        <v>Trek Domane ALR 4 Disc - 2018</v>
      </c>
      <c r="I4407">
        <f>VLOOKUP(C4407,[1]products!$A:$D,4,FALSE)</f>
        <v>7</v>
      </c>
      <c r="J4407" t="str">
        <f>VLOOKUP(I4407,[2]categories!$A$1:$B$8,2,FALSE)</f>
        <v>Road Bikes</v>
      </c>
    </row>
    <row r="4408" customHeight="1" spans="1:10">
      <c r="A4408" s="1">
        <v>1511</v>
      </c>
      <c r="B4408" s="1">
        <v>2</v>
      </c>
      <c r="C4408" s="1">
        <v>288</v>
      </c>
      <c r="D4408" s="1">
        <v>1</v>
      </c>
      <c r="E4408" s="1">
        <v>389.99</v>
      </c>
      <c r="F4408" s="1">
        <v>0.07</v>
      </c>
      <c r="G4408">
        <f t="shared" si="68"/>
        <v>389.92</v>
      </c>
      <c r="H4408" t="str">
        <f>VLOOKUP(C4408,[1]products!$A:$B,2,FALSE)</f>
        <v>Electra Straight 8 1 (20-inch) - Boy's - 2018</v>
      </c>
      <c r="I4408">
        <f>VLOOKUP(C4408,[1]products!$A:$D,4,FALSE)</f>
        <v>1</v>
      </c>
      <c r="J4408" t="str">
        <f>VLOOKUP(I4408,[2]categories!$A$1:$B$8,2,FALSE)</f>
        <v>Children Bicycles</v>
      </c>
    </row>
    <row r="4409" customHeight="1" spans="1:10">
      <c r="A4409" s="1">
        <v>1511</v>
      </c>
      <c r="B4409" s="1">
        <v>3</v>
      </c>
      <c r="C4409" s="1">
        <v>17</v>
      </c>
      <c r="D4409" s="1">
        <v>2</v>
      </c>
      <c r="E4409" s="1">
        <v>429</v>
      </c>
      <c r="F4409" s="1">
        <v>0.07</v>
      </c>
      <c r="G4409">
        <f t="shared" si="68"/>
        <v>857.93</v>
      </c>
      <c r="H4409" t="str">
        <f>VLOOKUP(C4409,[1]products!$A:$B,2,FALSE)</f>
        <v>Pure Cycles Vine 8-Speed - 2016</v>
      </c>
      <c r="I4409">
        <f>VLOOKUP(C4409,[1]products!$A:$D,4,FALSE)</f>
        <v>3</v>
      </c>
      <c r="J4409" t="str">
        <f>VLOOKUP(I4409,[2]categories!$A$1:$B$8,2,FALSE)</f>
        <v>Cruisers Bicycles</v>
      </c>
    </row>
    <row r="4410" customHeight="1" spans="1:10">
      <c r="A4410" s="1">
        <v>1511</v>
      </c>
      <c r="B4410" s="1">
        <v>4</v>
      </c>
      <c r="C4410" s="1">
        <v>41</v>
      </c>
      <c r="D4410" s="1">
        <v>1</v>
      </c>
      <c r="E4410" s="1">
        <v>1469.99</v>
      </c>
      <c r="F4410" s="1">
        <v>0.05</v>
      </c>
      <c r="G4410">
        <f t="shared" si="68"/>
        <v>1469.94</v>
      </c>
      <c r="H4410" t="str">
        <f>VLOOKUP(C4410,[1]products!$A:$B,2,FALSE)</f>
        <v>Haro Shift R3 - 2017</v>
      </c>
      <c r="I4410">
        <f>VLOOKUP(C4410,[1]products!$A:$D,4,FALSE)</f>
        <v>6</v>
      </c>
      <c r="J4410" t="str">
        <f>VLOOKUP(I4410,[2]categories!$A$1:$B$8,2,FALSE)</f>
        <v>Mountain Bikes</v>
      </c>
    </row>
    <row r="4411" customHeight="1" spans="1:10">
      <c r="A4411" s="1">
        <v>1511</v>
      </c>
      <c r="B4411" s="1">
        <v>5</v>
      </c>
      <c r="C4411" s="1">
        <v>124</v>
      </c>
      <c r="D4411" s="1">
        <v>2</v>
      </c>
      <c r="E4411" s="1">
        <v>1499</v>
      </c>
      <c r="F4411" s="1">
        <v>0.2</v>
      </c>
      <c r="G4411">
        <f t="shared" si="68"/>
        <v>2997.8</v>
      </c>
      <c r="H4411" t="str">
        <f>VLOOKUP(C4411,[1]products!$A:$B,2,FALSE)</f>
        <v>Surly Krampus - 2018</v>
      </c>
      <c r="I4411">
        <f>VLOOKUP(C4411,[1]products!$A:$D,4,FALSE)</f>
        <v>6</v>
      </c>
      <c r="J4411" t="str">
        <f>VLOOKUP(I4411,[2]categories!$A$1:$B$8,2,FALSE)</f>
        <v>Mountain Bikes</v>
      </c>
    </row>
    <row r="4412" customHeight="1" spans="1:10">
      <c r="A4412" s="1">
        <v>1512</v>
      </c>
      <c r="B4412" s="1">
        <v>1</v>
      </c>
      <c r="C4412" s="1">
        <v>217</v>
      </c>
      <c r="D4412" s="1">
        <v>1</v>
      </c>
      <c r="E4412" s="1">
        <v>909.99</v>
      </c>
      <c r="F4412" s="1">
        <v>0.07</v>
      </c>
      <c r="G4412">
        <f t="shared" si="68"/>
        <v>909.92</v>
      </c>
      <c r="H4412" t="str">
        <f>VLOOKUP(C4412,[1]products!$A:$B,2,FALSE)</f>
        <v>Electra Straight 8 3i - 2018</v>
      </c>
      <c r="I4412">
        <f>VLOOKUP(C4412,[1]products!$A:$D,4,FALSE)</f>
        <v>3</v>
      </c>
      <c r="J4412" t="str">
        <f>VLOOKUP(I4412,[2]categories!$A$1:$B$8,2,FALSE)</f>
        <v>Cruisers Bicycles</v>
      </c>
    </row>
    <row r="4413" customHeight="1" spans="1:10">
      <c r="A4413" s="1">
        <v>1513</v>
      </c>
      <c r="B4413" s="1">
        <v>1</v>
      </c>
      <c r="C4413" s="1">
        <v>166</v>
      </c>
      <c r="D4413" s="1">
        <v>1</v>
      </c>
      <c r="E4413" s="1">
        <v>749.99</v>
      </c>
      <c r="F4413" s="1">
        <v>0.1</v>
      </c>
      <c r="G4413">
        <f t="shared" si="68"/>
        <v>749.89</v>
      </c>
      <c r="H4413" t="str">
        <f>VLOOKUP(C4413,[1]products!$A:$B,2,FALSE)</f>
        <v>Trek Domane AL 2 Women's - 2018</v>
      </c>
      <c r="I4413">
        <f>VLOOKUP(C4413,[1]products!$A:$D,4,FALSE)</f>
        <v>7</v>
      </c>
      <c r="J4413" t="str">
        <f>VLOOKUP(I4413,[2]categories!$A$1:$B$8,2,FALSE)</f>
        <v>Road Bikes</v>
      </c>
    </row>
    <row r="4414" customHeight="1" spans="1:10">
      <c r="A4414" s="1">
        <v>1513</v>
      </c>
      <c r="B4414" s="1">
        <v>2</v>
      </c>
      <c r="C4414" s="1">
        <v>61</v>
      </c>
      <c r="D4414" s="1">
        <v>2</v>
      </c>
      <c r="E4414" s="1">
        <v>4999.99</v>
      </c>
      <c r="F4414" s="1">
        <v>0.05</v>
      </c>
      <c r="G4414">
        <f t="shared" si="68"/>
        <v>9999.93</v>
      </c>
      <c r="H4414" t="str">
        <f>VLOOKUP(C4414,[1]products!$A:$B,2,FALSE)</f>
        <v>Trek Powerfly 8 FS Plus - 2017</v>
      </c>
      <c r="I4414">
        <f>VLOOKUP(C4414,[1]products!$A:$D,4,FALSE)</f>
        <v>5</v>
      </c>
      <c r="J4414" t="str">
        <f>VLOOKUP(I4414,[2]categories!$A$1:$B$8,2,FALSE)</f>
        <v>Electric Bikes</v>
      </c>
    </row>
    <row r="4415" customHeight="1" spans="1:10">
      <c r="A4415" s="1">
        <v>1513</v>
      </c>
      <c r="B4415" s="1">
        <v>3</v>
      </c>
      <c r="C4415" s="1">
        <v>159</v>
      </c>
      <c r="D4415" s="1">
        <v>2</v>
      </c>
      <c r="E4415" s="1">
        <v>2299.99</v>
      </c>
      <c r="F4415" s="1">
        <v>0.05</v>
      </c>
      <c r="G4415">
        <f t="shared" si="68"/>
        <v>4599.93</v>
      </c>
      <c r="H4415" t="str">
        <f>VLOOKUP(C4415,[1]products!$A:$B,2,FALSE)</f>
        <v>Trek Emonda ALR 6 - 2018</v>
      </c>
      <c r="I4415">
        <f>VLOOKUP(C4415,[1]products!$A:$D,4,FALSE)</f>
        <v>7</v>
      </c>
      <c r="J4415" t="str">
        <f>VLOOKUP(I4415,[2]categories!$A$1:$B$8,2,FALSE)</f>
        <v>Road Bikes</v>
      </c>
    </row>
    <row r="4416" customHeight="1" spans="1:10">
      <c r="A4416" s="1">
        <v>1514</v>
      </c>
      <c r="B4416" s="1">
        <v>1</v>
      </c>
      <c r="C4416" s="1">
        <v>240</v>
      </c>
      <c r="D4416" s="1">
        <v>2</v>
      </c>
      <c r="E4416" s="1">
        <v>899.99</v>
      </c>
      <c r="F4416" s="1">
        <v>0.1</v>
      </c>
      <c r="G4416">
        <f t="shared" si="68"/>
        <v>1799.88</v>
      </c>
      <c r="H4416" t="str">
        <f>VLOOKUP(C4416,[1]products!$A:$B,2,FALSE)</f>
        <v>Electra Townie Commute 27D Ladies - 2018</v>
      </c>
      <c r="I4416">
        <f>VLOOKUP(C4416,[1]products!$A:$D,4,FALSE)</f>
        <v>3</v>
      </c>
      <c r="J4416" t="str">
        <f>VLOOKUP(I4416,[2]categories!$A$1:$B$8,2,FALSE)</f>
        <v>Cruisers Bicycles</v>
      </c>
    </row>
    <row r="4417" customHeight="1" spans="1:10">
      <c r="A4417" s="1">
        <v>1514</v>
      </c>
      <c r="B4417" s="1">
        <v>2</v>
      </c>
      <c r="C4417" s="1">
        <v>203</v>
      </c>
      <c r="D4417" s="1">
        <v>2</v>
      </c>
      <c r="E4417" s="1">
        <v>4999.99</v>
      </c>
      <c r="F4417" s="1">
        <v>0.05</v>
      </c>
      <c r="G4417">
        <f t="shared" si="68"/>
        <v>9999.93</v>
      </c>
      <c r="H4417" t="str">
        <f>VLOOKUP(C4417,[1]products!$A:$B,2,FALSE)</f>
        <v>Trek Powerfly 7 FS - 2018</v>
      </c>
      <c r="I4417">
        <f>VLOOKUP(C4417,[1]products!$A:$D,4,FALSE)</f>
        <v>5</v>
      </c>
      <c r="J4417" t="str">
        <f>VLOOKUP(I4417,[2]categories!$A$1:$B$8,2,FALSE)</f>
        <v>Electric Bikes</v>
      </c>
    </row>
    <row r="4418" customHeight="1" spans="1:10">
      <c r="A4418" s="1">
        <v>1515</v>
      </c>
      <c r="B4418" s="1">
        <v>1</v>
      </c>
      <c r="C4418" s="1">
        <v>27</v>
      </c>
      <c r="D4418" s="1">
        <v>2</v>
      </c>
      <c r="E4418" s="1">
        <v>999.99</v>
      </c>
      <c r="F4418" s="1">
        <v>0.2</v>
      </c>
      <c r="G4418">
        <f t="shared" si="68"/>
        <v>1999.78</v>
      </c>
      <c r="H4418" t="str">
        <f>VLOOKUP(C4418,[1]products!$A:$B,2,FALSE)</f>
        <v>Surly Big Dummy Frameset - 2017</v>
      </c>
      <c r="I4418">
        <f>VLOOKUP(C4418,[1]products!$A:$D,4,FALSE)</f>
        <v>6</v>
      </c>
      <c r="J4418" t="str">
        <f>VLOOKUP(I4418,[2]categories!$A$1:$B$8,2,FALSE)</f>
        <v>Mountain Bikes</v>
      </c>
    </row>
    <row r="4419" customHeight="1" spans="1:10">
      <c r="A4419" s="1">
        <v>1515</v>
      </c>
      <c r="B4419" s="1">
        <v>2</v>
      </c>
      <c r="C4419" s="1">
        <v>202</v>
      </c>
      <c r="D4419" s="1">
        <v>2</v>
      </c>
      <c r="E4419" s="1">
        <v>3499.99</v>
      </c>
      <c r="F4419" s="1">
        <v>0.1</v>
      </c>
      <c r="G4419">
        <f t="shared" ref="G4419:G4482" si="69">(E4419*D4419)-F4419</f>
        <v>6999.88</v>
      </c>
      <c r="H4419" t="str">
        <f>VLOOKUP(C4419,[1]products!$A:$B,2,FALSE)</f>
        <v>Trek Powerfly 5 Women's - 2018</v>
      </c>
      <c r="I4419">
        <f>VLOOKUP(C4419,[1]products!$A:$D,4,FALSE)</f>
        <v>5</v>
      </c>
      <c r="J4419" t="str">
        <f>VLOOKUP(I4419,[2]categories!$A$1:$B$8,2,FALSE)</f>
        <v>Electric Bikes</v>
      </c>
    </row>
    <row r="4420" customHeight="1" spans="1:10">
      <c r="A4420" s="1">
        <v>1515</v>
      </c>
      <c r="B4420" s="1">
        <v>3</v>
      </c>
      <c r="C4420" s="1">
        <v>310</v>
      </c>
      <c r="D4420" s="1">
        <v>2</v>
      </c>
      <c r="E4420" s="1">
        <v>899.99</v>
      </c>
      <c r="F4420" s="1">
        <v>0.05</v>
      </c>
      <c r="G4420">
        <f t="shared" si="69"/>
        <v>1799.93</v>
      </c>
      <c r="H4420" t="str">
        <f>VLOOKUP(C4420,[1]products!$A:$B,2,FALSE)</f>
        <v>Electra Townie Commute 27D Ladies - 2018</v>
      </c>
      <c r="I4420">
        <f>VLOOKUP(C4420,[1]products!$A:$D,4,FALSE)</f>
        <v>2</v>
      </c>
      <c r="J4420" t="str">
        <f>VLOOKUP(I4420,[2]categories!$A$1:$B$8,2,FALSE)</f>
        <v>Comfort Bicycles</v>
      </c>
    </row>
    <row r="4421" customHeight="1" spans="1:10">
      <c r="A4421" s="1">
        <v>1515</v>
      </c>
      <c r="B4421" s="1">
        <v>4</v>
      </c>
      <c r="C4421" s="1">
        <v>40</v>
      </c>
      <c r="D4421" s="1">
        <v>1</v>
      </c>
      <c r="E4421" s="1">
        <v>4999.99</v>
      </c>
      <c r="F4421" s="1">
        <v>0.1</v>
      </c>
      <c r="G4421">
        <f t="shared" si="69"/>
        <v>4999.89</v>
      </c>
      <c r="H4421" t="str">
        <f>VLOOKUP(C4421,[1]products!$A:$B,2,FALSE)</f>
        <v>Trek Fuel EX 9.8 29 - 2017</v>
      </c>
      <c r="I4421">
        <f>VLOOKUP(C4421,[1]products!$A:$D,4,FALSE)</f>
        <v>6</v>
      </c>
      <c r="J4421" t="str">
        <f>VLOOKUP(I4421,[2]categories!$A$1:$B$8,2,FALSE)</f>
        <v>Mountain Bikes</v>
      </c>
    </row>
    <row r="4422" customHeight="1" spans="1:10">
      <c r="A4422" s="1">
        <v>1515</v>
      </c>
      <c r="B4422" s="1">
        <v>5</v>
      </c>
      <c r="C4422" s="1">
        <v>158</v>
      </c>
      <c r="D4422" s="1">
        <v>2</v>
      </c>
      <c r="E4422" s="1">
        <v>959.99</v>
      </c>
      <c r="F4422" s="1">
        <v>0.2</v>
      </c>
      <c r="G4422">
        <f t="shared" si="69"/>
        <v>1919.78</v>
      </c>
      <c r="H4422" t="str">
        <f>VLOOKUP(C4422,[1]products!$A:$B,2,FALSE)</f>
        <v>Trek CrossRip 1 - 2018</v>
      </c>
      <c r="I4422">
        <f>VLOOKUP(C4422,[1]products!$A:$D,4,FALSE)</f>
        <v>7</v>
      </c>
      <c r="J4422" t="str">
        <f>VLOOKUP(I4422,[2]categories!$A$1:$B$8,2,FALSE)</f>
        <v>Road Bikes</v>
      </c>
    </row>
    <row r="4423" customHeight="1" spans="1:10">
      <c r="A4423" s="1">
        <v>1516</v>
      </c>
      <c r="B4423" s="1">
        <v>1</v>
      </c>
      <c r="C4423" s="1">
        <v>172</v>
      </c>
      <c r="D4423" s="1">
        <v>2</v>
      </c>
      <c r="E4423" s="1">
        <v>3199.99</v>
      </c>
      <c r="F4423" s="1">
        <v>0.1</v>
      </c>
      <c r="G4423">
        <f t="shared" si="69"/>
        <v>6399.88</v>
      </c>
      <c r="H4423" t="str">
        <f>VLOOKUP(C4423,[1]products!$A:$B,2,FALSE)</f>
        <v>Trek Domane ALR Disc Frameset - 2018</v>
      </c>
      <c r="I4423">
        <f>VLOOKUP(C4423,[1]products!$A:$D,4,FALSE)</f>
        <v>7</v>
      </c>
      <c r="J4423" t="str">
        <f>VLOOKUP(I4423,[2]categories!$A$1:$B$8,2,FALSE)</f>
        <v>Road Bikes</v>
      </c>
    </row>
    <row r="4424" customHeight="1" spans="1:10">
      <c r="A4424" s="1">
        <v>1516</v>
      </c>
      <c r="B4424" s="1">
        <v>2</v>
      </c>
      <c r="C4424" s="1">
        <v>253</v>
      </c>
      <c r="D4424" s="1">
        <v>1</v>
      </c>
      <c r="E4424" s="1">
        <v>2599.99</v>
      </c>
      <c r="F4424" s="1">
        <v>0.1</v>
      </c>
      <c r="G4424">
        <f t="shared" si="69"/>
        <v>2599.89</v>
      </c>
      <c r="H4424" t="str">
        <f>VLOOKUP(C4424,[1]products!$A:$B,2,FALSE)</f>
        <v>Electra Townie Go! 8i Ladies' - 2018</v>
      </c>
      <c r="I4424">
        <f>VLOOKUP(C4424,[1]products!$A:$D,4,FALSE)</f>
        <v>3</v>
      </c>
      <c r="J4424" t="str">
        <f>VLOOKUP(I4424,[2]categories!$A$1:$B$8,2,FALSE)</f>
        <v>Cruisers Bicycles</v>
      </c>
    </row>
    <row r="4425" customHeight="1" spans="1:10">
      <c r="A4425" s="1">
        <v>1516</v>
      </c>
      <c r="B4425" s="1">
        <v>3</v>
      </c>
      <c r="C4425" s="1">
        <v>196</v>
      </c>
      <c r="D4425" s="1">
        <v>2</v>
      </c>
      <c r="E4425" s="1">
        <v>2299.99</v>
      </c>
      <c r="F4425" s="1">
        <v>0.2</v>
      </c>
      <c r="G4425">
        <f t="shared" si="69"/>
        <v>4599.78</v>
      </c>
      <c r="H4425" t="str">
        <f>VLOOKUP(C4425,[1]products!$A:$B,2,FALSE)</f>
        <v>Trek Verve+ - 2018</v>
      </c>
      <c r="I4425">
        <f>VLOOKUP(C4425,[1]products!$A:$D,4,FALSE)</f>
        <v>5</v>
      </c>
      <c r="J4425" t="str">
        <f>VLOOKUP(I4425,[2]categories!$A$1:$B$8,2,FALSE)</f>
        <v>Electric Bikes</v>
      </c>
    </row>
    <row r="4426" customHeight="1" spans="1:10">
      <c r="A4426" s="1">
        <v>1516</v>
      </c>
      <c r="B4426" s="1">
        <v>4</v>
      </c>
      <c r="C4426" s="1">
        <v>259</v>
      </c>
      <c r="D4426" s="1">
        <v>2</v>
      </c>
      <c r="E4426" s="1">
        <v>1199.99</v>
      </c>
      <c r="F4426" s="1">
        <v>0.2</v>
      </c>
      <c r="G4426">
        <f t="shared" si="69"/>
        <v>2399.78</v>
      </c>
      <c r="H4426" t="str">
        <f>VLOOKUP(C4426,[1]products!$A:$B,2,FALSE)</f>
        <v>Electra Amsterdam Royal 8i Ladies - 2018</v>
      </c>
      <c r="I4426">
        <f>VLOOKUP(C4426,[1]products!$A:$D,4,FALSE)</f>
        <v>3</v>
      </c>
      <c r="J4426" t="str">
        <f>VLOOKUP(I4426,[2]categories!$A$1:$B$8,2,FALSE)</f>
        <v>Cruisers Bicycles</v>
      </c>
    </row>
    <row r="4427" customHeight="1" spans="1:10">
      <c r="A4427" s="1">
        <v>1516</v>
      </c>
      <c r="B4427" s="1">
        <v>5</v>
      </c>
      <c r="C4427" s="1">
        <v>271</v>
      </c>
      <c r="D4427" s="1">
        <v>2</v>
      </c>
      <c r="E4427" s="1">
        <v>209.99</v>
      </c>
      <c r="F4427" s="1">
        <v>0.2</v>
      </c>
      <c r="G4427">
        <f t="shared" si="69"/>
        <v>419.78</v>
      </c>
      <c r="H4427" t="str">
        <f>VLOOKUP(C4427,[1]products!$A:$B,2,FALSE)</f>
        <v>Trek Precaliber 16 Girl's - 2018</v>
      </c>
      <c r="I4427">
        <f>VLOOKUP(C4427,[1]products!$A:$D,4,FALSE)</f>
        <v>1</v>
      </c>
      <c r="J4427" t="str">
        <f>VLOOKUP(I4427,[2]categories!$A$1:$B$8,2,FALSE)</f>
        <v>Children Bicycles</v>
      </c>
    </row>
    <row r="4428" customHeight="1" spans="1:10">
      <c r="A4428" s="1">
        <v>1517</v>
      </c>
      <c r="B4428" s="1">
        <v>1</v>
      </c>
      <c r="C4428" s="1">
        <v>303</v>
      </c>
      <c r="D4428" s="1">
        <v>2</v>
      </c>
      <c r="E4428" s="1">
        <v>2599.99</v>
      </c>
      <c r="F4428" s="1">
        <v>0.07</v>
      </c>
      <c r="G4428">
        <f t="shared" si="69"/>
        <v>5199.91</v>
      </c>
      <c r="H4428" t="str">
        <f>VLOOKUP(C4428,[1]products!$A:$B,2,FALSE)</f>
        <v>Electra Townie Go! 8i - 2017/2018</v>
      </c>
      <c r="I4428">
        <f>VLOOKUP(C4428,[1]products!$A:$D,4,FALSE)</f>
        <v>2</v>
      </c>
      <c r="J4428" t="str">
        <f>VLOOKUP(I4428,[2]categories!$A$1:$B$8,2,FALSE)</f>
        <v>Comfort Bicycles</v>
      </c>
    </row>
    <row r="4429" customHeight="1" spans="1:10">
      <c r="A4429" s="1">
        <v>1517</v>
      </c>
      <c r="B4429" s="1">
        <v>2</v>
      </c>
      <c r="C4429" s="1">
        <v>226</v>
      </c>
      <c r="D4429" s="1">
        <v>2</v>
      </c>
      <c r="E4429" s="1">
        <v>679.99</v>
      </c>
      <c r="F4429" s="1">
        <v>0.05</v>
      </c>
      <c r="G4429">
        <f t="shared" si="69"/>
        <v>1359.93</v>
      </c>
      <c r="H4429" t="str">
        <f>VLOOKUP(C4429,[1]products!$A:$B,2,FALSE)</f>
        <v>Electra Townie Original 21D EQ - 2017/2018</v>
      </c>
      <c r="I4429">
        <f>VLOOKUP(C4429,[1]products!$A:$D,4,FALSE)</f>
        <v>3</v>
      </c>
      <c r="J4429" t="str">
        <f>VLOOKUP(I4429,[2]categories!$A$1:$B$8,2,FALSE)</f>
        <v>Cruisers Bicycles</v>
      </c>
    </row>
    <row r="4430" customHeight="1" spans="1:10">
      <c r="A4430" s="1">
        <v>1518</v>
      </c>
      <c r="B4430" s="1">
        <v>1</v>
      </c>
      <c r="C4430" s="1">
        <v>304</v>
      </c>
      <c r="D4430" s="1">
        <v>2</v>
      </c>
      <c r="E4430" s="1">
        <v>679.99</v>
      </c>
      <c r="F4430" s="1">
        <v>0.1</v>
      </c>
      <c r="G4430">
        <f t="shared" si="69"/>
        <v>1359.88</v>
      </c>
      <c r="H4430" t="str">
        <f>VLOOKUP(C4430,[1]products!$A:$B,2,FALSE)</f>
        <v>Electra Townie Original 21D EQ - 2017/2018</v>
      </c>
      <c r="I4430">
        <f>VLOOKUP(C4430,[1]products!$A:$D,4,FALSE)</f>
        <v>2</v>
      </c>
      <c r="J4430" t="str">
        <f>VLOOKUP(I4430,[2]categories!$A$1:$B$8,2,FALSE)</f>
        <v>Comfort Bicycles</v>
      </c>
    </row>
    <row r="4431" customHeight="1" spans="1:10">
      <c r="A4431" s="1">
        <v>1518</v>
      </c>
      <c r="B4431" s="1">
        <v>2</v>
      </c>
      <c r="C4431" s="1">
        <v>182</v>
      </c>
      <c r="D4431" s="1">
        <v>2</v>
      </c>
      <c r="E4431" s="1">
        <v>2499.99</v>
      </c>
      <c r="F4431" s="1">
        <v>0.05</v>
      </c>
      <c r="G4431">
        <f t="shared" si="69"/>
        <v>4999.93</v>
      </c>
      <c r="H4431" t="str">
        <f>VLOOKUP(C4431,[1]products!$A:$B,2,FALSE)</f>
        <v>Trek Domane SL 5 Disc - 2018</v>
      </c>
      <c r="I4431">
        <f>VLOOKUP(C4431,[1]products!$A:$D,4,FALSE)</f>
        <v>7</v>
      </c>
      <c r="J4431" t="str">
        <f>VLOOKUP(I4431,[2]categories!$A$1:$B$8,2,FALSE)</f>
        <v>Road Bikes</v>
      </c>
    </row>
    <row r="4432" customHeight="1" spans="1:10">
      <c r="A4432" s="1">
        <v>1518</v>
      </c>
      <c r="B4432" s="1">
        <v>3</v>
      </c>
      <c r="C4432" s="1">
        <v>252</v>
      </c>
      <c r="D4432" s="1">
        <v>2</v>
      </c>
      <c r="E4432" s="1">
        <v>2999.99</v>
      </c>
      <c r="F4432" s="1">
        <v>0.05</v>
      </c>
      <c r="G4432">
        <f t="shared" si="69"/>
        <v>5999.93</v>
      </c>
      <c r="H4432" t="str">
        <f>VLOOKUP(C4432,[1]products!$A:$B,2,FALSE)</f>
        <v>Electra Townie Commute Go! Ladies' - 2018</v>
      </c>
      <c r="I4432">
        <f>VLOOKUP(C4432,[1]products!$A:$D,4,FALSE)</f>
        <v>3</v>
      </c>
      <c r="J4432" t="str">
        <f>VLOOKUP(I4432,[2]categories!$A$1:$B$8,2,FALSE)</f>
        <v>Cruisers Bicycles</v>
      </c>
    </row>
    <row r="4433" customHeight="1" spans="1:10">
      <c r="A4433" s="1">
        <v>1519</v>
      </c>
      <c r="B4433" s="1">
        <v>1</v>
      </c>
      <c r="C4433" s="1">
        <v>150</v>
      </c>
      <c r="D4433" s="1">
        <v>1</v>
      </c>
      <c r="E4433" s="1">
        <v>4499.99</v>
      </c>
      <c r="F4433" s="1">
        <v>0.2</v>
      </c>
      <c r="G4433">
        <f t="shared" si="69"/>
        <v>4499.79</v>
      </c>
      <c r="H4433" t="str">
        <f>VLOOKUP(C4433,[1]products!$A:$B,2,FALSE)</f>
        <v>Trek Emonda SL 7 - 2018</v>
      </c>
      <c r="I4433">
        <f>VLOOKUP(C4433,[1]products!$A:$D,4,FALSE)</f>
        <v>7</v>
      </c>
      <c r="J4433" t="str">
        <f>VLOOKUP(I4433,[2]categories!$A$1:$B$8,2,FALSE)</f>
        <v>Road Bikes</v>
      </c>
    </row>
    <row r="4434" customHeight="1" spans="1:10">
      <c r="A4434" s="1">
        <v>1519</v>
      </c>
      <c r="B4434" s="1">
        <v>2</v>
      </c>
      <c r="C4434" s="1">
        <v>85</v>
      </c>
      <c r="D4434" s="1">
        <v>2</v>
      </c>
      <c r="E4434" s="1">
        <v>329.99</v>
      </c>
      <c r="F4434" s="1">
        <v>0.2</v>
      </c>
      <c r="G4434">
        <f t="shared" si="69"/>
        <v>659.78</v>
      </c>
      <c r="H4434" t="str">
        <f>VLOOKUP(C4434,[1]products!$A:$B,2,FALSE)</f>
        <v>Haro Downtown 16 - 2017</v>
      </c>
      <c r="I4434">
        <f>VLOOKUP(C4434,[1]products!$A:$D,4,FALSE)</f>
        <v>1</v>
      </c>
      <c r="J4434" t="str">
        <f>VLOOKUP(I4434,[2]categories!$A$1:$B$8,2,FALSE)</f>
        <v>Children Bicycles</v>
      </c>
    </row>
    <row r="4435" customHeight="1" spans="1:10">
      <c r="A4435" s="1">
        <v>1519</v>
      </c>
      <c r="B4435" s="1">
        <v>3</v>
      </c>
      <c r="C4435" s="1">
        <v>124</v>
      </c>
      <c r="D4435" s="1">
        <v>2</v>
      </c>
      <c r="E4435" s="1">
        <v>1499</v>
      </c>
      <c r="F4435" s="1">
        <v>0.07</v>
      </c>
      <c r="G4435">
        <f t="shared" si="69"/>
        <v>2997.93</v>
      </c>
      <c r="H4435" t="str">
        <f>VLOOKUP(C4435,[1]products!$A:$B,2,FALSE)</f>
        <v>Surly Krampus - 2018</v>
      </c>
      <c r="I4435">
        <f>VLOOKUP(C4435,[1]products!$A:$D,4,FALSE)</f>
        <v>6</v>
      </c>
      <c r="J4435" t="str">
        <f>VLOOKUP(I4435,[2]categories!$A$1:$B$8,2,FALSE)</f>
        <v>Mountain Bikes</v>
      </c>
    </row>
    <row r="4436" customHeight="1" spans="1:10">
      <c r="A4436" s="1">
        <v>1519</v>
      </c>
      <c r="B4436" s="1">
        <v>4</v>
      </c>
      <c r="C4436" s="1">
        <v>65</v>
      </c>
      <c r="D4436" s="1">
        <v>1</v>
      </c>
      <c r="E4436" s="1">
        <v>346.99</v>
      </c>
      <c r="F4436" s="1">
        <v>0.2</v>
      </c>
      <c r="G4436">
        <f t="shared" si="69"/>
        <v>346.79</v>
      </c>
      <c r="H4436" t="str">
        <f>VLOOKUP(C4436,[1]products!$A:$B,2,FALSE)</f>
        <v>Sun Bicycles Lil Bolt Type-R - 2017</v>
      </c>
      <c r="I4436">
        <f>VLOOKUP(C4436,[1]products!$A:$D,4,FALSE)</f>
        <v>3</v>
      </c>
      <c r="J4436" t="str">
        <f>VLOOKUP(I4436,[2]categories!$A$1:$B$8,2,FALSE)</f>
        <v>Cruisers Bicycles</v>
      </c>
    </row>
    <row r="4437" customHeight="1" spans="1:10">
      <c r="A4437" s="1">
        <v>1519</v>
      </c>
      <c r="B4437" s="1">
        <v>5</v>
      </c>
      <c r="C4437" s="1">
        <v>265</v>
      </c>
      <c r="D4437" s="1">
        <v>2</v>
      </c>
      <c r="E4437" s="1">
        <v>289.99</v>
      </c>
      <c r="F4437" s="1">
        <v>0.05</v>
      </c>
      <c r="G4437">
        <f t="shared" si="69"/>
        <v>579.93</v>
      </c>
      <c r="H4437" t="str">
        <f>VLOOKUP(C4437,[1]products!$A:$B,2,FALSE)</f>
        <v>Strider Strider 20 Sport - 2018</v>
      </c>
      <c r="I4437">
        <f>VLOOKUP(C4437,[1]products!$A:$D,4,FALSE)</f>
        <v>1</v>
      </c>
      <c r="J4437" t="str">
        <f>VLOOKUP(I4437,[2]categories!$A$1:$B$8,2,FALSE)</f>
        <v>Children Bicycles</v>
      </c>
    </row>
    <row r="4438" customHeight="1" spans="1:10">
      <c r="A4438" s="1">
        <v>1520</v>
      </c>
      <c r="B4438" s="1">
        <v>1</v>
      </c>
      <c r="C4438" s="1">
        <v>186</v>
      </c>
      <c r="D4438" s="1">
        <v>1</v>
      </c>
      <c r="E4438" s="1">
        <v>4499.99</v>
      </c>
      <c r="F4438" s="1">
        <v>0.05</v>
      </c>
      <c r="G4438">
        <f t="shared" si="69"/>
        <v>4499.94</v>
      </c>
      <c r="H4438" t="str">
        <f>VLOOKUP(C4438,[1]products!$A:$B,2,FALSE)</f>
        <v>Trek CrossRip+ - 2018</v>
      </c>
      <c r="I4438">
        <f>VLOOKUP(C4438,[1]products!$A:$D,4,FALSE)</f>
        <v>5</v>
      </c>
      <c r="J4438" t="str">
        <f>VLOOKUP(I4438,[2]categories!$A$1:$B$8,2,FALSE)</f>
        <v>Electric Bikes</v>
      </c>
    </row>
    <row r="4439" customHeight="1" spans="1:10">
      <c r="A4439" s="1">
        <v>1520</v>
      </c>
      <c r="B4439" s="1">
        <v>2</v>
      </c>
      <c r="C4439" s="1">
        <v>188</v>
      </c>
      <c r="D4439" s="1">
        <v>2</v>
      </c>
      <c r="E4439" s="1">
        <v>3499.99</v>
      </c>
      <c r="F4439" s="1">
        <v>0.2</v>
      </c>
      <c r="G4439">
        <f t="shared" si="69"/>
        <v>6999.78</v>
      </c>
      <c r="H4439" t="str">
        <f>VLOOKUP(C4439,[1]products!$A:$B,2,FALSE)</f>
        <v>Trek XM700+ Lowstep - 2018</v>
      </c>
      <c r="I4439">
        <f>VLOOKUP(C4439,[1]products!$A:$D,4,FALSE)</f>
        <v>5</v>
      </c>
      <c r="J4439" t="str">
        <f>VLOOKUP(I4439,[2]categories!$A$1:$B$8,2,FALSE)</f>
        <v>Electric Bikes</v>
      </c>
    </row>
    <row r="4440" customHeight="1" spans="1:10">
      <c r="A4440" s="1">
        <v>1520</v>
      </c>
      <c r="B4440" s="1">
        <v>3</v>
      </c>
      <c r="C4440" s="1">
        <v>310</v>
      </c>
      <c r="D4440" s="1">
        <v>2</v>
      </c>
      <c r="E4440" s="1">
        <v>899.99</v>
      </c>
      <c r="F4440" s="1">
        <v>0.07</v>
      </c>
      <c r="G4440">
        <f t="shared" si="69"/>
        <v>1799.91</v>
      </c>
      <c r="H4440" t="str">
        <f>VLOOKUP(C4440,[1]products!$A:$B,2,FALSE)</f>
        <v>Electra Townie Commute 27D Ladies - 2018</v>
      </c>
      <c r="I4440">
        <f>VLOOKUP(C4440,[1]products!$A:$D,4,FALSE)</f>
        <v>2</v>
      </c>
      <c r="J4440" t="str">
        <f>VLOOKUP(I4440,[2]categories!$A$1:$B$8,2,FALSE)</f>
        <v>Comfort Bicycles</v>
      </c>
    </row>
    <row r="4441" customHeight="1" spans="1:10">
      <c r="A4441" s="1">
        <v>1520</v>
      </c>
      <c r="B4441" s="1">
        <v>4</v>
      </c>
      <c r="C4441" s="1">
        <v>263</v>
      </c>
      <c r="D4441" s="1">
        <v>2</v>
      </c>
      <c r="E4441" s="1">
        <v>89.99</v>
      </c>
      <c r="F4441" s="1">
        <v>0.1</v>
      </c>
      <c r="G4441">
        <f t="shared" si="69"/>
        <v>179.88</v>
      </c>
      <c r="H4441" t="str">
        <f>VLOOKUP(C4441,[1]products!$A:$B,2,FALSE)</f>
        <v>Strider Classic 12 Balance Bike - 2018</v>
      </c>
      <c r="I4441">
        <f>VLOOKUP(C4441,[1]products!$A:$D,4,FALSE)</f>
        <v>1</v>
      </c>
      <c r="J4441" t="str">
        <f>VLOOKUP(I4441,[2]categories!$A$1:$B$8,2,FALSE)</f>
        <v>Children Bicycles</v>
      </c>
    </row>
    <row r="4442" customHeight="1" spans="1:10">
      <c r="A4442" s="1">
        <v>1521</v>
      </c>
      <c r="B4442" s="1">
        <v>1</v>
      </c>
      <c r="C4442" s="1">
        <v>100</v>
      </c>
      <c r="D4442" s="1">
        <v>1</v>
      </c>
      <c r="E4442" s="1">
        <v>489.99</v>
      </c>
      <c r="F4442" s="1">
        <v>0.2</v>
      </c>
      <c r="G4442">
        <f t="shared" si="69"/>
        <v>489.79</v>
      </c>
      <c r="H4442" t="str">
        <f>VLOOKUP(C4442,[1]products!$A:$B,2,FALSE)</f>
        <v>Electra Townie 3i EQ (20-inch) - Boys' - 2017</v>
      </c>
      <c r="I4442">
        <f>VLOOKUP(C4442,[1]products!$A:$D,4,FALSE)</f>
        <v>1</v>
      </c>
      <c r="J4442" t="str">
        <f>VLOOKUP(I4442,[2]categories!$A$1:$B$8,2,FALSE)</f>
        <v>Children Bicycles</v>
      </c>
    </row>
    <row r="4443" customHeight="1" spans="1:10">
      <c r="A4443" s="1">
        <v>1521</v>
      </c>
      <c r="B4443" s="1">
        <v>2</v>
      </c>
      <c r="C4443" s="1">
        <v>314</v>
      </c>
      <c r="D4443" s="1">
        <v>2</v>
      </c>
      <c r="E4443" s="1">
        <v>679.99</v>
      </c>
      <c r="F4443" s="1">
        <v>0.2</v>
      </c>
      <c r="G4443">
        <f t="shared" si="69"/>
        <v>1359.78</v>
      </c>
      <c r="H4443" t="str">
        <f>VLOOKUP(C4443,[1]products!$A:$B,2,FALSE)</f>
        <v>Electra Townie Original 21D EQ Ladies' - 2018</v>
      </c>
      <c r="I4443">
        <f>VLOOKUP(C4443,[1]products!$A:$D,4,FALSE)</f>
        <v>2</v>
      </c>
      <c r="J4443" t="str">
        <f>VLOOKUP(I4443,[2]categories!$A$1:$B$8,2,FALSE)</f>
        <v>Comfort Bicycles</v>
      </c>
    </row>
    <row r="4444" customHeight="1" spans="1:10">
      <c r="A4444" s="1">
        <v>1521</v>
      </c>
      <c r="B4444" s="1">
        <v>3</v>
      </c>
      <c r="C4444" s="1">
        <v>123</v>
      </c>
      <c r="D4444" s="1">
        <v>1</v>
      </c>
      <c r="E4444" s="1">
        <v>999.99</v>
      </c>
      <c r="F4444" s="1">
        <v>0.1</v>
      </c>
      <c r="G4444">
        <f t="shared" si="69"/>
        <v>999.89</v>
      </c>
      <c r="H4444" t="str">
        <f>VLOOKUP(C4444,[1]products!$A:$B,2,FALSE)</f>
        <v>Trek Farley Carbon Frameset - 2018</v>
      </c>
      <c r="I4444">
        <f>VLOOKUP(C4444,[1]products!$A:$D,4,FALSE)</f>
        <v>6</v>
      </c>
      <c r="J4444" t="str">
        <f>VLOOKUP(I4444,[2]categories!$A$1:$B$8,2,FALSE)</f>
        <v>Mountain Bikes</v>
      </c>
    </row>
    <row r="4445" customHeight="1" spans="1:10">
      <c r="A4445" s="1">
        <v>1521</v>
      </c>
      <c r="B4445" s="1">
        <v>4</v>
      </c>
      <c r="C4445" s="1">
        <v>135</v>
      </c>
      <c r="D4445" s="1">
        <v>2</v>
      </c>
      <c r="E4445" s="1">
        <v>1499.99</v>
      </c>
      <c r="F4445" s="1">
        <v>0.2</v>
      </c>
      <c r="G4445">
        <f t="shared" si="69"/>
        <v>2999.78</v>
      </c>
      <c r="H4445" t="str">
        <f>VLOOKUP(C4445,[1]products!$A:$B,2,FALSE)</f>
        <v>Trek X-Caliber Frameset - 2018</v>
      </c>
      <c r="I4445">
        <f>VLOOKUP(C4445,[1]products!$A:$D,4,FALSE)</f>
        <v>6</v>
      </c>
      <c r="J4445" t="str">
        <f>VLOOKUP(I4445,[2]categories!$A$1:$B$8,2,FALSE)</f>
        <v>Mountain Bikes</v>
      </c>
    </row>
    <row r="4446" customHeight="1" spans="1:10">
      <c r="A4446" s="1">
        <v>1522</v>
      </c>
      <c r="B4446" s="1">
        <v>1</v>
      </c>
      <c r="C4446" s="1">
        <v>95</v>
      </c>
      <c r="D4446" s="1">
        <v>1</v>
      </c>
      <c r="E4446" s="1">
        <v>299.99</v>
      </c>
      <c r="F4446" s="1">
        <v>0.1</v>
      </c>
      <c r="G4446">
        <f t="shared" si="69"/>
        <v>299.89</v>
      </c>
      <c r="H4446" t="str">
        <f>VLOOKUP(C4446,[1]products!$A:$B,2,FALSE)</f>
        <v>Electra Girl's Hawaii 1 16" - 2017</v>
      </c>
      <c r="I4446">
        <f>VLOOKUP(C4446,[1]products!$A:$D,4,FALSE)</f>
        <v>1</v>
      </c>
      <c r="J4446" t="str">
        <f>VLOOKUP(I4446,[2]categories!$A$1:$B$8,2,FALSE)</f>
        <v>Children Bicycles</v>
      </c>
    </row>
    <row r="4447" customHeight="1" spans="1:10">
      <c r="A4447" s="1">
        <v>1522</v>
      </c>
      <c r="B4447" s="1">
        <v>2</v>
      </c>
      <c r="C4447" s="1">
        <v>141</v>
      </c>
      <c r="D4447" s="1">
        <v>1</v>
      </c>
      <c r="E4447" s="1">
        <v>1599.99</v>
      </c>
      <c r="F4447" s="1">
        <v>0.07</v>
      </c>
      <c r="G4447">
        <f t="shared" si="69"/>
        <v>1599.92</v>
      </c>
      <c r="H4447" t="str">
        <f>VLOOKUP(C4447,[1]products!$A:$B,2,FALSE)</f>
        <v>Trek Stache 5 - 2018</v>
      </c>
      <c r="I4447">
        <f>VLOOKUP(C4447,[1]products!$A:$D,4,FALSE)</f>
        <v>6</v>
      </c>
      <c r="J4447" t="str">
        <f>VLOOKUP(I4447,[2]categories!$A$1:$B$8,2,FALSE)</f>
        <v>Mountain Bikes</v>
      </c>
    </row>
    <row r="4448" customHeight="1" spans="1:10">
      <c r="A4448" s="1">
        <v>1522</v>
      </c>
      <c r="B4448" s="1">
        <v>3</v>
      </c>
      <c r="C4448" s="1">
        <v>117</v>
      </c>
      <c r="D4448" s="1">
        <v>1</v>
      </c>
      <c r="E4448" s="1">
        <v>1469.99</v>
      </c>
      <c r="F4448" s="1">
        <v>0.07</v>
      </c>
      <c r="G4448">
        <f t="shared" si="69"/>
        <v>1469.92</v>
      </c>
      <c r="H4448" t="str">
        <f>VLOOKUP(C4448,[1]products!$A:$B,2,FALSE)</f>
        <v>Trek Ticket S Frame - 2018</v>
      </c>
      <c r="I4448">
        <f>VLOOKUP(C4448,[1]products!$A:$D,4,FALSE)</f>
        <v>6</v>
      </c>
      <c r="J4448" t="str">
        <f>VLOOKUP(I4448,[2]categories!$A$1:$B$8,2,FALSE)</f>
        <v>Mountain Bikes</v>
      </c>
    </row>
    <row r="4449" customHeight="1" spans="1:10">
      <c r="A4449" s="1">
        <v>1523</v>
      </c>
      <c r="B4449" s="1">
        <v>1</v>
      </c>
      <c r="C4449" s="1">
        <v>311</v>
      </c>
      <c r="D4449" s="1">
        <v>2</v>
      </c>
      <c r="E4449" s="1">
        <v>749.99</v>
      </c>
      <c r="F4449" s="1">
        <v>0.2</v>
      </c>
      <c r="G4449">
        <f t="shared" si="69"/>
        <v>1499.78</v>
      </c>
      <c r="H4449" t="str">
        <f>VLOOKUP(C4449,[1]products!$A:$B,2,FALSE)</f>
        <v>Electra Townie Commute 8D - 2018</v>
      </c>
      <c r="I4449">
        <f>VLOOKUP(C4449,[1]products!$A:$D,4,FALSE)</f>
        <v>2</v>
      </c>
      <c r="J4449" t="str">
        <f>VLOOKUP(I4449,[2]categories!$A$1:$B$8,2,FALSE)</f>
        <v>Comfort Bicycles</v>
      </c>
    </row>
    <row r="4450" customHeight="1" spans="1:10">
      <c r="A4450" s="1">
        <v>1524</v>
      </c>
      <c r="B4450" s="1">
        <v>1</v>
      </c>
      <c r="C4450" s="1">
        <v>168</v>
      </c>
      <c r="D4450" s="1">
        <v>1</v>
      </c>
      <c r="E4450" s="1">
        <v>1549</v>
      </c>
      <c r="F4450" s="1">
        <v>0.1</v>
      </c>
      <c r="G4450">
        <f t="shared" si="69"/>
        <v>1548.9</v>
      </c>
      <c r="H4450" t="str">
        <f>VLOOKUP(C4450,[1]products!$A:$B,2,FALSE)</f>
        <v>Surly Straggler - 2018</v>
      </c>
      <c r="I4450">
        <f>VLOOKUP(C4450,[1]products!$A:$D,4,FALSE)</f>
        <v>7</v>
      </c>
      <c r="J4450" t="str">
        <f>VLOOKUP(I4450,[2]categories!$A$1:$B$8,2,FALSE)</f>
        <v>Road Bikes</v>
      </c>
    </row>
    <row r="4451" customHeight="1" spans="1:10">
      <c r="A4451" s="1">
        <v>1524</v>
      </c>
      <c r="B4451" s="1">
        <v>2</v>
      </c>
      <c r="C4451" s="1">
        <v>295</v>
      </c>
      <c r="D4451" s="1">
        <v>2</v>
      </c>
      <c r="E4451" s="1">
        <v>319.99</v>
      </c>
      <c r="F4451" s="1">
        <v>0.2</v>
      </c>
      <c r="G4451">
        <f t="shared" si="69"/>
        <v>639.78</v>
      </c>
      <c r="H4451" t="str">
        <f>VLOOKUP(C4451,[1]products!$A:$B,2,FALSE)</f>
        <v>Electra Treasure 1 20" - 2018</v>
      </c>
      <c r="I4451">
        <f>VLOOKUP(C4451,[1]products!$A:$D,4,FALSE)</f>
        <v>1</v>
      </c>
      <c r="J4451" t="str">
        <f>VLOOKUP(I4451,[2]categories!$A$1:$B$8,2,FALSE)</f>
        <v>Children Bicycles</v>
      </c>
    </row>
    <row r="4452" customHeight="1" spans="1:10">
      <c r="A4452" s="1">
        <v>1524</v>
      </c>
      <c r="B4452" s="1">
        <v>3</v>
      </c>
      <c r="C4452" s="1">
        <v>313</v>
      </c>
      <c r="D4452" s="1">
        <v>1</v>
      </c>
      <c r="E4452" s="1">
        <v>449.99</v>
      </c>
      <c r="F4452" s="1">
        <v>0.2</v>
      </c>
      <c r="G4452">
        <f t="shared" si="69"/>
        <v>449.79</v>
      </c>
      <c r="H4452" t="str">
        <f>VLOOKUP(C4452,[1]products!$A:$B,2,FALSE)</f>
        <v>Electra Townie Original 1 Ladies' - 2018</v>
      </c>
      <c r="I4452">
        <f>VLOOKUP(C4452,[1]products!$A:$D,4,FALSE)</f>
        <v>2</v>
      </c>
      <c r="J4452" t="str">
        <f>VLOOKUP(I4452,[2]categories!$A$1:$B$8,2,FALSE)</f>
        <v>Comfort Bicycles</v>
      </c>
    </row>
    <row r="4453" customHeight="1" spans="1:10">
      <c r="A4453" s="1">
        <v>1524</v>
      </c>
      <c r="B4453" s="1">
        <v>4</v>
      </c>
      <c r="C4453" s="1">
        <v>252</v>
      </c>
      <c r="D4453" s="1">
        <v>2</v>
      </c>
      <c r="E4453" s="1">
        <v>2999.99</v>
      </c>
      <c r="F4453" s="1">
        <v>0.2</v>
      </c>
      <c r="G4453">
        <f t="shared" si="69"/>
        <v>5999.78</v>
      </c>
      <c r="H4453" t="str">
        <f>VLOOKUP(C4453,[1]products!$A:$B,2,FALSE)</f>
        <v>Electra Townie Commute Go! Ladies' - 2018</v>
      </c>
      <c r="I4453">
        <f>VLOOKUP(C4453,[1]products!$A:$D,4,FALSE)</f>
        <v>3</v>
      </c>
      <c r="J4453" t="str">
        <f>VLOOKUP(I4453,[2]categories!$A$1:$B$8,2,FALSE)</f>
        <v>Cruisers Bicycles</v>
      </c>
    </row>
    <row r="4454" customHeight="1" spans="1:10">
      <c r="A4454" s="1">
        <v>1525</v>
      </c>
      <c r="B4454" s="1">
        <v>1</v>
      </c>
      <c r="C4454" s="1">
        <v>156</v>
      </c>
      <c r="D4454" s="1">
        <v>1</v>
      </c>
      <c r="E4454" s="1">
        <v>6499.99</v>
      </c>
      <c r="F4454" s="1">
        <v>0.1</v>
      </c>
      <c r="G4454">
        <f t="shared" si="69"/>
        <v>6499.89</v>
      </c>
      <c r="H4454" t="str">
        <f>VLOOKUP(C4454,[1]products!$A:$B,2,FALSE)</f>
        <v>Trek Domane SL Frameset - 2018</v>
      </c>
      <c r="I4454">
        <f>VLOOKUP(C4454,[1]products!$A:$D,4,FALSE)</f>
        <v>7</v>
      </c>
      <c r="J4454" t="str">
        <f>VLOOKUP(I4454,[2]categories!$A$1:$B$8,2,FALSE)</f>
        <v>Road Bikes</v>
      </c>
    </row>
    <row r="4455" customHeight="1" spans="1:10">
      <c r="A4455" s="1">
        <v>1525</v>
      </c>
      <c r="B4455" s="1">
        <v>2</v>
      </c>
      <c r="C4455" s="1">
        <v>163</v>
      </c>
      <c r="D4455" s="1">
        <v>2</v>
      </c>
      <c r="E4455" s="1">
        <v>1349</v>
      </c>
      <c r="F4455" s="1">
        <v>0.07</v>
      </c>
      <c r="G4455">
        <f t="shared" si="69"/>
        <v>2697.93</v>
      </c>
      <c r="H4455" t="str">
        <f>VLOOKUP(C4455,[1]products!$A:$B,2,FALSE)</f>
        <v>Surly Pack Rat - 2018</v>
      </c>
      <c r="I4455">
        <f>VLOOKUP(C4455,[1]products!$A:$D,4,FALSE)</f>
        <v>7</v>
      </c>
      <c r="J4455" t="str">
        <f>VLOOKUP(I4455,[2]categories!$A$1:$B$8,2,FALSE)</f>
        <v>Road Bikes</v>
      </c>
    </row>
    <row r="4456" customHeight="1" spans="1:10">
      <c r="A4456" s="1">
        <v>1525</v>
      </c>
      <c r="B4456" s="1">
        <v>3</v>
      </c>
      <c r="C4456" s="1">
        <v>193</v>
      </c>
      <c r="D4456" s="1">
        <v>1</v>
      </c>
      <c r="E4456" s="1">
        <v>2799.99</v>
      </c>
      <c r="F4456" s="1">
        <v>0.07</v>
      </c>
      <c r="G4456">
        <f t="shared" si="69"/>
        <v>2799.92</v>
      </c>
      <c r="H4456" t="str">
        <f>VLOOKUP(C4456,[1]products!$A:$B,2,FALSE)</f>
        <v>Trek Lift+ - 2018</v>
      </c>
      <c r="I4456">
        <f>VLOOKUP(C4456,[1]products!$A:$D,4,FALSE)</f>
        <v>5</v>
      </c>
      <c r="J4456" t="str">
        <f>VLOOKUP(I4456,[2]categories!$A$1:$B$8,2,FALSE)</f>
        <v>Electric Bikes</v>
      </c>
    </row>
    <row r="4457" customHeight="1" spans="1:10">
      <c r="A4457" s="1">
        <v>1526</v>
      </c>
      <c r="B4457" s="1">
        <v>1</v>
      </c>
      <c r="C4457" s="1">
        <v>151</v>
      </c>
      <c r="D4457" s="1">
        <v>1</v>
      </c>
      <c r="E4457" s="1">
        <v>1549.99</v>
      </c>
      <c r="F4457" s="1">
        <v>0.07</v>
      </c>
      <c r="G4457">
        <f t="shared" si="69"/>
        <v>1549.92</v>
      </c>
      <c r="H4457" t="str">
        <f>VLOOKUP(C4457,[1]products!$A:$B,2,FALSE)</f>
        <v>Trek Domane ALR 4 Disc Women's - 2018</v>
      </c>
      <c r="I4457">
        <f>VLOOKUP(C4457,[1]products!$A:$D,4,FALSE)</f>
        <v>7</v>
      </c>
      <c r="J4457" t="str">
        <f>VLOOKUP(I4457,[2]categories!$A$1:$B$8,2,FALSE)</f>
        <v>Road Bikes</v>
      </c>
    </row>
    <row r="4458" customHeight="1" spans="1:10">
      <c r="A4458" s="1">
        <v>1526</v>
      </c>
      <c r="B4458" s="1">
        <v>2</v>
      </c>
      <c r="C4458" s="1">
        <v>56</v>
      </c>
      <c r="D4458" s="1">
        <v>1</v>
      </c>
      <c r="E4458" s="1">
        <v>5499.99</v>
      </c>
      <c r="F4458" s="1">
        <v>0.1</v>
      </c>
      <c r="G4458">
        <f t="shared" si="69"/>
        <v>5499.89</v>
      </c>
      <c r="H4458" t="str">
        <f>VLOOKUP(C4458,[1]products!$A:$B,2,FALSE)</f>
        <v>Trek Domane SLR 6 Disc - 2017</v>
      </c>
      <c r="I4458">
        <f>VLOOKUP(C4458,[1]products!$A:$D,4,FALSE)</f>
        <v>7</v>
      </c>
      <c r="J4458" t="str">
        <f>VLOOKUP(I4458,[2]categories!$A$1:$B$8,2,FALSE)</f>
        <v>Road Bikes</v>
      </c>
    </row>
    <row r="4459" customHeight="1" spans="1:10">
      <c r="A4459" s="1">
        <v>1526</v>
      </c>
      <c r="B4459" s="1">
        <v>3</v>
      </c>
      <c r="C4459" s="1">
        <v>238</v>
      </c>
      <c r="D4459" s="1">
        <v>1</v>
      </c>
      <c r="E4459" s="1">
        <v>749.99</v>
      </c>
      <c r="F4459" s="1">
        <v>0.1</v>
      </c>
      <c r="G4459">
        <f t="shared" si="69"/>
        <v>749.89</v>
      </c>
      <c r="H4459" t="str">
        <f>VLOOKUP(C4459,[1]products!$A:$B,2,FALSE)</f>
        <v>Electra Townie Balloon 8D EQ - 2016/2017/2018</v>
      </c>
      <c r="I4459">
        <f>VLOOKUP(C4459,[1]products!$A:$D,4,FALSE)</f>
        <v>3</v>
      </c>
      <c r="J4459" t="str">
        <f>VLOOKUP(I4459,[2]categories!$A$1:$B$8,2,FALSE)</f>
        <v>Cruisers Bicycles</v>
      </c>
    </row>
    <row r="4460" customHeight="1" spans="1:10">
      <c r="A4460" s="1">
        <v>1526</v>
      </c>
      <c r="B4460" s="1">
        <v>4</v>
      </c>
      <c r="C4460" s="1">
        <v>243</v>
      </c>
      <c r="D4460" s="1">
        <v>1</v>
      </c>
      <c r="E4460" s="1">
        <v>679.99</v>
      </c>
      <c r="F4460" s="1">
        <v>0.05</v>
      </c>
      <c r="G4460">
        <f t="shared" si="69"/>
        <v>679.94</v>
      </c>
      <c r="H4460" t="str">
        <f>VLOOKUP(C4460,[1]products!$A:$B,2,FALSE)</f>
        <v>Electra Townie Original 21D EQ Ladies' - 2018</v>
      </c>
      <c r="I4460">
        <f>VLOOKUP(C4460,[1]products!$A:$D,4,FALSE)</f>
        <v>3</v>
      </c>
      <c r="J4460" t="str">
        <f>VLOOKUP(I4460,[2]categories!$A$1:$B$8,2,FALSE)</f>
        <v>Cruisers Bicycles</v>
      </c>
    </row>
    <row r="4461" customHeight="1" spans="1:10">
      <c r="A4461" s="1">
        <v>1527</v>
      </c>
      <c r="B4461" s="1">
        <v>1</v>
      </c>
      <c r="C4461" s="1">
        <v>33</v>
      </c>
      <c r="D4461" s="1">
        <v>1</v>
      </c>
      <c r="E4461" s="1">
        <v>469.99</v>
      </c>
      <c r="F4461" s="1">
        <v>0.1</v>
      </c>
      <c r="G4461">
        <f t="shared" si="69"/>
        <v>469.89</v>
      </c>
      <c r="H4461" t="str">
        <f>VLOOKUP(C4461,[1]products!$A:$B,2,FALSE)</f>
        <v>Surly Wednesday Frameset - 2017</v>
      </c>
      <c r="I4461">
        <f>VLOOKUP(C4461,[1]products!$A:$D,4,FALSE)</f>
        <v>6</v>
      </c>
      <c r="J4461" t="str">
        <f>VLOOKUP(I4461,[2]categories!$A$1:$B$8,2,FALSE)</f>
        <v>Mountain Bikes</v>
      </c>
    </row>
    <row r="4462" customHeight="1" spans="1:10">
      <c r="A4462" s="1">
        <v>1527</v>
      </c>
      <c r="B4462" s="1">
        <v>2</v>
      </c>
      <c r="C4462" s="1">
        <v>103</v>
      </c>
      <c r="D4462" s="1">
        <v>1</v>
      </c>
      <c r="E4462" s="1">
        <v>551.99</v>
      </c>
      <c r="F4462" s="1">
        <v>0.05</v>
      </c>
      <c r="G4462">
        <f t="shared" si="69"/>
        <v>551.94</v>
      </c>
      <c r="H4462" t="str">
        <f>VLOOKUP(C4462,[1]products!$A:$B,2,FALSE)</f>
        <v>Sun Bicycles Streamway 3 - 2017</v>
      </c>
      <c r="I4462">
        <f>VLOOKUP(C4462,[1]products!$A:$D,4,FALSE)</f>
        <v>2</v>
      </c>
      <c r="J4462" t="str">
        <f>VLOOKUP(I4462,[2]categories!$A$1:$B$8,2,FALSE)</f>
        <v>Comfort Bicycles</v>
      </c>
    </row>
    <row r="4463" customHeight="1" spans="1:10">
      <c r="A4463" s="1">
        <v>1527</v>
      </c>
      <c r="B4463" s="1">
        <v>3</v>
      </c>
      <c r="C4463" s="1">
        <v>57</v>
      </c>
      <c r="D4463" s="1">
        <v>2</v>
      </c>
      <c r="E4463" s="1">
        <v>1999.99</v>
      </c>
      <c r="F4463" s="1">
        <v>0.05</v>
      </c>
      <c r="G4463">
        <f t="shared" si="69"/>
        <v>3999.93</v>
      </c>
      <c r="H4463" t="str">
        <f>VLOOKUP(C4463,[1]products!$A:$B,2,FALSE)</f>
        <v>Trek Emonda S 5 - 2017</v>
      </c>
      <c r="I4463">
        <f>VLOOKUP(C4463,[1]products!$A:$D,4,FALSE)</f>
        <v>7</v>
      </c>
      <c r="J4463" t="str">
        <f>VLOOKUP(I4463,[2]categories!$A$1:$B$8,2,FALSE)</f>
        <v>Road Bikes</v>
      </c>
    </row>
    <row r="4464" customHeight="1" spans="1:10">
      <c r="A4464" s="1">
        <v>1528</v>
      </c>
      <c r="B4464" s="1">
        <v>1</v>
      </c>
      <c r="C4464" s="1">
        <v>229</v>
      </c>
      <c r="D4464" s="1">
        <v>2</v>
      </c>
      <c r="E4464" s="1">
        <v>429.99</v>
      </c>
      <c r="F4464" s="1">
        <v>0.2</v>
      </c>
      <c r="G4464">
        <f t="shared" si="69"/>
        <v>859.78</v>
      </c>
      <c r="H4464" t="str">
        <f>VLOOKUP(C4464,[1]products!$A:$B,2,FALSE)</f>
        <v>Electra Cruiser Lux 1 - 2016/2018</v>
      </c>
      <c r="I4464">
        <f>VLOOKUP(C4464,[1]products!$A:$D,4,FALSE)</f>
        <v>3</v>
      </c>
      <c r="J4464" t="str">
        <f>VLOOKUP(I4464,[2]categories!$A$1:$B$8,2,FALSE)</f>
        <v>Cruisers Bicycles</v>
      </c>
    </row>
    <row r="4465" customHeight="1" spans="1:10">
      <c r="A4465" s="1">
        <v>1529</v>
      </c>
      <c r="B4465" s="1">
        <v>1</v>
      </c>
      <c r="C4465" s="1">
        <v>23</v>
      </c>
      <c r="D4465" s="1">
        <v>1</v>
      </c>
      <c r="E4465" s="1">
        <v>299.99</v>
      </c>
      <c r="F4465" s="1">
        <v>0.05</v>
      </c>
      <c r="G4465">
        <f t="shared" si="69"/>
        <v>299.94</v>
      </c>
      <c r="H4465" t="str">
        <f>VLOOKUP(C4465,[1]products!$A:$B,2,FALSE)</f>
        <v>Electra Girl's Hawaii 1 (20-inch) - 2015/2016</v>
      </c>
      <c r="I4465">
        <f>VLOOKUP(C4465,[1]products!$A:$D,4,FALSE)</f>
        <v>1</v>
      </c>
      <c r="J4465" t="str">
        <f>VLOOKUP(I4465,[2]categories!$A$1:$B$8,2,FALSE)</f>
        <v>Children Bicycles</v>
      </c>
    </row>
    <row r="4466" customHeight="1" spans="1:10">
      <c r="A4466" s="1">
        <v>1529</v>
      </c>
      <c r="B4466" s="1">
        <v>2</v>
      </c>
      <c r="C4466" s="1">
        <v>50</v>
      </c>
      <c r="D4466" s="1">
        <v>2</v>
      </c>
      <c r="E4466" s="1">
        <v>5999.99</v>
      </c>
      <c r="F4466" s="1">
        <v>0.1</v>
      </c>
      <c r="G4466">
        <f t="shared" si="69"/>
        <v>11999.88</v>
      </c>
      <c r="H4466" t="str">
        <f>VLOOKUP(C4466,[1]products!$A:$B,2,FALSE)</f>
        <v>Trek Silque SLR 7 Women's - 2017</v>
      </c>
      <c r="I4466">
        <f>VLOOKUP(C4466,[1]products!$A:$D,4,FALSE)</f>
        <v>7</v>
      </c>
      <c r="J4466" t="str">
        <f>VLOOKUP(I4466,[2]categories!$A$1:$B$8,2,FALSE)</f>
        <v>Road Bikes</v>
      </c>
    </row>
    <row r="4467" customHeight="1" spans="1:10">
      <c r="A4467" s="1">
        <v>1530</v>
      </c>
      <c r="B4467" s="1">
        <v>1</v>
      </c>
      <c r="C4467" s="1">
        <v>213</v>
      </c>
      <c r="D4467" s="1">
        <v>2</v>
      </c>
      <c r="E4467" s="1">
        <v>269.99</v>
      </c>
      <c r="F4467" s="1">
        <v>0.1</v>
      </c>
      <c r="G4467">
        <f t="shared" si="69"/>
        <v>539.88</v>
      </c>
      <c r="H4467" t="str">
        <f>VLOOKUP(C4467,[1]products!$A:$B,2,FALSE)</f>
        <v>Electra Cruiser 1 - 2016/2017/2018</v>
      </c>
      <c r="I4467">
        <f>VLOOKUP(C4467,[1]products!$A:$D,4,FALSE)</f>
        <v>3</v>
      </c>
      <c r="J4467" t="str">
        <f>VLOOKUP(I4467,[2]categories!$A$1:$B$8,2,FALSE)</f>
        <v>Cruisers Bicycles</v>
      </c>
    </row>
    <row r="4468" customHeight="1" spans="1:10">
      <c r="A4468" s="1">
        <v>1530</v>
      </c>
      <c r="B4468" s="1">
        <v>2</v>
      </c>
      <c r="C4468" s="1">
        <v>116</v>
      </c>
      <c r="D4468" s="1">
        <v>1</v>
      </c>
      <c r="E4468" s="1">
        <v>749.99</v>
      </c>
      <c r="F4468" s="1">
        <v>0.1</v>
      </c>
      <c r="G4468">
        <f t="shared" si="69"/>
        <v>749.89</v>
      </c>
      <c r="H4468" t="str">
        <f>VLOOKUP(C4468,[1]products!$A:$B,2,FALSE)</f>
        <v>Trek Marlin 7 - 2017/2018</v>
      </c>
      <c r="I4468">
        <f>VLOOKUP(C4468,[1]products!$A:$D,4,FALSE)</f>
        <v>6</v>
      </c>
      <c r="J4468" t="str">
        <f>VLOOKUP(I4468,[2]categories!$A$1:$B$8,2,FALSE)</f>
        <v>Mountain Bikes</v>
      </c>
    </row>
    <row r="4469" customHeight="1" spans="1:10">
      <c r="A4469" s="1">
        <v>1531</v>
      </c>
      <c r="B4469" s="1">
        <v>1</v>
      </c>
      <c r="C4469" s="1">
        <v>128</v>
      </c>
      <c r="D4469" s="1">
        <v>1</v>
      </c>
      <c r="E4469" s="1">
        <v>1899</v>
      </c>
      <c r="F4469" s="1">
        <v>0.1</v>
      </c>
      <c r="G4469">
        <f t="shared" si="69"/>
        <v>1898.9</v>
      </c>
      <c r="H4469" t="str">
        <f>VLOOKUP(C4469,[1]products!$A:$B,2,FALSE)</f>
        <v>Surly ECR 27.5 - 2018</v>
      </c>
      <c r="I4469">
        <f>VLOOKUP(C4469,[1]products!$A:$D,4,FALSE)</f>
        <v>6</v>
      </c>
      <c r="J4469" t="str">
        <f>VLOOKUP(I4469,[2]categories!$A$1:$B$8,2,FALSE)</f>
        <v>Mountain Bikes</v>
      </c>
    </row>
    <row r="4470" customHeight="1" spans="1:10">
      <c r="A4470" s="1">
        <v>1532</v>
      </c>
      <c r="B4470" s="1">
        <v>1</v>
      </c>
      <c r="C4470" s="1">
        <v>209</v>
      </c>
      <c r="D4470" s="1">
        <v>2</v>
      </c>
      <c r="E4470" s="1">
        <v>2999.99</v>
      </c>
      <c r="F4470" s="1">
        <v>0.07</v>
      </c>
      <c r="G4470">
        <f t="shared" si="69"/>
        <v>5999.91</v>
      </c>
      <c r="H4470" t="str">
        <f>VLOOKUP(C4470,[1]products!$A:$B,2,FALSE)</f>
        <v>Trek Crockett 7 Disc - 2018</v>
      </c>
      <c r="I4470">
        <f>VLOOKUP(C4470,[1]products!$A:$D,4,FALSE)</f>
        <v>4</v>
      </c>
      <c r="J4470" t="str">
        <f>VLOOKUP(I4470,[2]categories!$A$1:$B$8,2,FALSE)</f>
        <v>Cyclocross Bicycles</v>
      </c>
    </row>
    <row r="4471" customHeight="1" spans="1:10">
      <c r="A4471" s="1">
        <v>1533</v>
      </c>
      <c r="B4471" s="1">
        <v>1</v>
      </c>
      <c r="C4471" s="1">
        <v>274</v>
      </c>
      <c r="D4471" s="1">
        <v>2</v>
      </c>
      <c r="E4471" s="1">
        <v>229.99</v>
      </c>
      <c r="F4471" s="1">
        <v>0.1</v>
      </c>
      <c r="G4471">
        <f t="shared" si="69"/>
        <v>459.88</v>
      </c>
      <c r="H4471" t="str">
        <f>VLOOKUP(C4471,[1]products!$A:$B,2,FALSE)</f>
        <v>Trek Precaliber 20 Boy's - 2018</v>
      </c>
      <c r="I4471">
        <f>VLOOKUP(C4471,[1]products!$A:$D,4,FALSE)</f>
        <v>1</v>
      </c>
      <c r="J4471" t="str">
        <f>VLOOKUP(I4471,[2]categories!$A$1:$B$8,2,FALSE)</f>
        <v>Children Bicycles</v>
      </c>
    </row>
    <row r="4472" customHeight="1" spans="1:10">
      <c r="A4472" s="1">
        <v>1533</v>
      </c>
      <c r="B4472" s="1">
        <v>2</v>
      </c>
      <c r="C4472" s="1">
        <v>78</v>
      </c>
      <c r="D4472" s="1">
        <v>1</v>
      </c>
      <c r="E4472" s="1">
        <v>647.99</v>
      </c>
      <c r="F4472" s="1">
        <v>0.1</v>
      </c>
      <c r="G4472">
        <f t="shared" si="69"/>
        <v>647.89</v>
      </c>
      <c r="H4472" t="str">
        <f>VLOOKUP(C4472,[1]products!$A:$B,2,FALSE)</f>
        <v>Sun Bicycles Biscayne Tandem CB - 2017</v>
      </c>
      <c r="I4472">
        <f>VLOOKUP(C4472,[1]products!$A:$D,4,FALSE)</f>
        <v>3</v>
      </c>
      <c r="J4472" t="str">
        <f>VLOOKUP(I4472,[2]categories!$A$1:$B$8,2,FALSE)</f>
        <v>Cruisers Bicycles</v>
      </c>
    </row>
    <row r="4473" customHeight="1" spans="1:10">
      <c r="A4473" s="1">
        <v>1533</v>
      </c>
      <c r="B4473" s="1">
        <v>3</v>
      </c>
      <c r="C4473" s="1">
        <v>96</v>
      </c>
      <c r="D4473" s="1">
        <v>1</v>
      </c>
      <c r="E4473" s="1">
        <v>349.99</v>
      </c>
      <c r="F4473" s="1">
        <v>0.1</v>
      </c>
      <c r="G4473">
        <f t="shared" si="69"/>
        <v>349.89</v>
      </c>
      <c r="H4473" t="str">
        <f>VLOOKUP(C4473,[1]products!$A:$B,2,FALSE)</f>
        <v>Electra Moto 3i (20-inch) - Boy's - 2017</v>
      </c>
      <c r="I4473">
        <f>VLOOKUP(C4473,[1]products!$A:$D,4,FALSE)</f>
        <v>1</v>
      </c>
      <c r="J4473" t="str">
        <f>VLOOKUP(I4473,[2]categories!$A$1:$B$8,2,FALSE)</f>
        <v>Children Bicycles</v>
      </c>
    </row>
    <row r="4474" customHeight="1" spans="1:10">
      <c r="A4474" s="1">
        <v>1533</v>
      </c>
      <c r="B4474" s="1">
        <v>4</v>
      </c>
      <c r="C4474" s="1">
        <v>235</v>
      </c>
      <c r="D4474" s="1">
        <v>2</v>
      </c>
      <c r="E4474" s="1">
        <v>899.99</v>
      </c>
      <c r="F4474" s="1">
        <v>0.1</v>
      </c>
      <c r="G4474">
        <f t="shared" si="69"/>
        <v>1799.88</v>
      </c>
      <c r="H4474" t="str">
        <f>VLOOKUP(C4474,[1]products!$A:$B,2,FALSE)</f>
        <v>Electra Koa 3i Ladies' - 2018</v>
      </c>
      <c r="I4474">
        <f>VLOOKUP(C4474,[1]products!$A:$D,4,FALSE)</f>
        <v>3</v>
      </c>
      <c r="J4474" t="str">
        <f>VLOOKUP(I4474,[2]categories!$A$1:$B$8,2,FALSE)</f>
        <v>Cruisers Bicycles</v>
      </c>
    </row>
    <row r="4475" customHeight="1" spans="1:10">
      <c r="A4475" s="1">
        <v>1533</v>
      </c>
      <c r="B4475" s="1">
        <v>5</v>
      </c>
      <c r="C4475" s="1">
        <v>51</v>
      </c>
      <c r="D4475" s="1">
        <v>1</v>
      </c>
      <c r="E4475" s="1">
        <v>6499.99</v>
      </c>
      <c r="F4475" s="1">
        <v>0.1</v>
      </c>
      <c r="G4475">
        <f t="shared" si="69"/>
        <v>6499.89</v>
      </c>
      <c r="H4475" t="str">
        <f>VLOOKUP(C4475,[1]products!$A:$B,2,FALSE)</f>
        <v>Trek Silque SLR 8 Women's - 2017</v>
      </c>
      <c r="I4475">
        <f>VLOOKUP(C4475,[1]products!$A:$D,4,FALSE)</f>
        <v>7</v>
      </c>
      <c r="J4475" t="str">
        <f>VLOOKUP(I4475,[2]categories!$A$1:$B$8,2,FALSE)</f>
        <v>Road Bikes</v>
      </c>
    </row>
    <row r="4476" customHeight="1" spans="1:10">
      <c r="A4476" s="1">
        <v>1534</v>
      </c>
      <c r="B4476" s="1">
        <v>1</v>
      </c>
      <c r="C4476" s="1">
        <v>194</v>
      </c>
      <c r="D4476" s="1">
        <v>1</v>
      </c>
      <c r="E4476" s="1">
        <v>3499.99</v>
      </c>
      <c r="F4476" s="1">
        <v>0.1</v>
      </c>
      <c r="G4476">
        <f t="shared" si="69"/>
        <v>3499.89</v>
      </c>
      <c r="H4476" t="str">
        <f>VLOOKUP(C4476,[1]products!$A:$B,2,FALSE)</f>
        <v>Trek XM700+ - 2018</v>
      </c>
      <c r="I4476">
        <f>VLOOKUP(C4476,[1]products!$A:$D,4,FALSE)</f>
        <v>5</v>
      </c>
      <c r="J4476" t="str">
        <f>VLOOKUP(I4476,[2]categories!$A$1:$B$8,2,FALSE)</f>
        <v>Electric Bikes</v>
      </c>
    </row>
    <row r="4477" customHeight="1" spans="1:10">
      <c r="A4477" s="1">
        <v>1534</v>
      </c>
      <c r="B4477" s="1">
        <v>2</v>
      </c>
      <c r="C4477" s="1">
        <v>117</v>
      </c>
      <c r="D4477" s="1">
        <v>1</v>
      </c>
      <c r="E4477" s="1">
        <v>1469.99</v>
      </c>
      <c r="F4477" s="1">
        <v>0.05</v>
      </c>
      <c r="G4477">
        <f t="shared" si="69"/>
        <v>1469.94</v>
      </c>
      <c r="H4477" t="str">
        <f>VLOOKUP(C4477,[1]products!$A:$B,2,FALSE)</f>
        <v>Trek Ticket S Frame - 2018</v>
      </c>
      <c r="I4477">
        <f>VLOOKUP(C4477,[1]products!$A:$D,4,FALSE)</f>
        <v>6</v>
      </c>
      <c r="J4477" t="str">
        <f>VLOOKUP(I4477,[2]categories!$A$1:$B$8,2,FALSE)</f>
        <v>Mountain Bikes</v>
      </c>
    </row>
    <row r="4478" customHeight="1" spans="1:10">
      <c r="A4478" s="1">
        <v>1534</v>
      </c>
      <c r="B4478" s="1">
        <v>3</v>
      </c>
      <c r="C4478" s="1">
        <v>269</v>
      </c>
      <c r="D4478" s="1">
        <v>2</v>
      </c>
      <c r="E4478" s="1">
        <v>199.99</v>
      </c>
      <c r="F4478" s="1">
        <v>0.2</v>
      </c>
      <c r="G4478">
        <f t="shared" si="69"/>
        <v>399.78</v>
      </c>
      <c r="H4478" t="str">
        <f>VLOOKUP(C4478,[1]products!$A:$B,2,FALSE)</f>
        <v>Trek Precaliber 12 Boy's - 2018</v>
      </c>
      <c r="I4478">
        <f>VLOOKUP(C4478,[1]products!$A:$D,4,FALSE)</f>
        <v>1</v>
      </c>
      <c r="J4478" t="str">
        <f>VLOOKUP(I4478,[2]categories!$A$1:$B$8,2,FALSE)</f>
        <v>Children Bicycles</v>
      </c>
    </row>
    <row r="4479" customHeight="1" spans="1:10">
      <c r="A4479" s="1">
        <v>1534</v>
      </c>
      <c r="B4479" s="1">
        <v>4</v>
      </c>
      <c r="C4479" s="1">
        <v>172</v>
      </c>
      <c r="D4479" s="1">
        <v>2</v>
      </c>
      <c r="E4479" s="1">
        <v>3199.99</v>
      </c>
      <c r="F4479" s="1">
        <v>0.2</v>
      </c>
      <c r="G4479">
        <f t="shared" si="69"/>
        <v>6399.78</v>
      </c>
      <c r="H4479" t="str">
        <f>VLOOKUP(C4479,[1]products!$A:$B,2,FALSE)</f>
        <v>Trek Domane ALR Disc Frameset - 2018</v>
      </c>
      <c r="I4479">
        <f>VLOOKUP(C4479,[1]products!$A:$D,4,FALSE)</f>
        <v>7</v>
      </c>
      <c r="J4479" t="str">
        <f>VLOOKUP(I4479,[2]categories!$A$1:$B$8,2,FALSE)</f>
        <v>Road Bikes</v>
      </c>
    </row>
    <row r="4480" customHeight="1" spans="1:10">
      <c r="A4480" s="1">
        <v>1535</v>
      </c>
      <c r="B4480" s="1">
        <v>1</v>
      </c>
      <c r="C4480" s="1">
        <v>92</v>
      </c>
      <c r="D4480" s="1">
        <v>1</v>
      </c>
      <c r="E4480" s="1">
        <v>209.99</v>
      </c>
      <c r="F4480" s="1">
        <v>0.05</v>
      </c>
      <c r="G4480">
        <f t="shared" si="69"/>
        <v>209.94</v>
      </c>
      <c r="H4480" t="str">
        <f>VLOOKUP(C4480,[1]products!$A:$B,2,FALSE)</f>
        <v>Haro Shredder 20 - 2017</v>
      </c>
      <c r="I4480">
        <f>VLOOKUP(C4480,[1]products!$A:$D,4,FALSE)</f>
        <v>1</v>
      </c>
      <c r="J4480" t="str">
        <f>VLOOKUP(I4480,[2]categories!$A$1:$B$8,2,FALSE)</f>
        <v>Children Bicycles</v>
      </c>
    </row>
    <row r="4481" customHeight="1" spans="1:10">
      <c r="A4481" s="1">
        <v>1535</v>
      </c>
      <c r="B4481" s="1">
        <v>2</v>
      </c>
      <c r="C4481" s="1">
        <v>75</v>
      </c>
      <c r="D4481" s="1">
        <v>2</v>
      </c>
      <c r="E4481" s="1">
        <v>599.99</v>
      </c>
      <c r="F4481" s="1">
        <v>0.05</v>
      </c>
      <c r="G4481">
        <f t="shared" si="69"/>
        <v>1199.93</v>
      </c>
      <c r="H4481" t="str">
        <f>VLOOKUP(C4481,[1]products!$A:$B,2,FALSE)</f>
        <v>Electra Cruiser Lux Fat Tire 1 Ladies - 2017</v>
      </c>
      <c r="I4481">
        <f>VLOOKUP(C4481,[1]products!$A:$D,4,FALSE)</f>
        <v>3</v>
      </c>
      <c r="J4481" t="str">
        <f>VLOOKUP(I4481,[2]categories!$A$1:$B$8,2,FALSE)</f>
        <v>Cruisers Bicycles</v>
      </c>
    </row>
    <row r="4482" customHeight="1" spans="1:10">
      <c r="A4482" s="1">
        <v>1536</v>
      </c>
      <c r="B4482" s="1">
        <v>1</v>
      </c>
      <c r="C4482" s="1">
        <v>183</v>
      </c>
      <c r="D4482" s="1">
        <v>1</v>
      </c>
      <c r="E4482" s="1">
        <v>2199.99</v>
      </c>
      <c r="F4482" s="1">
        <v>0.2</v>
      </c>
      <c r="G4482">
        <f t="shared" si="69"/>
        <v>2199.79</v>
      </c>
      <c r="H4482" t="str">
        <f>VLOOKUP(C4482,[1]products!$A:$B,2,FALSE)</f>
        <v>Trek Domane SL 5 Women's - 2018</v>
      </c>
      <c r="I4482">
        <f>VLOOKUP(C4482,[1]products!$A:$D,4,FALSE)</f>
        <v>7</v>
      </c>
      <c r="J4482" t="str">
        <f>VLOOKUP(I4482,[2]categories!$A$1:$B$8,2,FALSE)</f>
        <v>Road Bikes</v>
      </c>
    </row>
    <row r="4483" customHeight="1" spans="1:10">
      <c r="A4483" s="1">
        <v>1536</v>
      </c>
      <c r="B4483" s="1">
        <v>2</v>
      </c>
      <c r="C4483" s="1">
        <v>185</v>
      </c>
      <c r="D4483" s="1">
        <v>2</v>
      </c>
      <c r="E4483" s="1">
        <v>2799.99</v>
      </c>
      <c r="F4483" s="1">
        <v>0.07</v>
      </c>
      <c r="G4483">
        <f t="shared" ref="G4483:G4546" si="70">(E4483*D4483)-F4483</f>
        <v>5599.91</v>
      </c>
      <c r="H4483" t="str">
        <f>VLOOKUP(C4483,[1]products!$A:$B,2,FALSE)</f>
        <v>Trek Conduit+ - 2018</v>
      </c>
      <c r="I4483">
        <f>VLOOKUP(C4483,[1]products!$A:$D,4,FALSE)</f>
        <v>5</v>
      </c>
      <c r="J4483" t="str">
        <f>VLOOKUP(I4483,[2]categories!$A$1:$B$8,2,FALSE)</f>
        <v>Electric Bikes</v>
      </c>
    </row>
    <row r="4484" customHeight="1" spans="1:10">
      <c r="A4484" s="1">
        <v>1536</v>
      </c>
      <c r="B4484" s="1">
        <v>3</v>
      </c>
      <c r="C4484" s="1">
        <v>196</v>
      </c>
      <c r="D4484" s="1">
        <v>2</v>
      </c>
      <c r="E4484" s="1">
        <v>2299.99</v>
      </c>
      <c r="F4484" s="1">
        <v>0.2</v>
      </c>
      <c r="G4484">
        <f t="shared" si="70"/>
        <v>4599.78</v>
      </c>
      <c r="H4484" t="str">
        <f>VLOOKUP(C4484,[1]products!$A:$B,2,FALSE)</f>
        <v>Trek Verve+ - 2018</v>
      </c>
      <c r="I4484">
        <f>VLOOKUP(C4484,[1]products!$A:$D,4,FALSE)</f>
        <v>5</v>
      </c>
      <c r="J4484" t="str">
        <f>VLOOKUP(I4484,[2]categories!$A$1:$B$8,2,FALSE)</f>
        <v>Electric Bikes</v>
      </c>
    </row>
    <row r="4485" customHeight="1" spans="1:10">
      <c r="A4485" s="1">
        <v>1537</v>
      </c>
      <c r="B4485" s="1">
        <v>1</v>
      </c>
      <c r="C4485" s="1">
        <v>237</v>
      </c>
      <c r="D4485" s="1">
        <v>2</v>
      </c>
      <c r="E4485" s="1">
        <v>849.99</v>
      </c>
      <c r="F4485" s="1">
        <v>0.05</v>
      </c>
      <c r="G4485">
        <f t="shared" si="70"/>
        <v>1699.93</v>
      </c>
      <c r="H4485" t="str">
        <f>VLOOKUP(C4485,[1]products!$A:$B,2,FALSE)</f>
        <v>Electra Relic 3i - 2018</v>
      </c>
      <c r="I4485">
        <f>VLOOKUP(C4485,[1]products!$A:$D,4,FALSE)</f>
        <v>3</v>
      </c>
      <c r="J4485" t="str">
        <f>VLOOKUP(I4485,[2]categories!$A$1:$B$8,2,FALSE)</f>
        <v>Cruisers Bicycles</v>
      </c>
    </row>
    <row r="4486" customHeight="1" spans="1:10">
      <c r="A4486" s="1">
        <v>1538</v>
      </c>
      <c r="B4486" s="1">
        <v>1</v>
      </c>
      <c r="C4486" s="1">
        <v>206</v>
      </c>
      <c r="D4486" s="1">
        <v>1</v>
      </c>
      <c r="E4486" s="1">
        <v>3299.99</v>
      </c>
      <c r="F4486" s="1">
        <v>0.07</v>
      </c>
      <c r="G4486">
        <f t="shared" si="70"/>
        <v>3299.92</v>
      </c>
      <c r="H4486" t="str">
        <f>VLOOKUP(C4486,[1]products!$A:$B,2,FALSE)</f>
        <v>Trek Boone 5 Disc - 2018</v>
      </c>
      <c r="I4486">
        <f>VLOOKUP(C4486,[1]products!$A:$D,4,FALSE)</f>
        <v>4</v>
      </c>
      <c r="J4486" t="str">
        <f>VLOOKUP(I4486,[2]categories!$A$1:$B$8,2,FALSE)</f>
        <v>Cyclocross Bicycles</v>
      </c>
    </row>
    <row r="4487" customHeight="1" spans="1:10">
      <c r="A4487" s="1">
        <v>1538</v>
      </c>
      <c r="B4487" s="1">
        <v>2</v>
      </c>
      <c r="C4487" s="1">
        <v>46</v>
      </c>
      <c r="D4487" s="1">
        <v>2</v>
      </c>
      <c r="E4487" s="1">
        <v>1409.99</v>
      </c>
      <c r="F4487" s="1">
        <v>0.07</v>
      </c>
      <c r="G4487">
        <f t="shared" si="70"/>
        <v>2819.91</v>
      </c>
      <c r="H4487" t="str">
        <f>VLOOKUP(C4487,[1]products!$A:$B,2,FALSE)</f>
        <v>Haro SR 1.3 - 2017</v>
      </c>
      <c r="I4487">
        <f>VLOOKUP(C4487,[1]products!$A:$D,4,FALSE)</f>
        <v>6</v>
      </c>
      <c r="J4487" t="str">
        <f>VLOOKUP(I4487,[2]categories!$A$1:$B$8,2,FALSE)</f>
        <v>Mountain Bikes</v>
      </c>
    </row>
    <row r="4488" customHeight="1" spans="1:10">
      <c r="A4488" s="1">
        <v>1538</v>
      </c>
      <c r="B4488" s="1">
        <v>3</v>
      </c>
      <c r="C4488" s="1">
        <v>117</v>
      </c>
      <c r="D4488" s="1">
        <v>1</v>
      </c>
      <c r="E4488" s="1">
        <v>1469.99</v>
      </c>
      <c r="F4488" s="1">
        <v>0.07</v>
      </c>
      <c r="G4488">
        <f t="shared" si="70"/>
        <v>1469.92</v>
      </c>
      <c r="H4488" t="str">
        <f>VLOOKUP(C4488,[1]products!$A:$B,2,FALSE)</f>
        <v>Trek Ticket S Frame - 2018</v>
      </c>
      <c r="I4488">
        <f>VLOOKUP(C4488,[1]products!$A:$D,4,FALSE)</f>
        <v>6</v>
      </c>
      <c r="J4488" t="str">
        <f>VLOOKUP(I4488,[2]categories!$A$1:$B$8,2,FALSE)</f>
        <v>Mountain Bikes</v>
      </c>
    </row>
    <row r="4489" customHeight="1" spans="1:10">
      <c r="A4489" s="1">
        <v>1538</v>
      </c>
      <c r="B4489" s="1">
        <v>4</v>
      </c>
      <c r="C4489" s="1">
        <v>197</v>
      </c>
      <c r="D4489" s="1">
        <v>1</v>
      </c>
      <c r="E4489" s="1">
        <v>2299.99</v>
      </c>
      <c r="F4489" s="1">
        <v>0.2</v>
      </c>
      <c r="G4489">
        <f t="shared" si="70"/>
        <v>2299.79</v>
      </c>
      <c r="H4489" t="str">
        <f>VLOOKUP(C4489,[1]products!$A:$B,2,FALSE)</f>
        <v>Trek Verve+ Lowstep - 2018</v>
      </c>
      <c r="I4489">
        <f>VLOOKUP(C4489,[1]products!$A:$D,4,FALSE)</f>
        <v>5</v>
      </c>
      <c r="J4489" t="str">
        <f>VLOOKUP(I4489,[2]categories!$A$1:$B$8,2,FALSE)</f>
        <v>Electric Bikes</v>
      </c>
    </row>
    <row r="4490" customHeight="1" spans="1:10">
      <c r="A4490" s="1">
        <v>1538</v>
      </c>
      <c r="B4490" s="1">
        <v>5</v>
      </c>
      <c r="C4490" s="1">
        <v>306</v>
      </c>
      <c r="D4490" s="1">
        <v>2</v>
      </c>
      <c r="E4490" s="1">
        <v>899.99</v>
      </c>
      <c r="F4490" s="1">
        <v>0.05</v>
      </c>
      <c r="G4490">
        <f t="shared" si="70"/>
        <v>1799.93</v>
      </c>
      <c r="H4490" t="str">
        <f>VLOOKUP(C4490,[1]products!$A:$B,2,FALSE)</f>
        <v>Electra Townie Balloon 7i EQ Ladies' - 2017/2018</v>
      </c>
      <c r="I4490">
        <f>VLOOKUP(C4490,[1]products!$A:$D,4,FALSE)</f>
        <v>2</v>
      </c>
      <c r="J4490" t="str">
        <f>VLOOKUP(I4490,[2]categories!$A$1:$B$8,2,FALSE)</f>
        <v>Comfort Bicycles</v>
      </c>
    </row>
    <row r="4491" customHeight="1" spans="1:10">
      <c r="A4491" s="1">
        <v>1539</v>
      </c>
      <c r="B4491" s="1">
        <v>1</v>
      </c>
      <c r="C4491" s="1">
        <v>6</v>
      </c>
      <c r="D4491" s="1">
        <v>2</v>
      </c>
      <c r="E4491" s="1">
        <v>469.99</v>
      </c>
      <c r="F4491" s="1">
        <v>0.05</v>
      </c>
      <c r="G4491">
        <f t="shared" si="70"/>
        <v>939.93</v>
      </c>
      <c r="H4491" t="str">
        <f>VLOOKUP(C4491,[1]products!$A:$B,2,FALSE)</f>
        <v>Surly Ice Cream Truck Frameset - 2016</v>
      </c>
      <c r="I4491">
        <f>VLOOKUP(C4491,[1]products!$A:$D,4,FALSE)</f>
        <v>6</v>
      </c>
      <c r="J4491" t="str">
        <f>VLOOKUP(I4491,[2]categories!$A$1:$B$8,2,FALSE)</f>
        <v>Mountain Bikes</v>
      </c>
    </row>
    <row r="4492" customHeight="1" spans="1:10">
      <c r="A4492" s="1">
        <v>1539</v>
      </c>
      <c r="B4492" s="1">
        <v>2</v>
      </c>
      <c r="C4492" s="1">
        <v>12</v>
      </c>
      <c r="D4492" s="1">
        <v>2</v>
      </c>
      <c r="E4492" s="1">
        <v>549.99</v>
      </c>
      <c r="F4492" s="1">
        <v>0.05</v>
      </c>
      <c r="G4492">
        <f t="shared" si="70"/>
        <v>1099.93</v>
      </c>
      <c r="H4492" t="str">
        <f>VLOOKUP(C4492,[1]products!$A:$B,2,FALSE)</f>
        <v>Electra Townie Original 21D - 2016</v>
      </c>
      <c r="I4492">
        <f>VLOOKUP(C4492,[1]products!$A:$D,4,FALSE)</f>
        <v>3</v>
      </c>
      <c r="J4492" t="str">
        <f>VLOOKUP(I4492,[2]categories!$A$1:$B$8,2,FALSE)</f>
        <v>Cruisers Bicycles</v>
      </c>
    </row>
    <row r="4493" customHeight="1" spans="1:10">
      <c r="A4493" s="1">
        <v>1540</v>
      </c>
      <c r="B4493" s="1">
        <v>1</v>
      </c>
      <c r="C4493" s="1">
        <v>71</v>
      </c>
      <c r="D4493" s="1">
        <v>2</v>
      </c>
      <c r="E4493" s="1">
        <v>416.99</v>
      </c>
      <c r="F4493" s="1">
        <v>0.05</v>
      </c>
      <c r="G4493">
        <f t="shared" si="70"/>
        <v>833.93</v>
      </c>
      <c r="H4493" t="str">
        <f>VLOOKUP(C4493,[1]products!$A:$B,2,FALSE)</f>
        <v>Sun Bicycles Atlas X-Type - 2017</v>
      </c>
      <c r="I4493">
        <f>VLOOKUP(C4493,[1]products!$A:$D,4,FALSE)</f>
        <v>3</v>
      </c>
      <c r="J4493" t="str">
        <f>VLOOKUP(I4493,[2]categories!$A$1:$B$8,2,FALSE)</f>
        <v>Cruisers Bicycles</v>
      </c>
    </row>
    <row r="4494" customHeight="1" spans="1:10">
      <c r="A4494" s="1">
        <v>1540</v>
      </c>
      <c r="B4494" s="1">
        <v>2</v>
      </c>
      <c r="C4494" s="1">
        <v>236</v>
      </c>
      <c r="D4494" s="1">
        <v>1</v>
      </c>
      <c r="E4494" s="1">
        <v>749.99</v>
      </c>
      <c r="F4494" s="1">
        <v>0.07</v>
      </c>
      <c r="G4494">
        <f t="shared" si="70"/>
        <v>749.92</v>
      </c>
      <c r="H4494" t="str">
        <f>VLOOKUP(C4494,[1]products!$A:$B,2,FALSE)</f>
        <v>Electra Morningstar 3i Ladies' - 2018</v>
      </c>
      <c r="I4494">
        <f>VLOOKUP(C4494,[1]products!$A:$D,4,FALSE)</f>
        <v>3</v>
      </c>
      <c r="J4494" t="str">
        <f>VLOOKUP(I4494,[2]categories!$A$1:$B$8,2,FALSE)</f>
        <v>Cruisers Bicycles</v>
      </c>
    </row>
    <row r="4495" customHeight="1" spans="1:10">
      <c r="A4495" s="1">
        <v>1540</v>
      </c>
      <c r="B4495" s="1">
        <v>3</v>
      </c>
      <c r="C4495" s="1">
        <v>224</v>
      </c>
      <c r="D4495" s="1">
        <v>1</v>
      </c>
      <c r="E4495" s="1">
        <v>479.99</v>
      </c>
      <c r="F4495" s="1">
        <v>0.05</v>
      </c>
      <c r="G4495">
        <f t="shared" si="70"/>
        <v>479.94</v>
      </c>
      <c r="H4495" t="str">
        <f>VLOOKUP(C4495,[1]products!$A:$B,2,FALSE)</f>
        <v>Electra Cruiser Lux 7D - 2018</v>
      </c>
      <c r="I4495">
        <f>VLOOKUP(C4495,[1]products!$A:$D,4,FALSE)</f>
        <v>3</v>
      </c>
      <c r="J4495" t="str">
        <f>VLOOKUP(I4495,[2]categories!$A$1:$B$8,2,FALSE)</f>
        <v>Cruisers Bicycles</v>
      </c>
    </row>
    <row r="4496" customHeight="1" spans="1:10">
      <c r="A4496" s="1">
        <v>1540</v>
      </c>
      <c r="B4496" s="1">
        <v>4</v>
      </c>
      <c r="C4496" s="1">
        <v>177</v>
      </c>
      <c r="D4496" s="1">
        <v>2</v>
      </c>
      <c r="E4496" s="1">
        <v>5499.99</v>
      </c>
      <c r="F4496" s="1">
        <v>0.05</v>
      </c>
      <c r="G4496">
        <f t="shared" si="70"/>
        <v>10999.93</v>
      </c>
      <c r="H4496" t="str">
        <f>VLOOKUP(C4496,[1]products!$A:$B,2,FALSE)</f>
        <v>Trek Domane SLR 6 Disc - 2018</v>
      </c>
      <c r="I4496">
        <f>VLOOKUP(C4496,[1]products!$A:$D,4,FALSE)</f>
        <v>7</v>
      </c>
      <c r="J4496" t="str">
        <f>VLOOKUP(I4496,[2]categories!$A$1:$B$8,2,FALSE)</f>
        <v>Road Bikes</v>
      </c>
    </row>
    <row r="4497" customHeight="1" spans="1:10">
      <c r="A4497" s="1">
        <v>1540</v>
      </c>
      <c r="B4497" s="1">
        <v>5</v>
      </c>
      <c r="C4497" s="1">
        <v>78</v>
      </c>
      <c r="D4497" s="1">
        <v>1</v>
      </c>
      <c r="E4497" s="1">
        <v>647.99</v>
      </c>
      <c r="F4497" s="1">
        <v>0.2</v>
      </c>
      <c r="G4497">
        <f t="shared" si="70"/>
        <v>647.79</v>
      </c>
      <c r="H4497" t="str">
        <f>VLOOKUP(C4497,[1]products!$A:$B,2,FALSE)</f>
        <v>Sun Bicycles Biscayne Tandem CB - 2017</v>
      </c>
      <c r="I4497">
        <f>VLOOKUP(C4497,[1]products!$A:$D,4,FALSE)</f>
        <v>3</v>
      </c>
      <c r="J4497" t="str">
        <f>VLOOKUP(I4497,[2]categories!$A$1:$B$8,2,FALSE)</f>
        <v>Cruisers Bicycles</v>
      </c>
    </row>
    <row r="4498" customHeight="1" spans="1:10">
      <c r="A4498" s="1">
        <v>1541</v>
      </c>
      <c r="B4498" s="1">
        <v>1</v>
      </c>
      <c r="C4498" s="1">
        <v>155</v>
      </c>
      <c r="D4498" s="1">
        <v>2</v>
      </c>
      <c r="E4498" s="1">
        <v>11999.99</v>
      </c>
      <c r="F4498" s="1">
        <v>0.1</v>
      </c>
      <c r="G4498">
        <f t="shared" si="70"/>
        <v>23999.88</v>
      </c>
      <c r="H4498" t="str">
        <f>VLOOKUP(C4498,[1]products!$A:$B,2,FALSE)</f>
        <v>Trek Domane SLR 9 Disc - 2018</v>
      </c>
      <c r="I4498">
        <f>VLOOKUP(C4498,[1]products!$A:$D,4,FALSE)</f>
        <v>7</v>
      </c>
      <c r="J4498" t="str">
        <f>VLOOKUP(I4498,[2]categories!$A$1:$B$8,2,FALSE)</f>
        <v>Road Bikes</v>
      </c>
    </row>
    <row r="4499" customHeight="1" spans="1:10">
      <c r="A4499" s="1">
        <v>1541</v>
      </c>
      <c r="B4499" s="1">
        <v>2</v>
      </c>
      <c r="C4499" s="1">
        <v>248</v>
      </c>
      <c r="D4499" s="1">
        <v>2</v>
      </c>
      <c r="E4499" s="1">
        <v>599.99</v>
      </c>
      <c r="F4499" s="1">
        <v>0.07</v>
      </c>
      <c r="G4499">
        <f t="shared" si="70"/>
        <v>1199.91</v>
      </c>
      <c r="H4499" t="str">
        <f>VLOOKUP(C4499,[1]products!$A:$B,2,FALSE)</f>
        <v>Electra Townie Original 7D EQ Ladies' - 2017/2018</v>
      </c>
      <c r="I4499">
        <f>VLOOKUP(C4499,[1]products!$A:$D,4,FALSE)</f>
        <v>3</v>
      </c>
      <c r="J4499" t="str">
        <f>VLOOKUP(I4499,[2]categories!$A$1:$B$8,2,FALSE)</f>
        <v>Cruisers Bicycles</v>
      </c>
    </row>
    <row r="4500" customHeight="1" spans="1:10">
      <c r="A4500" s="1">
        <v>1541</v>
      </c>
      <c r="B4500" s="1">
        <v>3</v>
      </c>
      <c r="C4500" s="1">
        <v>142</v>
      </c>
      <c r="D4500" s="1">
        <v>2</v>
      </c>
      <c r="E4500" s="1">
        <v>3199.99</v>
      </c>
      <c r="F4500" s="1">
        <v>0.1</v>
      </c>
      <c r="G4500">
        <f t="shared" si="70"/>
        <v>6399.88</v>
      </c>
      <c r="H4500" t="str">
        <f>VLOOKUP(C4500,[1]products!$A:$B,2,FALSE)</f>
        <v>Trek Fuel EX 8 29 XT - 2018</v>
      </c>
      <c r="I4500">
        <f>VLOOKUP(C4500,[1]products!$A:$D,4,FALSE)</f>
        <v>6</v>
      </c>
      <c r="J4500" t="str">
        <f>VLOOKUP(I4500,[2]categories!$A$1:$B$8,2,FALSE)</f>
        <v>Mountain Bikes</v>
      </c>
    </row>
    <row r="4501" customHeight="1" spans="1:10">
      <c r="A4501" s="1">
        <v>1541</v>
      </c>
      <c r="B4501" s="1">
        <v>4</v>
      </c>
      <c r="C4501" s="1">
        <v>17</v>
      </c>
      <c r="D4501" s="1">
        <v>1</v>
      </c>
      <c r="E4501" s="1">
        <v>429</v>
      </c>
      <c r="F4501" s="1">
        <v>0.1</v>
      </c>
      <c r="G4501">
        <f t="shared" si="70"/>
        <v>428.9</v>
      </c>
      <c r="H4501" t="str">
        <f>VLOOKUP(C4501,[1]products!$A:$B,2,FALSE)</f>
        <v>Pure Cycles Vine 8-Speed - 2016</v>
      </c>
      <c r="I4501">
        <f>VLOOKUP(C4501,[1]products!$A:$D,4,FALSE)</f>
        <v>3</v>
      </c>
      <c r="J4501" t="str">
        <f>VLOOKUP(I4501,[2]categories!$A$1:$B$8,2,FALSE)</f>
        <v>Cruisers Bicycles</v>
      </c>
    </row>
    <row r="4502" customHeight="1" spans="1:10">
      <c r="A4502" s="1">
        <v>1541</v>
      </c>
      <c r="B4502" s="1">
        <v>5</v>
      </c>
      <c r="C4502" s="1">
        <v>86</v>
      </c>
      <c r="D4502" s="1">
        <v>2</v>
      </c>
      <c r="E4502" s="1">
        <v>149.99</v>
      </c>
      <c r="F4502" s="1">
        <v>0.05</v>
      </c>
      <c r="G4502">
        <f t="shared" si="70"/>
        <v>299.93</v>
      </c>
      <c r="H4502" t="str">
        <f>VLOOKUP(C4502,[1]products!$A:$B,2,FALSE)</f>
        <v>Trek Girl's Kickster - 2017</v>
      </c>
      <c r="I4502">
        <f>VLOOKUP(C4502,[1]products!$A:$D,4,FALSE)</f>
        <v>1</v>
      </c>
      <c r="J4502" t="str">
        <f>VLOOKUP(I4502,[2]categories!$A$1:$B$8,2,FALSE)</f>
        <v>Children Bicycles</v>
      </c>
    </row>
    <row r="4503" customHeight="1" spans="1:10">
      <c r="A4503" s="1">
        <v>1542</v>
      </c>
      <c r="B4503" s="1">
        <v>1</v>
      </c>
      <c r="C4503" s="1">
        <v>79</v>
      </c>
      <c r="D4503" s="1">
        <v>1</v>
      </c>
      <c r="E4503" s="1">
        <v>402.99</v>
      </c>
      <c r="F4503" s="1">
        <v>0.2</v>
      </c>
      <c r="G4503">
        <f t="shared" si="70"/>
        <v>402.79</v>
      </c>
      <c r="H4503" t="str">
        <f>VLOOKUP(C4503,[1]products!$A:$B,2,FALSE)</f>
        <v>Sun Bicycles Boardwalk (24-inch Wheels) - 2017</v>
      </c>
      <c r="I4503">
        <f>VLOOKUP(C4503,[1]products!$A:$D,4,FALSE)</f>
        <v>3</v>
      </c>
      <c r="J4503" t="str">
        <f>VLOOKUP(I4503,[2]categories!$A$1:$B$8,2,FALSE)</f>
        <v>Cruisers Bicycles</v>
      </c>
    </row>
    <row r="4504" customHeight="1" spans="1:10">
      <c r="A4504" s="1">
        <v>1542</v>
      </c>
      <c r="B4504" s="1">
        <v>2</v>
      </c>
      <c r="C4504" s="1">
        <v>122</v>
      </c>
      <c r="D4504" s="1">
        <v>2</v>
      </c>
      <c r="E4504" s="1">
        <v>2499.99</v>
      </c>
      <c r="F4504" s="1">
        <v>0.05</v>
      </c>
      <c r="G4504">
        <f t="shared" si="70"/>
        <v>4999.93</v>
      </c>
      <c r="H4504" t="str">
        <f>VLOOKUP(C4504,[1]products!$A:$B,2,FALSE)</f>
        <v>Surly Troll Frameset - 2018</v>
      </c>
      <c r="I4504">
        <f>VLOOKUP(C4504,[1]products!$A:$D,4,FALSE)</f>
        <v>6</v>
      </c>
      <c r="J4504" t="str">
        <f>VLOOKUP(I4504,[2]categories!$A$1:$B$8,2,FALSE)</f>
        <v>Mountain Bikes</v>
      </c>
    </row>
    <row r="4505" customHeight="1" spans="1:10">
      <c r="A4505" s="1">
        <v>1542</v>
      </c>
      <c r="B4505" s="1">
        <v>3</v>
      </c>
      <c r="C4505" s="1">
        <v>184</v>
      </c>
      <c r="D4505" s="1">
        <v>2</v>
      </c>
      <c r="E4505" s="1">
        <v>3499.99</v>
      </c>
      <c r="F4505" s="1">
        <v>0.2</v>
      </c>
      <c r="G4505">
        <f t="shared" si="70"/>
        <v>6999.78</v>
      </c>
      <c r="H4505" t="str">
        <f>VLOOKUP(C4505,[1]products!$A:$B,2,FALSE)</f>
        <v>Trek Domane SL 6 Disc - 2018</v>
      </c>
      <c r="I4505">
        <f>VLOOKUP(C4505,[1]products!$A:$D,4,FALSE)</f>
        <v>7</v>
      </c>
      <c r="J4505" t="str">
        <f>VLOOKUP(I4505,[2]categories!$A$1:$B$8,2,FALSE)</f>
        <v>Road Bikes</v>
      </c>
    </row>
    <row r="4506" customHeight="1" spans="1:10">
      <c r="A4506" s="1">
        <v>1542</v>
      </c>
      <c r="B4506" s="1">
        <v>4</v>
      </c>
      <c r="C4506" s="1">
        <v>37</v>
      </c>
      <c r="D4506" s="1">
        <v>2</v>
      </c>
      <c r="E4506" s="1">
        <v>379.99</v>
      </c>
      <c r="F4506" s="1">
        <v>0.1</v>
      </c>
      <c r="G4506">
        <f t="shared" si="70"/>
        <v>759.88</v>
      </c>
      <c r="H4506" t="str">
        <f>VLOOKUP(C4506,[1]products!$A:$B,2,FALSE)</f>
        <v>Haro Flightline One ST - 2017</v>
      </c>
      <c r="I4506">
        <f>VLOOKUP(C4506,[1]products!$A:$D,4,FALSE)</f>
        <v>6</v>
      </c>
      <c r="J4506" t="str">
        <f>VLOOKUP(I4506,[2]categories!$A$1:$B$8,2,FALSE)</f>
        <v>Mountain Bikes</v>
      </c>
    </row>
    <row r="4507" customHeight="1" spans="1:10">
      <c r="A4507" s="1">
        <v>1542</v>
      </c>
      <c r="B4507" s="1">
        <v>5</v>
      </c>
      <c r="C4507" s="1">
        <v>297</v>
      </c>
      <c r="D4507" s="1">
        <v>1</v>
      </c>
      <c r="E4507" s="1">
        <v>279.99</v>
      </c>
      <c r="F4507" s="1">
        <v>0.2</v>
      </c>
      <c r="G4507">
        <f t="shared" si="70"/>
        <v>279.79</v>
      </c>
      <c r="H4507" t="str">
        <f>VLOOKUP(C4507,[1]products!$A:$B,2,FALSE)</f>
        <v>Electra Under-The-Sea 1 16" - 2018</v>
      </c>
      <c r="I4507">
        <f>VLOOKUP(C4507,[1]products!$A:$D,4,FALSE)</f>
        <v>1</v>
      </c>
      <c r="J4507" t="str">
        <f>VLOOKUP(I4507,[2]categories!$A$1:$B$8,2,FALSE)</f>
        <v>Children Bicycles</v>
      </c>
    </row>
    <row r="4508" customHeight="1" spans="1:10">
      <c r="A4508" s="1">
        <v>1543</v>
      </c>
      <c r="B4508" s="1">
        <v>1</v>
      </c>
      <c r="C4508" s="1">
        <v>108</v>
      </c>
      <c r="D4508" s="1">
        <v>2</v>
      </c>
      <c r="E4508" s="1">
        <v>449.99</v>
      </c>
      <c r="F4508" s="1">
        <v>0.1</v>
      </c>
      <c r="G4508">
        <f t="shared" si="70"/>
        <v>899.88</v>
      </c>
      <c r="H4508" t="str">
        <f>VLOOKUP(C4508,[1]products!$A:$B,2,FALSE)</f>
        <v>Sun Bicycles Cruz 3 - Women's - 2017</v>
      </c>
      <c r="I4508">
        <f>VLOOKUP(C4508,[1]products!$A:$D,4,FALSE)</f>
        <v>2</v>
      </c>
      <c r="J4508" t="str">
        <f>VLOOKUP(I4508,[2]categories!$A$1:$B$8,2,FALSE)</f>
        <v>Comfort Bicycles</v>
      </c>
    </row>
    <row r="4509" customHeight="1" spans="1:10">
      <c r="A4509" s="1">
        <v>1543</v>
      </c>
      <c r="B4509" s="1">
        <v>2</v>
      </c>
      <c r="C4509" s="1">
        <v>93</v>
      </c>
      <c r="D4509" s="1">
        <v>1</v>
      </c>
      <c r="E4509" s="1">
        <v>209.99</v>
      </c>
      <c r="F4509" s="1">
        <v>0.2</v>
      </c>
      <c r="G4509">
        <f t="shared" si="70"/>
        <v>209.79</v>
      </c>
      <c r="H4509" t="str">
        <f>VLOOKUP(C4509,[1]products!$A:$B,2,FALSE)</f>
        <v>Haro Shredder 20 Girls - 2017</v>
      </c>
      <c r="I4509">
        <f>VLOOKUP(C4509,[1]products!$A:$D,4,FALSE)</f>
        <v>1</v>
      </c>
      <c r="J4509" t="str">
        <f>VLOOKUP(I4509,[2]categories!$A$1:$B$8,2,FALSE)</f>
        <v>Children Bicycles</v>
      </c>
    </row>
    <row r="4510" customHeight="1" spans="1:10">
      <c r="A4510" s="1">
        <v>1543</v>
      </c>
      <c r="B4510" s="1">
        <v>3</v>
      </c>
      <c r="C4510" s="1">
        <v>158</v>
      </c>
      <c r="D4510" s="1">
        <v>2</v>
      </c>
      <c r="E4510" s="1">
        <v>959.99</v>
      </c>
      <c r="F4510" s="1">
        <v>0.07</v>
      </c>
      <c r="G4510">
        <f t="shared" si="70"/>
        <v>1919.91</v>
      </c>
      <c r="H4510" t="str">
        <f>VLOOKUP(C4510,[1]products!$A:$B,2,FALSE)</f>
        <v>Trek CrossRip 1 - 2018</v>
      </c>
      <c r="I4510">
        <f>VLOOKUP(C4510,[1]products!$A:$D,4,FALSE)</f>
        <v>7</v>
      </c>
      <c r="J4510" t="str">
        <f>VLOOKUP(I4510,[2]categories!$A$1:$B$8,2,FALSE)</f>
        <v>Road Bikes</v>
      </c>
    </row>
    <row r="4511" customHeight="1" spans="1:10">
      <c r="A4511" s="1">
        <v>1543</v>
      </c>
      <c r="B4511" s="1">
        <v>4</v>
      </c>
      <c r="C4511" s="1">
        <v>97</v>
      </c>
      <c r="D4511" s="1">
        <v>2</v>
      </c>
      <c r="E4511" s="1">
        <v>349.99</v>
      </c>
      <c r="F4511" s="1">
        <v>0.05</v>
      </c>
      <c r="G4511">
        <f t="shared" si="70"/>
        <v>699.93</v>
      </c>
      <c r="H4511" t="str">
        <f>VLOOKUP(C4511,[1]products!$A:$B,2,FALSE)</f>
        <v>Electra Savannah 3i (20-inch) - Girl's - 2017</v>
      </c>
      <c r="I4511">
        <f>VLOOKUP(C4511,[1]products!$A:$D,4,FALSE)</f>
        <v>1</v>
      </c>
      <c r="J4511" t="str">
        <f>VLOOKUP(I4511,[2]categories!$A$1:$B$8,2,FALSE)</f>
        <v>Children Bicycles</v>
      </c>
    </row>
    <row r="4512" customHeight="1" spans="1:10">
      <c r="A4512" s="1">
        <v>1543</v>
      </c>
      <c r="B4512" s="1">
        <v>5</v>
      </c>
      <c r="C4512" s="1">
        <v>136</v>
      </c>
      <c r="D4512" s="1">
        <v>1</v>
      </c>
      <c r="E4512" s="1">
        <v>1799.99</v>
      </c>
      <c r="F4512" s="1">
        <v>0.2</v>
      </c>
      <c r="G4512">
        <f t="shared" si="70"/>
        <v>1799.79</v>
      </c>
      <c r="H4512" t="str">
        <f>VLOOKUP(C4512,[1]products!$A:$B,2,FALSE)</f>
        <v>Trek Procaliber 6 - 2018</v>
      </c>
      <c r="I4512">
        <f>VLOOKUP(C4512,[1]products!$A:$D,4,FALSE)</f>
        <v>6</v>
      </c>
      <c r="J4512" t="str">
        <f>VLOOKUP(I4512,[2]categories!$A$1:$B$8,2,FALSE)</f>
        <v>Mountain Bikes</v>
      </c>
    </row>
    <row r="4513" customHeight="1" spans="1:10">
      <c r="A4513" s="1">
        <v>1544</v>
      </c>
      <c r="B4513" s="1">
        <v>1</v>
      </c>
      <c r="C4513" s="1">
        <v>194</v>
      </c>
      <c r="D4513" s="1">
        <v>2</v>
      </c>
      <c r="E4513" s="1">
        <v>3499.99</v>
      </c>
      <c r="F4513" s="1">
        <v>0.1</v>
      </c>
      <c r="G4513">
        <f t="shared" si="70"/>
        <v>6999.88</v>
      </c>
      <c r="H4513" t="str">
        <f>VLOOKUP(C4513,[1]products!$A:$B,2,FALSE)</f>
        <v>Trek XM700+ - 2018</v>
      </c>
      <c r="I4513">
        <f>VLOOKUP(C4513,[1]products!$A:$D,4,FALSE)</f>
        <v>5</v>
      </c>
      <c r="J4513" t="str">
        <f>VLOOKUP(I4513,[2]categories!$A$1:$B$8,2,FALSE)</f>
        <v>Electric Bikes</v>
      </c>
    </row>
    <row r="4514" customHeight="1" spans="1:10">
      <c r="A4514" s="1">
        <v>1544</v>
      </c>
      <c r="B4514" s="1">
        <v>2</v>
      </c>
      <c r="C4514" s="1">
        <v>107</v>
      </c>
      <c r="D4514" s="1">
        <v>2</v>
      </c>
      <c r="E4514" s="1">
        <v>416.99</v>
      </c>
      <c r="F4514" s="1">
        <v>0.2</v>
      </c>
      <c r="G4514">
        <f t="shared" si="70"/>
        <v>833.78</v>
      </c>
      <c r="H4514" t="str">
        <f>VLOOKUP(C4514,[1]products!$A:$B,2,FALSE)</f>
        <v>Sun Bicycles Cruz 7 - 2017</v>
      </c>
      <c r="I4514">
        <f>VLOOKUP(C4514,[1]products!$A:$D,4,FALSE)</f>
        <v>2</v>
      </c>
      <c r="J4514" t="str">
        <f>VLOOKUP(I4514,[2]categories!$A$1:$B$8,2,FALSE)</f>
        <v>Comfort Bicycles</v>
      </c>
    </row>
    <row r="4515" customHeight="1" spans="1:10">
      <c r="A4515" s="1">
        <v>1545</v>
      </c>
      <c r="B4515" s="1">
        <v>1</v>
      </c>
      <c r="C4515" s="1">
        <v>45</v>
      </c>
      <c r="D4515" s="1">
        <v>1</v>
      </c>
      <c r="E4515" s="1">
        <v>869.99</v>
      </c>
      <c r="F4515" s="1">
        <v>0.1</v>
      </c>
      <c r="G4515">
        <f t="shared" si="70"/>
        <v>869.89</v>
      </c>
      <c r="H4515" t="str">
        <f>VLOOKUP(C4515,[1]products!$A:$B,2,FALSE)</f>
        <v>Haro SR 1.2 - 2017</v>
      </c>
      <c r="I4515">
        <f>VLOOKUP(C4515,[1]products!$A:$D,4,FALSE)</f>
        <v>6</v>
      </c>
      <c r="J4515" t="str">
        <f>VLOOKUP(I4515,[2]categories!$A$1:$B$8,2,FALSE)</f>
        <v>Mountain Bikes</v>
      </c>
    </row>
    <row r="4516" customHeight="1" spans="1:10">
      <c r="A4516" s="1">
        <v>1546</v>
      </c>
      <c r="B4516" s="1">
        <v>1</v>
      </c>
      <c r="C4516" s="1">
        <v>156</v>
      </c>
      <c r="D4516" s="1">
        <v>1</v>
      </c>
      <c r="E4516" s="1">
        <v>6499.99</v>
      </c>
      <c r="F4516" s="1">
        <v>0.1</v>
      </c>
      <c r="G4516">
        <f t="shared" si="70"/>
        <v>6499.89</v>
      </c>
      <c r="H4516" t="str">
        <f>VLOOKUP(C4516,[1]products!$A:$B,2,FALSE)</f>
        <v>Trek Domane SL Frameset - 2018</v>
      </c>
      <c r="I4516">
        <f>VLOOKUP(C4516,[1]products!$A:$D,4,FALSE)</f>
        <v>7</v>
      </c>
      <c r="J4516" t="str">
        <f>VLOOKUP(I4516,[2]categories!$A$1:$B$8,2,FALSE)</f>
        <v>Road Bikes</v>
      </c>
    </row>
    <row r="4517" customHeight="1" spans="1:10">
      <c r="A4517" s="1">
        <v>1546</v>
      </c>
      <c r="B4517" s="1">
        <v>2</v>
      </c>
      <c r="C4517" s="1">
        <v>185</v>
      </c>
      <c r="D4517" s="1">
        <v>2</v>
      </c>
      <c r="E4517" s="1">
        <v>2799.99</v>
      </c>
      <c r="F4517" s="1">
        <v>0.1</v>
      </c>
      <c r="G4517">
        <f t="shared" si="70"/>
        <v>5599.88</v>
      </c>
      <c r="H4517" t="str">
        <f>VLOOKUP(C4517,[1]products!$A:$B,2,FALSE)</f>
        <v>Trek Conduit+ - 2018</v>
      </c>
      <c r="I4517">
        <f>VLOOKUP(C4517,[1]products!$A:$D,4,FALSE)</f>
        <v>5</v>
      </c>
      <c r="J4517" t="str">
        <f>VLOOKUP(I4517,[2]categories!$A$1:$B$8,2,FALSE)</f>
        <v>Electric Bikes</v>
      </c>
    </row>
    <row r="4518" customHeight="1" spans="1:10">
      <c r="A4518" s="1">
        <v>1546</v>
      </c>
      <c r="B4518" s="1">
        <v>3</v>
      </c>
      <c r="C4518" s="1">
        <v>215</v>
      </c>
      <c r="D4518" s="1">
        <v>1</v>
      </c>
      <c r="E4518" s="1">
        <v>749.99</v>
      </c>
      <c r="F4518" s="1">
        <v>0.1</v>
      </c>
      <c r="G4518">
        <f t="shared" si="70"/>
        <v>749.89</v>
      </c>
      <c r="H4518" t="str">
        <f>VLOOKUP(C4518,[1]products!$A:$B,2,FALSE)</f>
        <v>Electra Queen of Hearts 3i - 2018</v>
      </c>
      <c r="I4518">
        <f>VLOOKUP(C4518,[1]products!$A:$D,4,FALSE)</f>
        <v>3</v>
      </c>
      <c r="J4518" t="str">
        <f>VLOOKUP(I4518,[2]categories!$A$1:$B$8,2,FALSE)</f>
        <v>Cruisers Bicycles</v>
      </c>
    </row>
    <row r="4519" customHeight="1" spans="1:10">
      <c r="A4519" s="1">
        <v>1546</v>
      </c>
      <c r="B4519" s="1">
        <v>4</v>
      </c>
      <c r="C4519" s="1">
        <v>25</v>
      </c>
      <c r="D4519" s="1">
        <v>1</v>
      </c>
      <c r="E4519" s="1">
        <v>499.99</v>
      </c>
      <c r="F4519" s="1">
        <v>0.05</v>
      </c>
      <c r="G4519">
        <f t="shared" si="70"/>
        <v>499.94</v>
      </c>
      <c r="H4519" t="str">
        <f>VLOOKUP(C4519,[1]products!$A:$B,2,FALSE)</f>
        <v>Electra Townie Original 7D - 2015/2016</v>
      </c>
      <c r="I4519">
        <f>VLOOKUP(C4519,[1]products!$A:$D,4,FALSE)</f>
        <v>2</v>
      </c>
      <c r="J4519" t="str">
        <f>VLOOKUP(I4519,[2]categories!$A$1:$B$8,2,FALSE)</f>
        <v>Comfort Bicycles</v>
      </c>
    </row>
    <row r="4520" customHeight="1" spans="1:10">
      <c r="A4520" s="1">
        <v>1547</v>
      </c>
      <c r="B4520" s="1">
        <v>1</v>
      </c>
      <c r="C4520" s="1">
        <v>106</v>
      </c>
      <c r="D4520" s="1">
        <v>2</v>
      </c>
      <c r="E4520" s="1">
        <v>449.99</v>
      </c>
      <c r="F4520" s="1">
        <v>0.2</v>
      </c>
      <c r="G4520">
        <f t="shared" si="70"/>
        <v>899.78</v>
      </c>
      <c r="H4520" t="str">
        <f>VLOOKUP(C4520,[1]products!$A:$B,2,FALSE)</f>
        <v>Sun Bicycles Cruz 3 - 2017</v>
      </c>
      <c r="I4520">
        <f>VLOOKUP(C4520,[1]products!$A:$D,4,FALSE)</f>
        <v>2</v>
      </c>
      <c r="J4520" t="str">
        <f>VLOOKUP(I4520,[2]categories!$A$1:$B$8,2,FALSE)</f>
        <v>Comfort Bicycles</v>
      </c>
    </row>
    <row r="4521" customHeight="1" spans="1:10">
      <c r="A4521" s="1">
        <v>1547</v>
      </c>
      <c r="B4521" s="1">
        <v>2</v>
      </c>
      <c r="C4521" s="1">
        <v>204</v>
      </c>
      <c r="D4521" s="1">
        <v>1</v>
      </c>
      <c r="E4521" s="1">
        <v>3599.99</v>
      </c>
      <c r="F4521" s="1">
        <v>0.2</v>
      </c>
      <c r="G4521">
        <f t="shared" si="70"/>
        <v>3599.79</v>
      </c>
      <c r="H4521" t="str">
        <f>VLOOKUP(C4521,[1]products!$A:$B,2,FALSE)</f>
        <v>Trek Super Commuter+ 7 - 2018</v>
      </c>
      <c r="I4521">
        <f>VLOOKUP(C4521,[1]products!$A:$D,4,FALSE)</f>
        <v>5</v>
      </c>
      <c r="J4521" t="str">
        <f>VLOOKUP(I4521,[2]categories!$A$1:$B$8,2,FALSE)</f>
        <v>Electric Bikes</v>
      </c>
    </row>
    <row r="4522" customHeight="1" spans="1:10">
      <c r="A4522" s="1">
        <v>1548</v>
      </c>
      <c r="B4522" s="1">
        <v>1</v>
      </c>
      <c r="C4522" s="1">
        <v>32</v>
      </c>
      <c r="D4522" s="1">
        <v>1</v>
      </c>
      <c r="E4522" s="1">
        <v>469.99</v>
      </c>
      <c r="F4522" s="1">
        <v>0.1</v>
      </c>
      <c r="G4522">
        <f t="shared" si="70"/>
        <v>469.89</v>
      </c>
      <c r="H4522" t="str">
        <f>VLOOKUP(C4522,[1]products!$A:$B,2,FALSE)</f>
        <v>Trek Farley Alloy Frameset - 2017</v>
      </c>
      <c r="I4522">
        <f>VLOOKUP(C4522,[1]products!$A:$D,4,FALSE)</f>
        <v>6</v>
      </c>
      <c r="J4522" t="str">
        <f>VLOOKUP(I4522,[2]categories!$A$1:$B$8,2,FALSE)</f>
        <v>Mountain Bikes</v>
      </c>
    </row>
    <row r="4523" customHeight="1" spans="1:10">
      <c r="A4523" s="1">
        <v>1548</v>
      </c>
      <c r="B4523" s="1">
        <v>2</v>
      </c>
      <c r="C4523" s="1">
        <v>202</v>
      </c>
      <c r="D4523" s="1">
        <v>1</v>
      </c>
      <c r="E4523" s="1">
        <v>3499.99</v>
      </c>
      <c r="F4523" s="1">
        <v>0.07</v>
      </c>
      <c r="G4523">
        <f t="shared" si="70"/>
        <v>3499.92</v>
      </c>
      <c r="H4523" t="str">
        <f>VLOOKUP(C4523,[1]products!$A:$B,2,FALSE)</f>
        <v>Trek Powerfly 5 Women's - 2018</v>
      </c>
      <c r="I4523">
        <f>VLOOKUP(C4523,[1]products!$A:$D,4,FALSE)</f>
        <v>5</v>
      </c>
      <c r="J4523" t="str">
        <f>VLOOKUP(I4523,[2]categories!$A$1:$B$8,2,FALSE)</f>
        <v>Electric Bikes</v>
      </c>
    </row>
    <row r="4524" customHeight="1" spans="1:10">
      <c r="A4524" s="1">
        <v>1548</v>
      </c>
      <c r="B4524" s="1">
        <v>3</v>
      </c>
      <c r="C4524" s="1">
        <v>62</v>
      </c>
      <c r="D4524" s="1">
        <v>2</v>
      </c>
      <c r="E4524" s="1">
        <v>3499.99</v>
      </c>
      <c r="F4524" s="1">
        <v>0.2</v>
      </c>
      <c r="G4524">
        <f t="shared" si="70"/>
        <v>6999.78</v>
      </c>
      <c r="H4524" t="str">
        <f>VLOOKUP(C4524,[1]products!$A:$B,2,FALSE)</f>
        <v>Trek Boone 7 - 2017</v>
      </c>
      <c r="I4524">
        <f>VLOOKUP(C4524,[1]products!$A:$D,4,FALSE)</f>
        <v>4</v>
      </c>
      <c r="J4524" t="str">
        <f>VLOOKUP(I4524,[2]categories!$A$1:$B$8,2,FALSE)</f>
        <v>Cyclocross Bicycles</v>
      </c>
    </row>
    <row r="4525" customHeight="1" spans="1:10">
      <c r="A4525" s="1">
        <v>1549</v>
      </c>
      <c r="B4525" s="1">
        <v>1</v>
      </c>
      <c r="C4525" s="1">
        <v>158</v>
      </c>
      <c r="D4525" s="1">
        <v>1</v>
      </c>
      <c r="E4525" s="1">
        <v>959.99</v>
      </c>
      <c r="F4525" s="1">
        <v>0.2</v>
      </c>
      <c r="G4525">
        <f t="shared" si="70"/>
        <v>959.79</v>
      </c>
      <c r="H4525" t="str">
        <f>VLOOKUP(C4525,[1]products!$A:$B,2,FALSE)</f>
        <v>Trek CrossRip 1 - 2018</v>
      </c>
      <c r="I4525">
        <f>VLOOKUP(C4525,[1]products!$A:$D,4,FALSE)</f>
        <v>7</v>
      </c>
      <c r="J4525" t="str">
        <f>VLOOKUP(I4525,[2]categories!$A$1:$B$8,2,FALSE)</f>
        <v>Road Bikes</v>
      </c>
    </row>
    <row r="4526" customHeight="1" spans="1:10">
      <c r="A4526" s="1">
        <v>1549</v>
      </c>
      <c r="B4526" s="1">
        <v>2</v>
      </c>
      <c r="C4526" s="1">
        <v>119</v>
      </c>
      <c r="D4526" s="1">
        <v>1</v>
      </c>
      <c r="E4526" s="1">
        <v>469.99</v>
      </c>
      <c r="F4526" s="1">
        <v>0.05</v>
      </c>
      <c r="G4526">
        <f t="shared" si="70"/>
        <v>469.94</v>
      </c>
      <c r="H4526" t="str">
        <f>VLOOKUP(C4526,[1]products!$A:$B,2,FALSE)</f>
        <v>Trek Kids' Neko - 2018</v>
      </c>
      <c r="I4526">
        <f>VLOOKUP(C4526,[1]products!$A:$D,4,FALSE)</f>
        <v>6</v>
      </c>
      <c r="J4526" t="str">
        <f>VLOOKUP(I4526,[2]categories!$A$1:$B$8,2,FALSE)</f>
        <v>Mountain Bikes</v>
      </c>
    </row>
    <row r="4527" customHeight="1" spans="1:10">
      <c r="A4527" s="1">
        <v>1549</v>
      </c>
      <c r="B4527" s="1">
        <v>3</v>
      </c>
      <c r="C4527" s="1">
        <v>249</v>
      </c>
      <c r="D4527" s="1">
        <v>2</v>
      </c>
      <c r="E4527" s="1">
        <v>749.99</v>
      </c>
      <c r="F4527" s="1">
        <v>0.05</v>
      </c>
      <c r="G4527">
        <f t="shared" si="70"/>
        <v>1499.93</v>
      </c>
      <c r="H4527" t="str">
        <f>VLOOKUP(C4527,[1]products!$A:$B,2,FALSE)</f>
        <v>Electra White Water 3i - 2018</v>
      </c>
      <c r="I4527">
        <f>VLOOKUP(C4527,[1]products!$A:$D,4,FALSE)</f>
        <v>3</v>
      </c>
      <c r="J4527" t="str">
        <f>VLOOKUP(I4527,[2]categories!$A$1:$B$8,2,FALSE)</f>
        <v>Cruisers Bicycles</v>
      </c>
    </row>
    <row r="4528" customHeight="1" spans="1:10">
      <c r="A4528" s="1">
        <v>1549</v>
      </c>
      <c r="B4528" s="1">
        <v>4</v>
      </c>
      <c r="C4528" s="1">
        <v>242</v>
      </c>
      <c r="D4528" s="1">
        <v>2</v>
      </c>
      <c r="E4528" s="1">
        <v>699.99</v>
      </c>
      <c r="F4528" s="1">
        <v>0.1</v>
      </c>
      <c r="G4528">
        <f t="shared" si="70"/>
        <v>1399.88</v>
      </c>
      <c r="H4528" t="str">
        <f>VLOOKUP(C4528,[1]products!$A:$B,2,FALSE)</f>
        <v>Electra Townie Commute 8D Ladies' - 2018</v>
      </c>
      <c r="I4528">
        <f>VLOOKUP(C4528,[1]products!$A:$D,4,FALSE)</f>
        <v>3</v>
      </c>
      <c r="J4528" t="str">
        <f>VLOOKUP(I4528,[2]categories!$A$1:$B$8,2,FALSE)</f>
        <v>Cruisers Bicycles</v>
      </c>
    </row>
    <row r="4529" customHeight="1" spans="1:10">
      <c r="A4529" s="1">
        <v>1550</v>
      </c>
      <c r="B4529" s="1">
        <v>1</v>
      </c>
      <c r="C4529" s="1">
        <v>315</v>
      </c>
      <c r="D4529" s="1">
        <v>2</v>
      </c>
      <c r="E4529" s="1">
        <v>559.99</v>
      </c>
      <c r="F4529" s="1">
        <v>0.05</v>
      </c>
      <c r="G4529">
        <f t="shared" si="70"/>
        <v>1119.93</v>
      </c>
      <c r="H4529" t="str">
        <f>VLOOKUP(C4529,[1]products!$A:$B,2,FALSE)</f>
        <v>Electra Townie Original 21D Ladies' - 2018</v>
      </c>
      <c r="I4529">
        <f>VLOOKUP(C4529,[1]products!$A:$D,4,FALSE)</f>
        <v>2</v>
      </c>
      <c r="J4529" t="str">
        <f>VLOOKUP(I4529,[2]categories!$A$1:$B$8,2,FALSE)</f>
        <v>Comfort Bicycles</v>
      </c>
    </row>
    <row r="4530" customHeight="1" spans="1:10">
      <c r="A4530" s="1">
        <v>1550</v>
      </c>
      <c r="B4530" s="1">
        <v>2</v>
      </c>
      <c r="C4530" s="1">
        <v>245</v>
      </c>
      <c r="D4530" s="1">
        <v>1</v>
      </c>
      <c r="E4530" s="1">
        <v>659.99</v>
      </c>
      <c r="F4530" s="1">
        <v>0.07</v>
      </c>
      <c r="G4530">
        <f t="shared" si="70"/>
        <v>659.92</v>
      </c>
      <c r="H4530" t="str">
        <f>VLOOKUP(C4530,[1]products!$A:$B,2,FALSE)</f>
        <v>Electra Townie Original 3i EQ - 2017/2018</v>
      </c>
      <c r="I4530">
        <f>VLOOKUP(C4530,[1]products!$A:$D,4,FALSE)</f>
        <v>3</v>
      </c>
      <c r="J4530" t="str">
        <f>VLOOKUP(I4530,[2]categories!$A$1:$B$8,2,FALSE)</f>
        <v>Cruisers Bicycles</v>
      </c>
    </row>
    <row r="4531" customHeight="1" spans="1:10">
      <c r="A4531" s="1">
        <v>1550</v>
      </c>
      <c r="B4531" s="1">
        <v>3</v>
      </c>
      <c r="C4531" s="1">
        <v>185</v>
      </c>
      <c r="D4531" s="1">
        <v>2</v>
      </c>
      <c r="E4531" s="1">
        <v>2799.99</v>
      </c>
      <c r="F4531" s="1">
        <v>0.1</v>
      </c>
      <c r="G4531">
        <f t="shared" si="70"/>
        <v>5599.88</v>
      </c>
      <c r="H4531" t="str">
        <f>VLOOKUP(C4531,[1]products!$A:$B,2,FALSE)</f>
        <v>Trek Conduit+ - 2018</v>
      </c>
      <c r="I4531">
        <f>VLOOKUP(C4531,[1]products!$A:$D,4,FALSE)</f>
        <v>5</v>
      </c>
      <c r="J4531" t="str">
        <f>VLOOKUP(I4531,[2]categories!$A$1:$B$8,2,FALSE)</f>
        <v>Electric Bikes</v>
      </c>
    </row>
    <row r="4532" customHeight="1" spans="1:10">
      <c r="A4532" s="1">
        <v>1550</v>
      </c>
      <c r="B4532" s="1">
        <v>4</v>
      </c>
      <c r="C4532" s="1">
        <v>148</v>
      </c>
      <c r="D4532" s="1">
        <v>1</v>
      </c>
      <c r="E4532" s="1">
        <v>5499.99</v>
      </c>
      <c r="F4532" s="1">
        <v>0.07</v>
      </c>
      <c r="G4532">
        <f t="shared" si="70"/>
        <v>5499.92</v>
      </c>
      <c r="H4532" t="str">
        <f>VLOOKUP(C4532,[1]products!$A:$B,2,FALSE)</f>
        <v>Trek Domane SL 8 Disc - 2018</v>
      </c>
      <c r="I4532">
        <f>VLOOKUP(C4532,[1]products!$A:$D,4,FALSE)</f>
        <v>7</v>
      </c>
      <c r="J4532" t="str">
        <f>VLOOKUP(I4532,[2]categories!$A$1:$B$8,2,FALSE)</f>
        <v>Road Bikes</v>
      </c>
    </row>
    <row r="4533" customHeight="1" spans="1:10">
      <c r="A4533" s="1">
        <v>1550</v>
      </c>
      <c r="B4533" s="1">
        <v>5</v>
      </c>
      <c r="C4533" s="1">
        <v>86</v>
      </c>
      <c r="D4533" s="1">
        <v>2</v>
      </c>
      <c r="E4533" s="1">
        <v>149.99</v>
      </c>
      <c r="F4533" s="1">
        <v>0.05</v>
      </c>
      <c r="G4533">
        <f t="shared" si="70"/>
        <v>299.93</v>
      </c>
      <c r="H4533" t="str">
        <f>VLOOKUP(C4533,[1]products!$A:$B,2,FALSE)</f>
        <v>Trek Girl's Kickster - 2017</v>
      </c>
      <c r="I4533">
        <f>VLOOKUP(C4533,[1]products!$A:$D,4,FALSE)</f>
        <v>1</v>
      </c>
      <c r="J4533" t="str">
        <f>VLOOKUP(I4533,[2]categories!$A$1:$B$8,2,FALSE)</f>
        <v>Children Bicycles</v>
      </c>
    </row>
    <row r="4534" customHeight="1" spans="1:10">
      <c r="A4534" s="1">
        <v>1551</v>
      </c>
      <c r="B4534" s="1">
        <v>1</v>
      </c>
      <c r="C4534" s="1">
        <v>207</v>
      </c>
      <c r="D4534" s="1">
        <v>2</v>
      </c>
      <c r="E4534" s="1">
        <v>3999.99</v>
      </c>
      <c r="F4534" s="1">
        <v>0.2</v>
      </c>
      <c r="G4534">
        <f t="shared" si="70"/>
        <v>7999.78</v>
      </c>
      <c r="H4534" t="str">
        <f>VLOOKUP(C4534,[1]products!$A:$B,2,FALSE)</f>
        <v>Trek Boone 7 Disc - 2018</v>
      </c>
      <c r="I4534">
        <f>VLOOKUP(C4534,[1]products!$A:$D,4,FALSE)</f>
        <v>4</v>
      </c>
      <c r="J4534" t="str">
        <f>VLOOKUP(I4534,[2]categories!$A$1:$B$8,2,FALSE)</f>
        <v>Cyclocross Bicycles</v>
      </c>
    </row>
    <row r="4535" customHeight="1" spans="1:10">
      <c r="A4535" s="1">
        <v>1552</v>
      </c>
      <c r="B4535" s="1">
        <v>1</v>
      </c>
      <c r="C4535" s="1">
        <v>197</v>
      </c>
      <c r="D4535" s="1">
        <v>1</v>
      </c>
      <c r="E4535" s="1">
        <v>2299.99</v>
      </c>
      <c r="F4535" s="1">
        <v>0.1</v>
      </c>
      <c r="G4535">
        <f t="shared" si="70"/>
        <v>2299.89</v>
      </c>
      <c r="H4535" t="str">
        <f>VLOOKUP(C4535,[1]products!$A:$B,2,FALSE)</f>
        <v>Trek Verve+ Lowstep - 2018</v>
      </c>
      <c r="I4535">
        <f>VLOOKUP(C4535,[1]products!$A:$D,4,FALSE)</f>
        <v>5</v>
      </c>
      <c r="J4535" t="str">
        <f>VLOOKUP(I4535,[2]categories!$A$1:$B$8,2,FALSE)</f>
        <v>Electric Bikes</v>
      </c>
    </row>
    <row r="4536" customHeight="1" spans="1:10">
      <c r="A4536" s="1">
        <v>1552</v>
      </c>
      <c r="B4536" s="1">
        <v>2</v>
      </c>
      <c r="C4536" s="1">
        <v>41</v>
      </c>
      <c r="D4536" s="1">
        <v>2</v>
      </c>
      <c r="E4536" s="1">
        <v>1469.99</v>
      </c>
      <c r="F4536" s="1">
        <v>0.05</v>
      </c>
      <c r="G4536">
        <f t="shared" si="70"/>
        <v>2939.93</v>
      </c>
      <c r="H4536" t="str">
        <f>VLOOKUP(C4536,[1]products!$A:$B,2,FALSE)</f>
        <v>Haro Shift R3 - 2017</v>
      </c>
      <c r="I4536">
        <f>VLOOKUP(C4536,[1]products!$A:$D,4,FALSE)</f>
        <v>6</v>
      </c>
      <c r="J4536" t="str">
        <f>VLOOKUP(I4536,[2]categories!$A$1:$B$8,2,FALSE)</f>
        <v>Mountain Bikes</v>
      </c>
    </row>
    <row r="4537" customHeight="1" spans="1:10">
      <c r="A4537" s="1">
        <v>1553</v>
      </c>
      <c r="B4537" s="1">
        <v>1</v>
      </c>
      <c r="C4537" s="1">
        <v>102</v>
      </c>
      <c r="D4537" s="1">
        <v>1</v>
      </c>
      <c r="E4537" s="1">
        <v>489.99</v>
      </c>
      <c r="F4537" s="1">
        <v>0.07</v>
      </c>
      <c r="G4537">
        <f t="shared" si="70"/>
        <v>489.92</v>
      </c>
      <c r="H4537" t="str">
        <f>VLOOKUP(C4537,[1]products!$A:$B,2,FALSE)</f>
        <v>Electra Townie Original 7D - 2017</v>
      </c>
      <c r="I4537">
        <f>VLOOKUP(C4537,[1]products!$A:$D,4,FALSE)</f>
        <v>2</v>
      </c>
      <c r="J4537" t="str">
        <f>VLOOKUP(I4537,[2]categories!$A$1:$B$8,2,FALSE)</f>
        <v>Comfort Bicycles</v>
      </c>
    </row>
    <row r="4538" customHeight="1" spans="1:10">
      <c r="A4538" s="1">
        <v>1553</v>
      </c>
      <c r="B4538" s="1">
        <v>2</v>
      </c>
      <c r="C4538" s="1">
        <v>12</v>
      </c>
      <c r="D4538" s="1">
        <v>1</v>
      </c>
      <c r="E4538" s="1">
        <v>549.99</v>
      </c>
      <c r="F4538" s="1">
        <v>0.1</v>
      </c>
      <c r="G4538">
        <f t="shared" si="70"/>
        <v>549.89</v>
      </c>
      <c r="H4538" t="str">
        <f>VLOOKUP(C4538,[1]products!$A:$B,2,FALSE)</f>
        <v>Electra Townie Original 21D - 2016</v>
      </c>
      <c r="I4538">
        <f>VLOOKUP(C4538,[1]products!$A:$D,4,FALSE)</f>
        <v>3</v>
      </c>
      <c r="J4538" t="str">
        <f>VLOOKUP(I4538,[2]categories!$A$1:$B$8,2,FALSE)</f>
        <v>Cruisers Bicycles</v>
      </c>
    </row>
    <row r="4539" customHeight="1" spans="1:10">
      <c r="A4539" s="1">
        <v>1553</v>
      </c>
      <c r="B4539" s="1">
        <v>3</v>
      </c>
      <c r="C4539" s="1">
        <v>251</v>
      </c>
      <c r="D4539" s="1">
        <v>1</v>
      </c>
      <c r="E4539" s="1">
        <v>2999.99</v>
      </c>
      <c r="F4539" s="1">
        <v>0.05</v>
      </c>
      <c r="G4539">
        <f t="shared" si="70"/>
        <v>2999.94</v>
      </c>
      <c r="H4539" t="str">
        <f>VLOOKUP(C4539,[1]products!$A:$B,2,FALSE)</f>
        <v>Electra Townie Commute Go! - 2018</v>
      </c>
      <c r="I4539">
        <f>VLOOKUP(C4539,[1]products!$A:$D,4,FALSE)</f>
        <v>3</v>
      </c>
      <c r="J4539" t="str">
        <f>VLOOKUP(I4539,[2]categories!$A$1:$B$8,2,FALSE)</f>
        <v>Cruisers Bicycles</v>
      </c>
    </row>
    <row r="4540" customHeight="1" spans="1:10">
      <c r="A4540" s="1">
        <v>1553</v>
      </c>
      <c r="B4540" s="1">
        <v>4</v>
      </c>
      <c r="C4540" s="1">
        <v>89</v>
      </c>
      <c r="D4540" s="1">
        <v>1</v>
      </c>
      <c r="E4540" s="1">
        <v>209.99</v>
      </c>
      <c r="F4540" s="1">
        <v>0.05</v>
      </c>
      <c r="G4540">
        <f t="shared" si="70"/>
        <v>209.94</v>
      </c>
      <c r="H4540" t="str">
        <f>VLOOKUP(C4540,[1]products!$A:$B,2,FALSE)</f>
        <v>Trek Precaliber 16 Boys - 2017</v>
      </c>
      <c r="I4540">
        <f>VLOOKUP(C4540,[1]products!$A:$D,4,FALSE)</f>
        <v>1</v>
      </c>
      <c r="J4540" t="str">
        <f>VLOOKUP(I4540,[2]categories!$A$1:$B$8,2,FALSE)</f>
        <v>Children Bicycles</v>
      </c>
    </row>
    <row r="4541" customHeight="1" spans="1:10">
      <c r="A4541" s="1">
        <v>1554</v>
      </c>
      <c r="B4541" s="1">
        <v>1</v>
      </c>
      <c r="C4541" s="1">
        <v>166</v>
      </c>
      <c r="D4541" s="1">
        <v>1</v>
      </c>
      <c r="E4541" s="1">
        <v>749.99</v>
      </c>
      <c r="F4541" s="1">
        <v>0.05</v>
      </c>
      <c r="G4541">
        <f t="shared" si="70"/>
        <v>749.94</v>
      </c>
      <c r="H4541" t="str">
        <f>VLOOKUP(C4541,[1]products!$A:$B,2,FALSE)</f>
        <v>Trek Domane AL 2 Women's - 2018</v>
      </c>
      <c r="I4541">
        <f>VLOOKUP(C4541,[1]products!$A:$D,4,FALSE)</f>
        <v>7</v>
      </c>
      <c r="J4541" t="str">
        <f>VLOOKUP(I4541,[2]categories!$A$1:$B$8,2,FALSE)</f>
        <v>Road Bikes</v>
      </c>
    </row>
    <row r="4542" customHeight="1" spans="1:10">
      <c r="A4542" s="1">
        <v>1554</v>
      </c>
      <c r="B4542" s="1">
        <v>2</v>
      </c>
      <c r="C4542" s="1">
        <v>285</v>
      </c>
      <c r="D4542" s="1">
        <v>1</v>
      </c>
      <c r="E4542" s="1">
        <v>279.99</v>
      </c>
      <c r="F4542" s="1">
        <v>0.2</v>
      </c>
      <c r="G4542">
        <f t="shared" si="70"/>
        <v>279.79</v>
      </c>
      <c r="H4542" t="str">
        <f>VLOOKUP(C4542,[1]products!$A:$B,2,FALSE)</f>
        <v>Electra Soft Serve 1 (16-inch) - Girl's - 2018</v>
      </c>
      <c r="I4542">
        <f>VLOOKUP(C4542,[1]products!$A:$D,4,FALSE)</f>
        <v>1</v>
      </c>
      <c r="J4542" t="str">
        <f>VLOOKUP(I4542,[2]categories!$A$1:$B$8,2,FALSE)</f>
        <v>Children Bicycles</v>
      </c>
    </row>
    <row r="4543" customHeight="1" spans="1:10">
      <c r="A4543" s="1">
        <v>1555</v>
      </c>
      <c r="B4543" s="1">
        <v>1</v>
      </c>
      <c r="C4543" s="1">
        <v>24</v>
      </c>
      <c r="D4543" s="1">
        <v>2</v>
      </c>
      <c r="E4543" s="1">
        <v>549.99</v>
      </c>
      <c r="F4543" s="1">
        <v>0.1</v>
      </c>
      <c r="G4543">
        <f t="shared" si="70"/>
        <v>1099.88</v>
      </c>
      <c r="H4543" t="str">
        <f>VLOOKUP(C4543,[1]products!$A:$B,2,FALSE)</f>
        <v>Electra Townie Original 21D - 2016</v>
      </c>
      <c r="I4543">
        <f>VLOOKUP(C4543,[1]products!$A:$D,4,FALSE)</f>
        <v>2</v>
      </c>
      <c r="J4543" t="str">
        <f>VLOOKUP(I4543,[2]categories!$A$1:$B$8,2,FALSE)</f>
        <v>Comfort Bicycles</v>
      </c>
    </row>
    <row r="4544" customHeight="1" spans="1:10">
      <c r="A4544" s="1">
        <v>1555</v>
      </c>
      <c r="B4544" s="1">
        <v>2</v>
      </c>
      <c r="C4544" s="1">
        <v>156</v>
      </c>
      <c r="D4544" s="1">
        <v>1</v>
      </c>
      <c r="E4544" s="1">
        <v>6499.99</v>
      </c>
      <c r="F4544" s="1">
        <v>0.1</v>
      </c>
      <c r="G4544">
        <f t="shared" si="70"/>
        <v>6499.89</v>
      </c>
      <c r="H4544" t="str">
        <f>VLOOKUP(C4544,[1]products!$A:$B,2,FALSE)</f>
        <v>Trek Domane SL Frameset - 2018</v>
      </c>
      <c r="I4544">
        <f>VLOOKUP(C4544,[1]products!$A:$D,4,FALSE)</f>
        <v>7</v>
      </c>
      <c r="J4544" t="str">
        <f>VLOOKUP(I4544,[2]categories!$A$1:$B$8,2,FALSE)</f>
        <v>Road Bikes</v>
      </c>
    </row>
    <row r="4545" customHeight="1" spans="1:10">
      <c r="A4545" s="1">
        <v>1555</v>
      </c>
      <c r="B4545" s="1">
        <v>3</v>
      </c>
      <c r="C4545" s="1">
        <v>126</v>
      </c>
      <c r="D4545" s="1">
        <v>1</v>
      </c>
      <c r="E4545" s="1">
        <v>469.99</v>
      </c>
      <c r="F4545" s="1">
        <v>0.1</v>
      </c>
      <c r="G4545">
        <f t="shared" si="70"/>
        <v>469.89</v>
      </c>
      <c r="H4545" t="str">
        <f>VLOOKUP(C4545,[1]products!$A:$B,2,FALSE)</f>
        <v>Surly Big Fat Dummy Frameset - 2018</v>
      </c>
      <c r="I4545">
        <f>VLOOKUP(C4545,[1]products!$A:$D,4,FALSE)</f>
        <v>6</v>
      </c>
      <c r="J4545" t="str">
        <f>VLOOKUP(I4545,[2]categories!$A$1:$B$8,2,FALSE)</f>
        <v>Mountain Bikes</v>
      </c>
    </row>
    <row r="4546" customHeight="1" spans="1:10">
      <c r="A4546" s="1">
        <v>1555</v>
      </c>
      <c r="B4546" s="1">
        <v>4</v>
      </c>
      <c r="C4546" s="1">
        <v>128</v>
      </c>
      <c r="D4546" s="1">
        <v>2</v>
      </c>
      <c r="E4546" s="1">
        <v>1899</v>
      </c>
      <c r="F4546" s="1">
        <v>0.05</v>
      </c>
      <c r="G4546">
        <f t="shared" si="70"/>
        <v>3797.95</v>
      </c>
      <c r="H4546" t="str">
        <f>VLOOKUP(C4546,[1]products!$A:$B,2,FALSE)</f>
        <v>Surly ECR 27.5 - 2018</v>
      </c>
      <c r="I4546">
        <f>VLOOKUP(C4546,[1]products!$A:$D,4,FALSE)</f>
        <v>6</v>
      </c>
      <c r="J4546" t="str">
        <f>VLOOKUP(I4546,[2]categories!$A$1:$B$8,2,FALSE)</f>
        <v>Mountain Bikes</v>
      </c>
    </row>
    <row r="4547" customHeight="1" spans="1:10">
      <c r="A4547" s="1">
        <v>1555</v>
      </c>
      <c r="B4547" s="1">
        <v>5</v>
      </c>
      <c r="C4547" s="1">
        <v>174</v>
      </c>
      <c r="D4547" s="1">
        <v>1</v>
      </c>
      <c r="E4547" s="1">
        <v>3199.99</v>
      </c>
      <c r="F4547" s="1">
        <v>0.2</v>
      </c>
      <c r="G4547">
        <f t="shared" ref="G4547:G4610" si="71">(E4547*D4547)-F4547</f>
        <v>3199.79</v>
      </c>
      <c r="H4547" t="str">
        <f>VLOOKUP(C4547,[1]products!$A:$B,2,FALSE)</f>
        <v>Trek Domane SLR Disc Frameset - 2018</v>
      </c>
      <c r="I4547">
        <f>VLOOKUP(C4547,[1]products!$A:$D,4,FALSE)</f>
        <v>7</v>
      </c>
      <c r="J4547" t="str">
        <f>VLOOKUP(I4547,[2]categories!$A$1:$B$8,2,FALSE)</f>
        <v>Road Bikes</v>
      </c>
    </row>
    <row r="4548" customHeight="1" spans="1:10">
      <c r="A4548" s="1">
        <v>1556</v>
      </c>
      <c r="B4548" s="1">
        <v>1</v>
      </c>
      <c r="C4548" s="1">
        <v>49</v>
      </c>
      <c r="D4548" s="1">
        <v>2</v>
      </c>
      <c r="E4548" s="1">
        <v>3499.99</v>
      </c>
      <c r="F4548" s="1">
        <v>0.2</v>
      </c>
      <c r="G4548">
        <f t="shared" si="71"/>
        <v>6999.78</v>
      </c>
      <c r="H4548" t="str">
        <f>VLOOKUP(C4548,[1]products!$A:$B,2,FALSE)</f>
        <v>Trek Domane SL 6 - 2017</v>
      </c>
      <c r="I4548">
        <f>VLOOKUP(C4548,[1]products!$A:$D,4,FALSE)</f>
        <v>7</v>
      </c>
      <c r="J4548" t="str">
        <f>VLOOKUP(I4548,[2]categories!$A$1:$B$8,2,FALSE)</f>
        <v>Road Bikes</v>
      </c>
    </row>
    <row r="4549" customHeight="1" spans="1:10">
      <c r="A4549" s="1">
        <v>1556</v>
      </c>
      <c r="B4549" s="1">
        <v>2</v>
      </c>
      <c r="C4549" s="1">
        <v>82</v>
      </c>
      <c r="D4549" s="1">
        <v>1</v>
      </c>
      <c r="E4549" s="1">
        <v>659.99</v>
      </c>
      <c r="F4549" s="1">
        <v>0.07</v>
      </c>
      <c r="G4549">
        <f t="shared" si="71"/>
        <v>659.92</v>
      </c>
      <c r="H4549" t="str">
        <f>VLOOKUP(C4549,[1]products!$A:$B,2,FALSE)</f>
        <v>Electra Amsterdam Original 3i Ladies' - 2017</v>
      </c>
      <c r="I4549">
        <f>VLOOKUP(C4549,[1]products!$A:$D,4,FALSE)</f>
        <v>3</v>
      </c>
      <c r="J4549" t="str">
        <f>VLOOKUP(I4549,[2]categories!$A$1:$B$8,2,FALSE)</f>
        <v>Cruisers Bicycles</v>
      </c>
    </row>
    <row r="4550" customHeight="1" spans="1:10">
      <c r="A4550" s="1">
        <v>1556</v>
      </c>
      <c r="B4550" s="1">
        <v>3</v>
      </c>
      <c r="C4550" s="1">
        <v>265</v>
      </c>
      <c r="D4550" s="1">
        <v>1</v>
      </c>
      <c r="E4550" s="1">
        <v>289.99</v>
      </c>
      <c r="F4550" s="1">
        <v>0.1</v>
      </c>
      <c r="G4550">
        <f t="shared" si="71"/>
        <v>289.89</v>
      </c>
      <c r="H4550" t="str">
        <f>VLOOKUP(C4550,[1]products!$A:$B,2,FALSE)</f>
        <v>Strider Strider 20 Sport - 2018</v>
      </c>
      <c r="I4550">
        <f>VLOOKUP(C4550,[1]products!$A:$D,4,FALSE)</f>
        <v>1</v>
      </c>
      <c r="J4550" t="str">
        <f>VLOOKUP(I4550,[2]categories!$A$1:$B$8,2,FALSE)</f>
        <v>Children Bicycles</v>
      </c>
    </row>
    <row r="4551" customHeight="1" spans="1:10">
      <c r="A4551" s="1">
        <v>1556</v>
      </c>
      <c r="B4551" s="1">
        <v>4</v>
      </c>
      <c r="C4551" s="1">
        <v>119</v>
      </c>
      <c r="D4551" s="1">
        <v>2</v>
      </c>
      <c r="E4551" s="1">
        <v>469.99</v>
      </c>
      <c r="F4551" s="1">
        <v>0.05</v>
      </c>
      <c r="G4551">
        <f t="shared" si="71"/>
        <v>939.93</v>
      </c>
      <c r="H4551" t="str">
        <f>VLOOKUP(C4551,[1]products!$A:$B,2,FALSE)</f>
        <v>Trek Kids' Neko - 2018</v>
      </c>
      <c r="I4551">
        <f>VLOOKUP(C4551,[1]products!$A:$D,4,FALSE)</f>
        <v>6</v>
      </c>
      <c r="J4551" t="str">
        <f>VLOOKUP(I4551,[2]categories!$A$1:$B$8,2,FALSE)</f>
        <v>Mountain Bikes</v>
      </c>
    </row>
    <row r="4552" customHeight="1" spans="1:10">
      <c r="A4552" s="1">
        <v>1556</v>
      </c>
      <c r="B4552" s="1">
        <v>5</v>
      </c>
      <c r="C4552" s="1">
        <v>235</v>
      </c>
      <c r="D4552" s="1">
        <v>2</v>
      </c>
      <c r="E4552" s="1">
        <v>899.99</v>
      </c>
      <c r="F4552" s="1">
        <v>0.1</v>
      </c>
      <c r="G4552">
        <f t="shared" si="71"/>
        <v>1799.88</v>
      </c>
      <c r="H4552" t="str">
        <f>VLOOKUP(C4552,[1]products!$A:$B,2,FALSE)</f>
        <v>Electra Koa 3i Ladies' - 2018</v>
      </c>
      <c r="I4552">
        <f>VLOOKUP(C4552,[1]products!$A:$D,4,FALSE)</f>
        <v>3</v>
      </c>
      <c r="J4552" t="str">
        <f>VLOOKUP(I4552,[2]categories!$A$1:$B$8,2,FALSE)</f>
        <v>Cruisers Bicycles</v>
      </c>
    </row>
    <row r="4553" customHeight="1" spans="1:10">
      <c r="A4553" s="1">
        <v>1557</v>
      </c>
      <c r="B4553" s="1">
        <v>1</v>
      </c>
      <c r="C4553" s="1">
        <v>163</v>
      </c>
      <c r="D4553" s="1">
        <v>2</v>
      </c>
      <c r="E4553" s="1">
        <v>1349</v>
      </c>
      <c r="F4553" s="1">
        <v>0.07</v>
      </c>
      <c r="G4553">
        <f t="shared" si="71"/>
        <v>2697.93</v>
      </c>
      <c r="H4553" t="str">
        <f>VLOOKUP(C4553,[1]products!$A:$B,2,FALSE)</f>
        <v>Surly Pack Rat - 2018</v>
      </c>
      <c r="I4553">
        <f>VLOOKUP(C4553,[1]products!$A:$D,4,FALSE)</f>
        <v>7</v>
      </c>
      <c r="J4553" t="str">
        <f>VLOOKUP(I4553,[2]categories!$A$1:$B$8,2,FALSE)</f>
        <v>Road Bikes</v>
      </c>
    </row>
    <row r="4554" customHeight="1" spans="1:10">
      <c r="A4554" s="1">
        <v>1558</v>
      </c>
      <c r="B4554" s="1">
        <v>1</v>
      </c>
      <c r="C4554" s="1">
        <v>46</v>
      </c>
      <c r="D4554" s="1">
        <v>2</v>
      </c>
      <c r="E4554" s="1">
        <v>1409.99</v>
      </c>
      <c r="F4554" s="1">
        <v>0.07</v>
      </c>
      <c r="G4554">
        <f t="shared" si="71"/>
        <v>2819.91</v>
      </c>
      <c r="H4554" t="str">
        <f>VLOOKUP(C4554,[1]products!$A:$B,2,FALSE)</f>
        <v>Haro SR 1.3 - 2017</v>
      </c>
      <c r="I4554">
        <f>VLOOKUP(C4554,[1]products!$A:$D,4,FALSE)</f>
        <v>6</v>
      </c>
      <c r="J4554" t="str">
        <f>VLOOKUP(I4554,[2]categories!$A$1:$B$8,2,FALSE)</f>
        <v>Mountain Bikes</v>
      </c>
    </row>
    <row r="4555" customHeight="1" spans="1:10">
      <c r="A4555" s="1">
        <v>1558</v>
      </c>
      <c r="B4555" s="1">
        <v>2</v>
      </c>
      <c r="C4555" s="1">
        <v>123</v>
      </c>
      <c r="D4555" s="1">
        <v>1</v>
      </c>
      <c r="E4555" s="1">
        <v>999.99</v>
      </c>
      <c r="F4555" s="1">
        <v>0.07</v>
      </c>
      <c r="G4555">
        <f t="shared" si="71"/>
        <v>999.92</v>
      </c>
      <c r="H4555" t="str">
        <f>VLOOKUP(C4555,[1]products!$A:$B,2,FALSE)</f>
        <v>Trek Farley Carbon Frameset - 2018</v>
      </c>
      <c r="I4555">
        <f>VLOOKUP(C4555,[1]products!$A:$D,4,FALSE)</f>
        <v>6</v>
      </c>
      <c r="J4555" t="str">
        <f>VLOOKUP(I4555,[2]categories!$A$1:$B$8,2,FALSE)</f>
        <v>Mountain Bikes</v>
      </c>
    </row>
    <row r="4556" customHeight="1" spans="1:10">
      <c r="A4556" s="1">
        <v>1558</v>
      </c>
      <c r="B4556" s="1">
        <v>3</v>
      </c>
      <c r="C4556" s="1">
        <v>4</v>
      </c>
      <c r="D4556" s="1">
        <v>1</v>
      </c>
      <c r="E4556" s="1">
        <v>2899.99</v>
      </c>
      <c r="F4556" s="1">
        <v>0.05</v>
      </c>
      <c r="G4556">
        <f t="shared" si="71"/>
        <v>2899.94</v>
      </c>
      <c r="H4556" t="str">
        <f>VLOOKUP(C4556,[1]products!$A:$B,2,FALSE)</f>
        <v>Trek Fuel EX 8 29 - 2016</v>
      </c>
      <c r="I4556">
        <f>VLOOKUP(C4556,[1]products!$A:$D,4,FALSE)</f>
        <v>6</v>
      </c>
      <c r="J4556" t="str">
        <f>VLOOKUP(I4556,[2]categories!$A$1:$B$8,2,FALSE)</f>
        <v>Mountain Bikes</v>
      </c>
    </row>
    <row r="4557" customHeight="1" spans="1:10">
      <c r="A4557" s="1">
        <v>1558</v>
      </c>
      <c r="B4557" s="1">
        <v>4</v>
      </c>
      <c r="C4557" s="1">
        <v>55</v>
      </c>
      <c r="D4557" s="1">
        <v>1</v>
      </c>
      <c r="E4557" s="1">
        <v>2699.99</v>
      </c>
      <c r="F4557" s="1">
        <v>0.2</v>
      </c>
      <c r="G4557">
        <f t="shared" si="71"/>
        <v>2699.79</v>
      </c>
      <c r="H4557" t="str">
        <f>VLOOKUP(C4557,[1]products!$A:$B,2,FALSE)</f>
        <v>Trek Domane S 6 - 2017</v>
      </c>
      <c r="I4557">
        <f>VLOOKUP(C4557,[1]products!$A:$D,4,FALSE)</f>
        <v>7</v>
      </c>
      <c r="J4557" t="str">
        <f>VLOOKUP(I4557,[2]categories!$A$1:$B$8,2,FALSE)</f>
        <v>Road Bikes</v>
      </c>
    </row>
    <row r="4558" customHeight="1" spans="1:10">
      <c r="A4558" s="1">
        <v>1558</v>
      </c>
      <c r="B4558" s="1">
        <v>5</v>
      </c>
      <c r="C4558" s="1">
        <v>253</v>
      </c>
      <c r="D4558" s="1">
        <v>1</v>
      </c>
      <c r="E4558" s="1">
        <v>2599.99</v>
      </c>
      <c r="F4558" s="1">
        <v>0.07</v>
      </c>
      <c r="G4558">
        <f t="shared" si="71"/>
        <v>2599.92</v>
      </c>
      <c r="H4558" t="str">
        <f>VLOOKUP(C4558,[1]products!$A:$B,2,FALSE)</f>
        <v>Electra Townie Go! 8i Ladies' - 2018</v>
      </c>
      <c r="I4558">
        <f>VLOOKUP(C4558,[1]products!$A:$D,4,FALSE)</f>
        <v>3</v>
      </c>
      <c r="J4558" t="str">
        <f>VLOOKUP(I4558,[2]categories!$A$1:$B$8,2,FALSE)</f>
        <v>Cruisers Bicycles</v>
      </c>
    </row>
    <row r="4559" customHeight="1" spans="1:10">
      <c r="A4559" s="1">
        <v>1559</v>
      </c>
      <c r="B4559" s="1">
        <v>1</v>
      </c>
      <c r="C4559" s="1">
        <v>101</v>
      </c>
      <c r="D4559" s="1">
        <v>2</v>
      </c>
      <c r="E4559" s="1">
        <v>339.99</v>
      </c>
      <c r="F4559" s="1">
        <v>0.07</v>
      </c>
      <c r="G4559">
        <f t="shared" si="71"/>
        <v>679.91</v>
      </c>
      <c r="H4559" t="str">
        <f>VLOOKUP(C4559,[1]products!$A:$B,2,FALSE)</f>
        <v>Electra Townie 7D (20-inch) - Boys' - 2017</v>
      </c>
      <c r="I4559">
        <f>VLOOKUP(C4559,[1]products!$A:$D,4,FALSE)</f>
        <v>1</v>
      </c>
      <c r="J4559" t="str">
        <f>VLOOKUP(I4559,[2]categories!$A$1:$B$8,2,FALSE)</f>
        <v>Children Bicycles</v>
      </c>
    </row>
    <row r="4560" customHeight="1" spans="1:10">
      <c r="A4560" s="1">
        <v>1559</v>
      </c>
      <c r="B4560" s="1">
        <v>2</v>
      </c>
      <c r="C4560" s="1">
        <v>18</v>
      </c>
      <c r="D4560" s="1">
        <v>1</v>
      </c>
      <c r="E4560" s="1">
        <v>449</v>
      </c>
      <c r="F4560" s="1">
        <v>0.1</v>
      </c>
      <c r="G4560">
        <f t="shared" si="71"/>
        <v>448.9</v>
      </c>
      <c r="H4560" t="str">
        <f>VLOOKUP(C4560,[1]products!$A:$B,2,FALSE)</f>
        <v>Pure Cycles Western 3-Speed - Women's - 2015/2016</v>
      </c>
      <c r="I4560">
        <f>VLOOKUP(C4560,[1]products!$A:$D,4,FALSE)</f>
        <v>3</v>
      </c>
      <c r="J4560" t="str">
        <f>VLOOKUP(I4560,[2]categories!$A$1:$B$8,2,FALSE)</f>
        <v>Cruisers Bicycles</v>
      </c>
    </row>
    <row r="4561" customHeight="1" spans="1:10">
      <c r="A4561" s="1">
        <v>1559</v>
      </c>
      <c r="B4561" s="1">
        <v>3</v>
      </c>
      <c r="C4561" s="1">
        <v>54</v>
      </c>
      <c r="D4561" s="1">
        <v>2</v>
      </c>
      <c r="E4561" s="1">
        <v>3199.99</v>
      </c>
      <c r="F4561" s="1">
        <v>0.1</v>
      </c>
      <c r="G4561">
        <f t="shared" si="71"/>
        <v>6399.88</v>
      </c>
      <c r="H4561" t="str">
        <f>VLOOKUP(C4561,[1]products!$A:$B,2,FALSE)</f>
        <v>Trek Domane SL Disc Frameset - 2017</v>
      </c>
      <c r="I4561">
        <f>VLOOKUP(C4561,[1]products!$A:$D,4,FALSE)</f>
        <v>7</v>
      </c>
      <c r="J4561" t="str">
        <f>VLOOKUP(I4561,[2]categories!$A$1:$B$8,2,FALSE)</f>
        <v>Road Bikes</v>
      </c>
    </row>
    <row r="4562" customHeight="1" spans="1:10">
      <c r="A4562" s="1">
        <v>1559</v>
      </c>
      <c r="B4562" s="1">
        <v>4</v>
      </c>
      <c r="C4562" s="1">
        <v>221</v>
      </c>
      <c r="D4562" s="1">
        <v>1</v>
      </c>
      <c r="E4562" s="1">
        <v>319.99</v>
      </c>
      <c r="F4562" s="1">
        <v>0.1</v>
      </c>
      <c r="G4562">
        <f t="shared" si="71"/>
        <v>319.89</v>
      </c>
      <c r="H4562" t="str">
        <f>VLOOKUP(C4562,[1]products!$A:$B,2,FALSE)</f>
        <v>Electra Cruiser 7D Ladies' - 2016/2018</v>
      </c>
      <c r="I4562">
        <f>VLOOKUP(C4562,[1]products!$A:$D,4,FALSE)</f>
        <v>3</v>
      </c>
      <c r="J4562" t="str">
        <f>VLOOKUP(I4562,[2]categories!$A$1:$B$8,2,FALSE)</f>
        <v>Cruisers Bicycles</v>
      </c>
    </row>
    <row r="4563" customHeight="1" spans="1:10">
      <c r="A4563" s="1">
        <v>1560</v>
      </c>
      <c r="B4563" s="1">
        <v>1</v>
      </c>
      <c r="C4563" s="1">
        <v>118</v>
      </c>
      <c r="D4563" s="1">
        <v>2</v>
      </c>
      <c r="E4563" s="1">
        <v>999.99</v>
      </c>
      <c r="F4563" s="1">
        <v>0.2</v>
      </c>
      <c r="G4563">
        <f t="shared" si="71"/>
        <v>1999.78</v>
      </c>
      <c r="H4563" t="str">
        <f>VLOOKUP(C4563,[1]products!$A:$B,2,FALSE)</f>
        <v>Trek X-Caliber 8 - 2018</v>
      </c>
      <c r="I4563">
        <f>VLOOKUP(C4563,[1]products!$A:$D,4,FALSE)</f>
        <v>6</v>
      </c>
      <c r="J4563" t="str">
        <f>VLOOKUP(I4563,[2]categories!$A$1:$B$8,2,FALSE)</f>
        <v>Mountain Bikes</v>
      </c>
    </row>
    <row r="4564" customHeight="1" spans="1:10">
      <c r="A4564" s="1">
        <v>1560</v>
      </c>
      <c r="B4564" s="1">
        <v>2</v>
      </c>
      <c r="C4564" s="1">
        <v>41</v>
      </c>
      <c r="D4564" s="1">
        <v>1</v>
      </c>
      <c r="E4564" s="1">
        <v>1469.99</v>
      </c>
      <c r="F4564" s="1">
        <v>0.2</v>
      </c>
      <c r="G4564">
        <f t="shared" si="71"/>
        <v>1469.79</v>
      </c>
      <c r="H4564" t="str">
        <f>VLOOKUP(C4564,[1]products!$A:$B,2,FALSE)</f>
        <v>Haro Shift R3 - 2017</v>
      </c>
      <c r="I4564">
        <f>VLOOKUP(C4564,[1]products!$A:$D,4,FALSE)</f>
        <v>6</v>
      </c>
      <c r="J4564" t="str">
        <f>VLOOKUP(I4564,[2]categories!$A$1:$B$8,2,FALSE)</f>
        <v>Mountain Bikes</v>
      </c>
    </row>
    <row r="4565" customHeight="1" spans="1:10">
      <c r="A4565" s="1">
        <v>1561</v>
      </c>
      <c r="B4565" s="1">
        <v>1</v>
      </c>
      <c r="C4565" s="1">
        <v>181</v>
      </c>
      <c r="D4565" s="1">
        <v>2</v>
      </c>
      <c r="E4565" s="1">
        <v>2199.99</v>
      </c>
      <c r="F4565" s="1">
        <v>0.07</v>
      </c>
      <c r="G4565">
        <f t="shared" si="71"/>
        <v>4399.91</v>
      </c>
      <c r="H4565" t="str">
        <f>VLOOKUP(C4565,[1]products!$A:$B,2,FALSE)</f>
        <v>Trek Domane SL 5 - 2018</v>
      </c>
      <c r="I4565">
        <f>VLOOKUP(C4565,[1]products!$A:$D,4,FALSE)</f>
        <v>7</v>
      </c>
      <c r="J4565" t="str">
        <f>VLOOKUP(I4565,[2]categories!$A$1:$B$8,2,FALSE)</f>
        <v>Road Bikes</v>
      </c>
    </row>
    <row r="4566" customHeight="1" spans="1:10">
      <c r="A4566" s="1">
        <v>1561</v>
      </c>
      <c r="B4566" s="1">
        <v>2</v>
      </c>
      <c r="C4566" s="1">
        <v>297</v>
      </c>
      <c r="D4566" s="1">
        <v>2</v>
      </c>
      <c r="E4566" s="1">
        <v>279.99</v>
      </c>
      <c r="F4566" s="1">
        <v>0.05</v>
      </c>
      <c r="G4566">
        <f t="shared" si="71"/>
        <v>559.93</v>
      </c>
      <c r="H4566" t="str">
        <f>VLOOKUP(C4566,[1]products!$A:$B,2,FALSE)</f>
        <v>Electra Under-The-Sea 1 16" - 2018</v>
      </c>
      <c r="I4566">
        <f>VLOOKUP(C4566,[1]products!$A:$D,4,FALSE)</f>
        <v>1</v>
      </c>
      <c r="J4566" t="str">
        <f>VLOOKUP(I4566,[2]categories!$A$1:$B$8,2,FALSE)</f>
        <v>Children Bicycles</v>
      </c>
    </row>
    <row r="4567" customHeight="1" spans="1:10">
      <c r="A4567" s="1">
        <v>1562</v>
      </c>
      <c r="B4567" s="1">
        <v>1</v>
      </c>
      <c r="C4567" s="1">
        <v>54</v>
      </c>
      <c r="D4567" s="1">
        <v>1</v>
      </c>
      <c r="E4567" s="1">
        <v>3199.99</v>
      </c>
      <c r="F4567" s="1">
        <v>0.2</v>
      </c>
      <c r="G4567">
        <f t="shared" si="71"/>
        <v>3199.79</v>
      </c>
      <c r="H4567" t="str">
        <f>VLOOKUP(C4567,[1]products!$A:$B,2,FALSE)</f>
        <v>Trek Domane SL Disc Frameset - 2017</v>
      </c>
      <c r="I4567">
        <f>VLOOKUP(C4567,[1]products!$A:$D,4,FALSE)</f>
        <v>7</v>
      </c>
      <c r="J4567" t="str">
        <f>VLOOKUP(I4567,[2]categories!$A$1:$B$8,2,FALSE)</f>
        <v>Road Bikes</v>
      </c>
    </row>
    <row r="4568" customHeight="1" spans="1:10">
      <c r="A4568" s="1">
        <v>1562</v>
      </c>
      <c r="B4568" s="1">
        <v>2</v>
      </c>
      <c r="C4568" s="1">
        <v>66</v>
      </c>
      <c r="D4568" s="1">
        <v>1</v>
      </c>
      <c r="E4568" s="1">
        <v>250.99</v>
      </c>
      <c r="F4568" s="1">
        <v>0.2</v>
      </c>
      <c r="G4568">
        <f t="shared" si="71"/>
        <v>250.79</v>
      </c>
      <c r="H4568" t="str">
        <f>VLOOKUP(C4568,[1]products!$A:$B,2,FALSE)</f>
        <v>Sun Bicycles Revolutions 24 - 2017</v>
      </c>
      <c r="I4568">
        <f>VLOOKUP(C4568,[1]products!$A:$D,4,FALSE)</f>
        <v>3</v>
      </c>
      <c r="J4568" t="str">
        <f>VLOOKUP(I4568,[2]categories!$A$1:$B$8,2,FALSE)</f>
        <v>Cruisers Bicycles</v>
      </c>
    </row>
    <row r="4569" customHeight="1" spans="1:10">
      <c r="A4569" s="1">
        <v>1562</v>
      </c>
      <c r="B4569" s="1">
        <v>3</v>
      </c>
      <c r="C4569" s="1">
        <v>115</v>
      </c>
      <c r="D4569" s="1">
        <v>2</v>
      </c>
      <c r="E4569" s="1">
        <v>3199.99</v>
      </c>
      <c r="F4569" s="1">
        <v>0.07</v>
      </c>
      <c r="G4569">
        <f t="shared" si="71"/>
        <v>6399.91</v>
      </c>
      <c r="H4569" t="str">
        <f>VLOOKUP(C4569,[1]products!$A:$B,2,FALSE)</f>
        <v>Trek Fuel EX 8 29 - 2018</v>
      </c>
      <c r="I4569">
        <f>VLOOKUP(C4569,[1]products!$A:$D,4,FALSE)</f>
        <v>6</v>
      </c>
      <c r="J4569" t="str">
        <f>VLOOKUP(I4569,[2]categories!$A$1:$B$8,2,FALSE)</f>
        <v>Mountain Bikes</v>
      </c>
    </row>
    <row r="4570" customHeight="1" spans="1:10">
      <c r="A4570" s="1">
        <v>1563</v>
      </c>
      <c r="B4570" s="1">
        <v>1</v>
      </c>
      <c r="C4570" s="1">
        <v>188</v>
      </c>
      <c r="D4570" s="1">
        <v>1</v>
      </c>
      <c r="E4570" s="1">
        <v>3499.99</v>
      </c>
      <c r="F4570" s="1">
        <v>0.07</v>
      </c>
      <c r="G4570">
        <f t="shared" si="71"/>
        <v>3499.92</v>
      </c>
      <c r="H4570" t="str">
        <f>VLOOKUP(C4570,[1]products!$A:$B,2,FALSE)</f>
        <v>Trek XM700+ Lowstep - 2018</v>
      </c>
      <c r="I4570">
        <f>VLOOKUP(C4570,[1]products!$A:$D,4,FALSE)</f>
        <v>5</v>
      </c>
      <c r="J4570" t="str">
        <f>VLOOKUP(I4570,[2]categories!$A$1:$B$8,2,FALSE)</f>
        <v>Electric Bikes</v>
      </c>
    </row>
    <row r="4571" customHeight="1" spans="1:10">
      <c r="A4571" s="1">
        <v>1564</v>
      </c>
      <c r="B4571" s="1">
        <v>1</v>
      </c>
      <c r="C4571" s="1">
        <v>309</v>
      </c>
      <c r="D4571" s="1">
        <v>1</v>
      </c>
      <c r="E4571" s="1">
        <v>899.99</v>
      </c>
      <c r="F4571" s="1">
        <v>0.07</v>
      </c>
      <c r="G4571">
        <f t="shared" si="71"/>
        <v>899.92</v>
      </c>
      <c r="H4571" t="str">
        <f>VLOOKUP(C4571,[1]products!$A:$B,2,FALSE)</f>
        <v>Electra Townie Commute 27D - 2018</v>
      </c>
      <c r="I4571">
        <f>VLOOKUP(C4571,[1]products!$A:$D,4,FALSE)</f>
        <v>2</v>
      </c>
      <c r="J4571" t="str">
        <f>VLOOKUP(I4571,[2]categories!$A$1:$B$8,2,FALSE)</f>
        <v>Comfort Bicycles</v>
      </c>
    </row>
    <row r="4572" customHeight="1" spans="1:10">
      <c r="A4572" s="1">
        <v>1564</v>
      </c>
      <c r="B4572" s="1">
        <v>2</v>
      </c>
      <c r="C4572" s="1">
        <v>14</v>
      </c>
      <c r="D4572" s="1">
        <v>1</v>
      </c>
      <c r="E4572" s="1">
        <v>269.99</v>
      </c>
      <c r="F4572" s="1">
        <v>0.1</v>
      </c>
      <c r="G4572">
        <f t="shared" si="71"/>
        <v>269.89</v>
      </c>
      <c r="H4572" t="str">
        <f>VLOOKUP(C4572,[1]products!$A:$B,2,FALSE)</f>
        <v>Electra Girl's Hawaii 1 (16-inch) - 2015/2016</v>
      </c>
      <c r="I4572">
        <f>VLOOKUP(C4572,[1]products!$A:$D,4,FALSE)</f>
        <v>3</v>
      </c>
      <c r="J4572" t="str">
        <f>VLOOKUP(I4572,[2]categories!$A$1:$B$8,2,FALSE)</f>
        <v>Cruisers Bicycles</v>
      </c>
    </row>
    <row r="4573" customHeight="1" spans="1:10">
      <c r="A4573" s="1">
        <v>1565</v>
      </c>
      <c r="B4573" s="1">
        <v>1</v>
      </c>
      <c r="C4573" s="1">
        <v>37</v>
      </c>
      <c r="D4573" s="1">
        <v>1</v>
      </c>
      <c r="E4573" s="1">
        <v>379.99</v>
      </c>
      <c r="F4573" s="1">
        <v>0.07</v>
      </c>
      <c r="G4573">
        <f t="shared" si="71"/>
        <v>379.92</v>
      </c>
      <c r="H4573" t="str">
        <f>VLOOKUP(C4573,[1]products!$A:$B,2,FALSE)</f>
        <v>Haro Flightline One ST - 2017</v>
      </c>
      <c r="I4573">
        <f>VLOOKUP(C4573,[1]products!$A:$D,4,FALSE)</f>
        <v>6</v>
      </c>
      <c r="J4573" t="str">
        <f>VLOOKUP(I4573,[2]categories!$A$1:$B$8,2,FALSE)</f>
        <v>Mountain Bikes</v>
      </c>
    </row>
    <row r="4574" customHeight="1" spans="1:10">
      <c r="A4574" s="1">
        <v>1565</v>
      </c>
      <c r="B4574" s="1">
        <v>2</v>
      </c>
      <c r="C4574" s="1">
        <v>92</v>
      </c>
      <c r="D4574" s="1">
        <v>1</v>
      </c>
      <c r="E4574" s="1">
        <v>209.99</v>
      </c>
      <c r="F4574" s="1">
        <v>0.1</v>
      </c>
      <c r="G4574">
        <f t="shared" si="71"/>
        <v>209.89</v>
      </c>
      <c r="H4574" t="str">
        <f>VLOOKUP(C4574,[1]products!$A:$B,2,FALSE)</f>
        <v>Haro Shredder 20 - 2017</v>
      </c>
      <c r="I4574">
        <f>VLOOKUP(C4574,[1]products!$A:$D,4,FALSE)</f>
        <v>1</v>
      </c>
      <c r="J4574" t="str">
        <f>VLOOKUP(I4574,[2]categories!$A$1:$B$8,2,FALSE)</f>
        <v>Children Bicycles</v>
      </c>
    </row>
    <row r="4575" customHeight="1" spans="1:10">
      <c r="A4575" s="1">
        <v>1565</v>
      </c>
      <c r="B4575" s="1">
        <v>3</v>
      </c>
      <c r="C4575" s="1">
        <v>261</v>
      </c>
      <c r="D4575" s="1">
        <v>1</v>
      </c>
      <c r="E4575" s="1">
        <v>899.99</v>
      </c>
      <c r="F4575" s="1">
        <v>0.1</v>
      </c>
      <c r="G4575">
        <f t="shared" si="71"/>
        <v>899.89</v>
      </c>
      <c r="H4575" t="str">
        <f>VLOOKUP(C4575,[1]products!$A:$B,2,FALSE)</f>
        <v>Electra Townie Balloon 7i EQ - 2018</v>
      </c>
      <c r="I4575">
        <f>VLOOKUP(C4575,[1]products!$A:$D,4,FALSE)</f>
        <v>3</v>
      </c>
      <c r="J4575" t="str">
        <f>VLOOKUP(I4575,[2]categories!$A$1:$B$8,2,FALSE)</f>
        <v>Cruisers Bicycles</v>
      </c>
    </row>
    <row r="4576" customHeight="1" spans="1:10">
      <c r="A4576" s="1">
        <v>1565</v>
      </c>
      <c r="B4576" s="1">
        <v>4</v>
      </c>
      <c r="C4576" s="1">
        <v>95</v>
      </c>
      <c r="D4576" s="1">
        <v>1</v>
      </c>
      <c r="E4576" s="1">
        <v>299.99</v>
      </c>
      <c r="F4576" s="1">
        <v>0.07</v>
      </c>
      <c r="G4576">
        <f t="shared" si="71"/>
        <v>299.92</v>
      </c>
      <c r="H4576" t="str">
        <f>VLOOKUP(C4576,[1]products!$A:$B,2,FALSE)</f>
        <v>Electra Girl's Hawaii 1 16" - 2017</v>
      </c>
      <c r="I4576">
        <f>VLOOKUP(C4576,[1]products!$A:$D,4,FALSE)</f>
        <v>1</v>
      </c>
      <c r="J4576" t="str">
        <f>VLOOKUP(I4576,[2]categories!$A$1:$B$8,2,FALSE)</f>
        <v>Children Bicycles</v>
      </c>
    </row>
    <row r="4577" customHeight="1" spans="1:10">
      <c r="A4577" s="1">
        <v>1565</v>
      </c>
      <c r="B4577" s="1">
        <v>5</v>
      </c>
      <c r="C4577" s="1">
        <v>226</v>
      </c>
      <c r="D4577" s="1">
        <v>2</v>
      </c>
      <c r="E4577" s="1">
        <v>679.99</v>
      </c>
      <c r="F4577" s="1">
        <v>0.2</v>
      </c>
      <c r="G4577">
        <f t="shared" si="71"/>
        <v>1359.78</v>
      </c>
      <c r="H4577" t="str">
        <f>VLOOKUP(C4577,[1]products!$A:$B,2,FALSE)</f>
        <v>Electra Townie Original 21D EQ - 2017/2018</v>
      </c>
      <c r="I4577">
        <f>VLOOKUP(C4577,[1]products!$A:$D,4,FALSE)</f>
        <v>3</v>
      </c>
      <c r="J4577" t="str">
        <f>VLOOKUP(I4577,[2]categories!$A$1:$B$8,2,FALSE)</f>
        <v>Cruisers Bicycles</v>
      </c>
    </row>
    <row r="4578" customHeight="1" spans="1:10">
      <c r="A4578" s="1">
        <v>1566</v>
      </c>
      <c r="B4578" s="1">
        <v>1</v>
      </c>
      <c r="C4578" s="1">
        <v>179</v>
      </c>
      <c r="D4578" s="1">
        <v>1</v>
      </c>
      <c r="E4578" s="1">
        <v>919.99</v>
      </c>
      <c r="F4578" s="1">
        <v>0.05</v>
      </c>
      <c r="G4578">
        <f t="shared" si="71"/>
        <v>919.94</v>
      </c>
      <c r="H4578" t="str">
        <f>VLOOKUP(C4578,[1]products!$A:$B,2,FALSE)</f>
        <v>Trek Domane AL 3 - 2018</v>
      </c>
      <c r="I4578">
        <f>VLOOKUP(C4578,[1]products!$A:$D,4,FALSE)</f>
        <v>7</v>
      </c>
      <c r="J4578" t="str">
        <f>VLOOKUP(I4578,[2]categories!$A$1:$B$8,2,FALSE)</f>
        <v>Road Bikes</v>
      </c>
    </row>
    <row r="4579" customHeight="1" spans="1:10">
      <c r="A4579" s="1">
        <v>1566</v>
      </c>
      <c r="B4579" s="1">
        <v>2</v>
      </c>
      <c r="C4579" s="1">
        <v>61</v>
      </c>
      <c r="D4579" s="1">
        <v>2</v>
      </c>
      <c r="E4579" s="1">
        <v>4999.99</v>
      </c>
      <c r="F4579" s="1">
        <v>0.05</v>
      </c>
      <c r="G4579">
        <f t="shared" si="71"/>
        <v>9999.93</v>
      </c>
      <c r="H4579" t="str">
        <f>VLOOKUP(C4579,[1]products!$A:$B,2,FALSE)</f>
        <v>Trek Powerfly 8 FS Plus - 2017</v>
      </c>
      <c r="I4579">
        <f>VLOOKUP(C4579,[1]products!$A:$D,4,FALSE)</f>
        <v>5</v>
      </c>
      <c r="J4579" t="str">
        <f>VLOOKUP(I4579,[2]categories!$A$1:$B$8,2,FALSE)</f>
        <v>Electric Bikes</v>
      </c>
    </row>
    <row r="4580" customHeight="1" spans="1:10">
      <c r="A4580" s="1">
        <v>1567</v>
      </c>
      <c r="B4580" s="1">
        <v>1</v>
      </c>
      <c r="C4580" s="1">
        <v>279</v>
      </c>
      <c r="D4580" s="1">
        <v>1</v>
      </c>
      <c r="E4580" s="1">
        <v>319.99</v>
      </c>
      <c r="F4580" s="1">
        <v>0.2</v>
      </c>
      <c r="G4580">
        <f t="shared" si="71"/>
        <v>319.79</v>
      </c>
      <c r="H4580" t="str">
        <f>VLOOKUP(C4580,[1]products!$A:$B,2,FALSE)</f>
        <v>Trek Precaliber 24 7-speed Girl's - 2018</v>
      </c>
      <c r="I4580">
        <f>VLOOKUP(C4580,[1]products!$A:$D,4,FALSE)</f>
        <v>1</v>
      </c>
      <c r="J4580" t="str">
        <f>VLOOKUP(I4580,[2]categories!$A$1:$B$8,2,FALSE)</f>
        <v>Children Bicycles</v>
      </c>
    </row>
    <row r="4581" customHeight="1" spans="1:10">
      <c r="A4581" s="1">
        <v>1568</v>
      </c>
      <c r="B4581" s="1">
        <v>1</v>
      </c>
      <c r="C4581" s="1">
        <v>146</v>
      </c>
      <c r="D4581" s="1">
        <v>1</v>
      </c>
      <c r="E4581" s="1">
        <v>4999.99</v>
      </c>
      <c r="F4581" s="1">
        <v>0.2</v>
      </c>
      <c r="G4581">
        <f t="shared" si="71"/>
        <v>4999.79</v>
      </c>
      <c r="H4581" t="str">
        <f>VLOOKUP(C4581,[1]products!$A:$B,2,FALSE)</f>
        <v>Trek Domane SLR 6 - 2018</v>
      </c>
      <c r="I4581">
        <f>VLOOKUP(C4581,[1]products!$A:$D,4,FALSE)</f>
        <v>7</v>
      </c>
      <c r="J4581" t="str">
        <f>VLOOKUP(I4581,[2]categories!$A$1:$B$8,2,FALSE)</f>
        <v>Road Bikes</v>
      </c>
    </row>
    <row r="4582" customHeight="1" spans="1:10">
      <c r="A4582" s="1">
        <v>1568</v>
      </c>
      <c r="B4582" s="1">
        <v>2</v>
      </c>
      <c r="C4582" s="1">
        <v>105</v>
      </c>
      <c r="D4582" s="1">
        <v>1</v>
      </c>
      <c r="E4582" s="1">
        <v>533.99</v>
      </c>
      <c r="F4582" s="1">
        <v>0.07</v>
      </c>
      <c r="G4582">
        <f t="shared" si="71"/>
        <v>533.92</v>
      </c>
      <c r="H4582" t="str">
        <f>VLOOKUP(C4582,[1]products!$A:$B,2,FALSE)</f>
        <v>Sun Bicycles Streamway 7 - 2017</v>
      </c>
      <c r="I4582">
        <f>VLOOKUP(C4582,[1]products!$A:$D,4,FALSE)</f>
        <v>2</v>
      </c>
      <c r="J4582" t="str">
        <f>VLOOKUP(I4582,[2]categories!$A$1:$B$8,2,FALSE)</f>
        <v>Comfort Bicycles</v>
      </c>
    </row>
    <row r="4583" customHeight="1" spans="1:10">
      <c r="A4583" s="1">
        <v>1568</v>
      </c>
      <c r="B4583" s="1">
        <v>3</v>
      </c>
      <c r="C4583" s="1">
        <v>301</v>
      </c>
      <c r="D4583" s="1">
        <v>1</v>
      </c>
      <c r="E4583" s="1">
        <v>899.99</v>
      </c>
      <c r="F4583" s="1">
        <v>0.1</v>
      </c>
      <c r="G4583">
        <f t="shared" si="71"/>
        <v>899.89</v>
      </c>
      <c r="H4583" t="str">
        <f>VLOOKUP(C4583,[1]products!$A:$B,2,FALSE)</f>
        <v>Electra Townie Balloon 7i EQ - 2018</v>
      </c>
      <c r="I4583">
        <f>VLOOKUP(C4583,[1]products!$A:$D,4,FALSE)</f>
        <v>2</v>
      </c>
      <c r="J4583" t="str">
        <f>VLOOKUP(I4583,[2]categories!$A$1:$B$8,2,FALSE)</f>
        <v>Comfort Bicycles</v>
      </c>
    </row>
    <row r="4584" customHeight="1" spans="1:10">
      <c r="A4584" s="1">
        <v>1569</v>
      </c>
      <c r="B4584" s="1">
        <v>1</v>
      </c>
      <c r="C4584" s="1">
        <v>252</v>
      </c>
      <c r="D4584" s="1">
        <v>1</v>
      </c>
      <c r="E4584" s="1">
        <v>2999.99</v>
      </c>
      <c r="F4584" s="1">
        <v>0.1</v>
      </c>
      <c r="G4584">
        <f t="shared" si="71"/>
        <v>2999.89</v>
      </c>
      <c r="H4584" t="str">
        <f>VLOOKUP(C4584,[1]products!$A:$B,2,FALSE)</f>
        <v>Electra Townie Commute Go! Ladies' - 2018</v>
      </c>
      <c r="I4584">
        <f>VLOOKUP(C4584,[1]products!$A:$D,4,FALSE)</f>
        <v>3</v>
      </c>
      <c r="J4584" t="str">
        <f>VLOOKUP(I4584,[2]categories!$A$1:$B$8,2,FALSE)</f>
        <v>Cruisers Bicycles</v>
      </c>
    </row>
    <row r="4585" customHeight="1" spans="1:10">
      <c r="A4585" s="1">
        <v>1570</v>
      </c>
      <c r="B4585" s="1">
        <v>1</v>
      </c>
      <c r="C4585" s="1">
        <v>155</v>
      </c>
      <c r="D4585" s="1">
        <v>1</v>
      </c>
      <c r="E4585" s="1">
        <v>11999.99</v>
      </c>
      <c r="F4585" s="1">
        <v>0.07</v>
      </c>
      <c r="G4585">
        <f t="shared" si="71"/>
        <v>11999.92</v>
      </c>
      <c r="H4585" t="str">
        <f>VLOOKUP(C4585,[1]products!$A:$B,2,FALSE)</f>
        <v>Trek Domane SLR 9 Disc - 2018</v>
      </c>
      <c r="I4585">
        <f>VLOOKUP(C4585,[1]products!$A:$D,4,FALSE)</f>
        <v>7</v>
      </c>
      <c r="J4585" t="str">
        <f>VLOOKUP(I4585,[2]categories!$A$1:$B$8,2,FALSE)</f>
        <v>Road Bikes</v>
      </c>
    </row>
    <row r="4586" customHeight="1" spans="1:10">
      <c r="A4586" s="1">
        <v>1571</v>
      </c>
      <c r="B4586" s="1">
        <v>1</v>
      </c>
      <c r="C4586" s="1">
        <v>312</v>
      </c>
      <c r="D4586" s="1">
        <v>2</v>
      </c>
      <c r="E4586" s="1">
        <v>699.99</v>
      </c>
      <c r="F4586" s="1">
        <v>0.1</v>
      </c>
      <c r="G4586">
        <f t="shared" si="71"/>
        <v>1399.88</v>
      </c>
      <c r="H4586" t="str">
        <f>VLOOKUP(C4586,[1]products!$A:$B,2,FALSE)</f>
        <v>Electra Townie Commute 8D Ladies' - 2018</v>
      </c>
      <c r="I4586">
        <f>VLOOKUP(C4586,[1]products!$A:$D,4,FALSE)</f>
        <v>2</v>
      </c>
      <c r="J4586" t="str">
        <f>VLOOKUP(I4586,[2]categories!$A$1:$B$8,2,FALSE)</f>
        <v>Comfort Bicycles</v>
      </c>
    </row>
    <row r="4587" customHeight="1" spans="1:10">
      <c r="A4587" s="1">
        <v>1571</v>
      </c>
      <c r="B4587" s="1">
        <v>2</v>
      </c>
      <c r="C4587" s="1">
        <v>212</v>
      </c>
      <c r="D4587" s="1">
        <v>1</v>
      </c>
      <c r="E4587" s="1">
        <v>559.99</v>
      </c>
      <c r="F4587" s="1">
        <v>0.07</v>
      </c>
      <c r="G4587">
        <f t="shared" si="71"/>
        <v>559.92</v>
      </c>
      <c r="H4587" t="str">
        <f>VLOOKUP(C4587,[1]products!$A:$B,2,FALSE)</f>
        <v>Electra Townie Original 21D - 2018</v>
      </c>
      <c r="I4587">
        <f>VLOOKUP(C4587,[1]products!$A:$D,4,FALSE)</f>
        <v>3</v>
      </c>
      <c r="J4587" t="str">
        <f>VLOOKUP(I4587,[2]categories!$A$1:$B$8,2,FALSE)</f>
        <v>Cruisers Bicycles</v>
      </c>
    </row>
    <row r="4588" customHeight="1" spans="1:10">
      <c r="A4588" s="1">
        <v>1571</v>
      </c>
      <c r="B4588" s="1">
        <v>3</v>
      </c>
      <c r="C4588" s="1">
        <v>20</v>
      </c>
      <c r="D4588" s="1">
        <v>2</v>
      </c>
      <c r="E4588" s="1">
        <v>599.99</v>
      </c>
      <c r="F4588" s="1">
        <v>0.2</v>
      </c>
      <c r="G4588">
        <f t="shared" si="71"/>
        <v>1199.78</v>
      </c>
      <c r="H4588" t="str">
        <f>VLOOKUP(C4588,[1]products!$A:$B,2,FALSE)</f>
        <v>Electra Townie Original 7D EQ - Women's - 2016</v>
      </c>
      <c r="I4588">
        <f>VLOOKUP(C4588,[1]products!$A:$D,4,FALSE)</f>
        <v>3</v>
      </c>
      <c r="J4588" t="str">
        <f>VLOOKUP(I4588,[2]categories!$A$1:$B$8,2,FALSE)</f>
        <v>Cruisers Bicycles</v>
      </c>
    </row>
    <row r="4589" customHeight="1" spans="1:10">
      <c r="A4589" s="1">
        <v>1572</v>
      </c>
      <c r="B4589" s="1">
        <v>1</v>
      </c>
      <c r="C4589" s="1">
        <v>216</v>
      </c>
      <c r="D4589" s="1">
        <v>2</v>
      </c>
      <c r="E4589" s="1">
        <v>899.99</v>
      </c>
      <c r="F4589" s="1">
        <v>0.05</v>
      </c>
      <c r="G4589">
        <f t="shared" si="71"/>
        <v>1799.93</v>
      </c>
      <c r="H4589" t="str">
        <f>VLOOKUP(C4589,[1]products!$A:$B,2,FALSE)</f>
        <v>Electra Super Moto 8i - 2018</v>
      </c>
      <c r="I4589">
        <f>VLOOKUP(C4589,[1]products!$A:$D,4,FALSE)</f>
        <v>3</v>
      </c>
      <c r="J4589" t="str">
        <f>VLOOKUP(I4589,[2]categories!$A$1:$B$8,2,FALSE)</f>
        <v>Cruisers Bicycles</v>
      </c>
    </row>
    <row r="4590" customHeight="1" spans="1:10">
      <c r="A4590" s="1">
        <v>1572</v>
      </c>
      <c r="B4590" s="1">
        <v>2</v>
      </c>
      <c r="C4590" s="1">
        <v>198</v>
      </c>
      <c r="D4590" s="1">
        <v>1</v>
      </c>
      <c r="E4590" s="1">
        <v>2999.99</v>
      </c>
      <c r="F4590" s="1">
        <v>0.2</v>
      </c>
      <c r="G4590">
        <f t="shared" si="71"/>
        <v>2999.79</v>
      </c>
      <c r="H4590" t="str">
        <f>VLOOKUP(C4590,[1]products!$A:$B,2,FALSE)</f>
        <v>Electra Townie Commute Go! - 2018</v>
      </c>
      <c r="I4590">
        <f>VLOOKUP(C4590,[1]products!$A:$D,4,FALSE)</f>
        <v>5</v>
      </c>
      <c r="J4590" t="str">
        <f>VLOOKUP(I4590,[2]categories!$A$1:$B$8,2,FALSE)</f>
        <v>Electric Bikes</v>
      </c>
    </row>
    <row r="4591" customHeight="1" spans="1:10">
      <c r="A4591" s="1">
        <v>1572</v>
      </c>
      <c r="B4591" s="1">
        <v>3</v>
      </c>
      <c r="C4591" s="1">
        <v>115</v>
      </c>
      <c r="D4591" s="1">
        <v>1</v>
      </c>
      <c r="E4591" s="1">
        <v>3199.99</v>
      </c>
      <c r="F4591" s="1">
        <v>0.05</v>
      </c>
      <c r="G4591">
        <f t="shared" si="71"/>
        <v>3199.94</v>
      </c>
      <c r="H4591" t="str">
        <f>VLOOKUP(C4591,[1]products!$A:$B,2,FALSE)</f>
        <v>Trek Fuel EX 8 29 - 2018</v>
      </c>
      <c r="I4591">
        <f>VLOOKUP(C4591,[1]products!$A:$D,4,FALSE)</f>
        <v>6</v>
      </c>
      <c r="J4591" t="str">
        <f>VLOOKUP(I4591,[2]categories!$A$1:$B$8,2,FALSE)</f>
        <v>Mountain Bikes</v>
      </c>
    </row>
    <row r="4592" customHeight="1" spans="1:10">
      <c r="A4592" s="1">
        <v>1572</v>
      </c>
      <c r="B4592" s="1">
        <v>4</v>
      </c>
      <c r="C4592" s="1">
        <v>304</v>
      </c>
      <c r="D4592" s="1">
        <v>2</v>
      </c>
      <c r="E4592" s="1">
        <v>679.99</v>
      </c>
      <c r="F4592" s="1">
        <v>0.2</v>
      </c>
      <c r="G4592">
        <f t="shared" si="71"/>
        <v>1359.78</v>
      </c>
      <c r="H4592" t="str">
        <f>VLOOKUP(C4592,[1]products!$A:$B,2,FALSE)</f>
        <v>Electra Townie Original 21D EQ - 2017/2018</v>
      </c>
      <c r="I4592">
        <f>VLOOKUP(C4592,[1]products!$A:$D,4,FALSE)</f>
        <v>2</v>
      </c>
      <c r="J4592" t="str">
        <f>VLOOKUP(I4592,[2]categories!$A$1:$B$8,2,FALSE)</f>
        <v>Comfort Bicycles</v>
      </c>
    </row>
    <row r="4593" customHeight="1" spans="1:10">
      <c r="A4593" s="1">
        <v>1573</v>
      </c>
      <c r="B4593" s="1">
        <v>1</v>
      </c>
      <c r="C4593" s="1">
        <v>9</v>
      </c>
      <c r="D4593" s="1">
        <v>1</v>
      </c>
      <c r="E4593" s="1">
        <v>2999.99</v>
      </c>
      <c r="F4593" s="1">
        <v>0.05</v>
      </c>
      <c r="G4593">
        <f t="shared" si="71"/>
        <v>2999.94</v>
      </c>
      <c r="H4593" t="str">
        <f>VLOOKUP(C4593,[1]products!$A:$B,2,FALSE)</f>
        <v>Trek Conduit+ - 2016</v>
      </c>
      <c r="I4593">
        <f>VLOOKUP(C4593,[1]products!$A:$D,4,FALSE)</f>
        <v>5</v>
      </c>
      <c r="J4593" t="str">
        <f>VLOOKUP(I4593,[2]categories!$A$1:$B$8,2,FALSE)</f>
        <v>Electric Bikes</v>
      </c>
    </row>
    <row r="4594" customHeight="1" spans="1:10">
      <c r="A4594" s="1">
        <v>1573</v>
      </c>
      <c r="B4594" s="1">
        <v>2</v>
      </c>
      <c r="C4594" s="1">
        <v>129</v>
      </c>
      <c r="D4594" s="1">
        <v>1</v>
      </c>
      <c r="E4594" s="1">
        <v>919.99</v>
      </c>
      <c r="F4594" s="1">
        <v>0.07</v>
      </c>
      <c r="G4594">
        <f t="shared" si="71"/>
        <v>919.92</v>
      </c>
      <c r="H4594" t="str">
        <f>VLOOKUP(C4594,[1]products!$A:$B,2,FALSE)</f>
        <v>Trek X-Caliber 7 - 2018</v>
      </c>
      <c r="I4594">
        <f>VLOOKUP(C4594,[1]products!$A:$D,4,FALSE)</f>
        <v>6</v>
      </c>
      <c r="J4594" t="str">
        <f>VLOOKUP(I4594,[2]categories!$A$1:$B$8,2,FALSE)</f>
        <v>Mountain Bikes</v>
      </c>
    </row>
    <row r="4595" customHeight="1" spans="1:10">
      <c r="A4595" s="1">
        <v>1573</v>
      </c>
      <c r="B4595" s="1">
        <v>3</v>
      </c>
      <c r="C4595" s="1">
        <v>15</v>
      </c>
      <c r="D4595" s="1">
        <v>2</v>
      </c>
      <c r="E4595" s="1">
        <v>529.99</v>
      </c>
      <c r="F4595" s="1">
        <v>0.1</v>
      </c>
      <c r="G4595">
        <f t="shared" si="71"/>
        <v>1059.88</v>
      </c>
      <c r="H4595" t="str">
        <f>VLOOKUP(C4595,[1]products!$A:$B,2,FALSE)</f>
        <v>Electra Moto 1 - 2016</v>
      </c>
      <c r="I4595">
        <f>VLOOKUP(C4595,[1]products!$A:$D,4,FALSE)</f>
        <v>3</v>
      </c>
      <c r="J4595" t="str">
        <f>VLOOKUP(I4595,[2]categories!$A$1:$B$8,2,FALSE)</f>
        <v>Cruisers Bicycles</v>
      </c>
    </row>
    <row r="4596" customHeight="1" spans="1:10">
      <c r="A4596" s="1">
        <v>1573</v>
      </c>
      <c r="B4596" s="1">
        <v>4</v>
      </c>
      <c r="C4596" s="1">
        <v>216</v>
      </c>
      <c r="D4596" s="1">
        <v>2</v>
      </c>
      <c r="E4596" s="1">
        <v>899.99</v>
      </c>
      <c r="F4596" s="1">
        <v>0.07</v>
      </c>
      <c r="G4596">
        <f t="shared" si="71"/>
        <v>1799.91</v>
      </c>
      <c r="H4596" t="str">
        <f>VLOOKUP(C4596,[1]products!$A:$B,2,FALSE)</f>
        <v>Electra Super Moto 8i - 2018</v>
      </c>
      <c r="I4596">
        <f>VLOOKUP(C4596,[1]products!$A:$D,4,FALSE)</f>
        <v>3</v>
      </c>
      <c r="J4596" t="str">
        <f>VLOOKUP(I4596,[2]categories!$A$1:$B$8,2,FALSE)</f>
        <v>Cruisers Bicycles</v>
      </c>
    </row>
    <row r="4597" customHeight="1" spans="1:10">
      <c r="A4597" s="1">
        <v>1573</v>
      </c>
      <c r="B4597" s="1">
        <v>5</v>
      </c>
      <c r="C4597" s="1">
        <v>263</v>
      </c>
      <c r="D4597" s="1">
        <v>2</v>
      </c>
      <c r="E4597" s="1">
        <v>89.99</v>
      </c>
      <c r="F4597" s="1">
        <v>0.1</v>
      </c>
      <c r="G4597">
        <f t="shared" si="71"/>
        <v>179.88</v>
      </c>
      <c r="H4597" t="str">
        <f>VLOOKUP(C4597,[1]products!$A:$B,2,FALSE)</f>
        <v>Strider Classic 12 Balance Bike - 2018</v>
      </c>
      <c r="I4597">
        <f>VLOOKUP(C4597,[1]products!$A:$D,4,FALSE)</f>
        <v>1</v>
      </c>
      <c r="J4597" t="str">
        <f>VLOOKUP(I4597,[2]categories!$A$1:$B$8,2,FALSE)</f>
        <v>Children Bicycles</v>
      </c>
    </row>
    <row r="4598" customHeight="1" spans="1:10">
      <c r="A4598" s="1">
        <v>1574</v>
      </c>
      <c r="B4598" s="1">
        <v>1</v>
      </c>
      <c r="C4598" s="1">
        <v>127</v>
      </c>
      <c r="D4598" s="1">
        <v>1</v>
      </c>
      <c r="E4598" s="1">
        <v>469.99</v>
      </c>
      <c r="F4598" s="1">
        <v>0.1</v>
      </c>
      <c r="G4598">
        <f t="shared" si="71"/>
        <v>469.89</v>
      </c>
      <c r="H4598" t="str">
        <f>VLOOKUP(C4598,[1]products!$A:$B,2,FALSE)</f>
        <v>Surly Pack Rat Frameset - 2018</v>
      </c>
      <c r="I4598">
        <f>VLOOKUP(C4598,[1]products!$A:$D,4,FALSE)</f>
        <v>6</v>
      </c>
      <c r="J4598" t="str">
        <f>VLOOKUP(I4598,[2]categories!$A$1:$B$8,2,FALSE)</f>
        <v>Mountain Bikes</v>
      </c>
    </row>
    <row r="4599" customHeight="1" spans="1:10">
      <c r="A4599" s="1">
        <v>1575</v>
      </c>
      <c r="B4599" s="1">
        <v>1</v>
      </c>
      <c r="C4599" s="1">
        <v>44</v>
      </c>
      <c r="D4599" s="1">
        <v>1</v>
      </c>
      <c r="E4599" s="1">
        <v>539.99</v>
      </c>
      <c r="F4599" s="1">
        <v>0.07</v>
      </c>
      <c r="G4599">
        <f t="shared" si="71"/>
        <v>539.92</v>
      </c>
      <c r="H4599" t="str">
        <f>VLOOKUP(C4599,[1]products!$A:$B,2,FALSE)</f>
        <v>Haro SR 1.1 - 2017</v>
      </c>
      <c r="I4599">
        <f>VLOOKUP(C4599,[1]products!$A:$D,4,FALSE)</f>
        <v>6</v>
      </c>
      <c r="J4599" t="str">
        <f>VLOOKUP(I4599,[2]categories!$A$1:$B$8,2,FALSE)</f>
        <v>Mountain Bikes</v>
      </c>
    </row>
    <row r="4600" customHeight="1" spans="1:10">
      <c r="A4600" s="1">
        <v>1575</v>
      </c>
      <c r="B4600" s="1">
        <v>2</v>
      </c>
      <c r="C4600" s="1">
        <v>207</v>
      </c>
      <c r="D4600" s="1">
        <v>2</v>
      </c>
      <c r="E4600" s="1">
        <v>3999.99</v>
      </c>
      <c r="F4600" s="1">
        <v>0.1</v>
      </c>
      <c r="G4600">
        <f t="shared" si="71"/>
        <v>7999.88</v>
      </c>
      <c r="H4600" t="str">
        <f>VLOOKUP(C4600,[1]products!$A:$B,2,FALSE)</f>
        <v>Trek Boone 7 Disc - 2018</v>
      </c>
      <c r="I4600">
        <f>VLOOKUP(C4600,[1]products!$A:$D,4,FALSE)</f>
        <v>4</v>
      </c>
      <c r="J4600" t="str">
        <f>VLOOKUP(I4600,[2]categories!$A$1:$B$8,2,FALSE)</f>
        <v>Cyclocross Bicycles</v>
      </c>
    </row>
    <row r="4601" customHeight="1" spans="1:10">
      <c r="A4601" s="1">
        <v>1575</v>
      </c>
      <c r="B4601" s="1">
        <v>3</v>
      </c>
      <c r="C4601" s="1">
        <v>213</v>
      </c>
      <c r="D4601" s="1">
        <v>1</v>
      </c>
      <c r="E4601" s="1">
        <v>269.99</v>
      </c>
      <c r="F4601" s="1">
        <v>0.07</v>
      </c>
      <c r="G4601">
        <f t="shared" si="71"/>
        <v>269.92</v>
      </c>
      <c r="H4601" t="str">
        <f>VLOOKUP(C4601,[1]products!$A:$B,2,FALSE)</f>
        <v>Electra Cruiser 1 - 2016/2017/2018</v>
      </c>
      <c r="I4601">
        <f>VLOOKUP(C4601,[1]products!$A:$D,4,FALSE)</f>
        <v>3</v>
      </c>
      <c r="J4601" t="str">
        <f>VLOOKUP(I4601,[2]categories!$A$1:$B$8,2,FALSE)</f>
        <v>Cruisers Bicycles</v>
      </c>
    </row>
    <row r="4602" customHeight="1" spans="1:10">
      <c r="A4602" s="1">
        <v>1575</v>
      </c>
      <c r="B4602" s="1">
        <v>4</v>
      </c>
      <c r="C4602" s="1">
        <v>126</v>
      </c>
      <c r="D4602" s="1">
        <v>2</v>
      </c>
      <c r="E4602" s="1">
        <v>469.99</v>
      </c>
      <c r="F4602" s="1">
        <v>0.05</v>
      </c>
      <c r="G4602">
        <f t="shared" si="71"/>
        <v>939.93</v>
      </c>
      <c r="H4602" t="str">
        <f>VLOOKUP(C4602,[1]products!$A:$B,2,FALSE)</f>
        <v>Surly Big Fat Dummy Frameset - 2018</v>
      </c>
      <c r="I4602">
        <f>VLOOKUP(C4602,[1]products!$A:$D,4,FALSE)</f>
        <v>6</v>
      </c>
      <c r="J4602" t="str">
        <f>VLOOKUP(I4602,[2]categories!$A$1:$B$8,2,FALSE)</f>
        <v>Mountain Bikes</v>
      </c>
    </row>
    <row r="4603" customHeight="1" spans="1:10">
      <c r="A4603" s="1">
        <v>1575</v>
      </c>
      <c r="B4603" s="1">
        <v>5</v>
      </c>
      <c r="C4603" s="1">
        <v>92</v>
      </c>
      <c r="D4603" s="1">
        <v>2</v>
      </c>
      <c r="E4603" s="1">
        <v>209.99</v>
      </c>
      <c r="F4603" s="1">
        <v>0.2</v>
      </c>
      <c r="G4603">
        <f t="shared" si="71"/>
        <v>419.78</v>
      </c>
      <c r="H4603" t="str">
        <f>VLOOKUP(C4603,[1]products!$A:$B,2,FALSE)</f>
        <v>Haro Shredder 20 - 2017</v>
      </c>
      <c r="I4603">
        <f>VLOOKUP(C4603,[1]products!$A:$D,4,FALSE)</f>
        <v>1</v>
      </c>
      <c r="J4603" t="str">
        <f>VLOOKUP(I4603,[2]categories!$A$1:$B$8,2,FALSE)</f>
        <v>Children Bicycles</v>
      </c>
    </row>
    <row r="4604" customHeight="1" spans="1:10">
      <c r="A4604" s="1">
        <v>1576</v>
      </c>
      <c r="B4604" s="1">
        <v>1</v>
      </c>
      <c r="C4604" s="1">
        <v>69</v>
      </c>
      <c r="D4604" s="1">
        <v>1</v>
      </c>
      <c r="E4604" s="1">
        <v>416.99</v>
      </c>
      <c r="F4604" s="1">
        <v>0.05</v>
      </c>
      <c r="G4604">
        <f t="shared" si="71"/>
        <v>416.94</v>
      </c>
      <c r="H4604" t="str">
        <f>VLOOKUP(C4604,[1]products!$A:$B,2,FALSE)</f>
        <v>Sun Bicycles Cruz 7 - 2017</v>
      </c>
      <c r="I4604">
        <f>VLOOKUP(C4604,[1]products!$A:$D,4,FALSE)</f>
        <v>3</v>
      </c>
      <c r="J4604" t="str">
        <f>VLOOKUP(I4604,[2]categories!$A$1:$B$8,2,FALSE)</f>
        <v>Cruisers Bicycles</v>
      </c>
    </row>
    <row r="4605" customHeight="1" spans="1:10">
      <c r="A4605" s="1">
        <v>1576</v>
      </c>
      <c r="B4605" s="1">
        <v>2</v>
      </c>
      <c r="C4605" s="1">
        <v>293</v>
      </c>
      <c r="D4605" s="1">
        <v>1</v>
      </c>
      <c r="E4605" s="1">
        <v>319.99</v>
      </c>
      <c r="F4605" s="1">
        <v>0.05</v>
      </c>
      <c r="G4605">
        <f t="shared" si="71"/>
        <v>319.94</v>
      </c>
      <c r="H4605" t="str">
        <f>VLOOKUP(C4605,[1]products!$A:$B,2,FALSE)</f>
        <v>Electra Tiger Shark 1 (20-inch) - Boys' - 2018</v>
      </c>
      <c r="I4605">
        <f>VLOOKUP(C4605,[1]products!$A:$D,4,FALSE)</f>
        <v>1</v>
      </c>
      <c r="J4605" t="str">
        <f>VLOOKUP(I4605,[2]categories!$A$1:$B$8,2,FALSE)</f>
        <v>Children Bicycles</v>
      </c>
    </row>
    <row r="4606" customHeight="1" spans="1:10">
      <c r="A4606" s="1">
        <v>1576</v>
      </c>
      <c r="B4606" s="1">
        <v>3</v>
      </c>
      <c r="C4606" s="1">
        <v>202</v>
      </c>
      <c r="D4606" s="1">
        <v>2</v>
      </c>
      <c r="E4606" s="1">
        <v>3499.99</v>
      </c>
      <c r="F4606" s="1">
        <v>0.05</v>
      </c>
      <c r="G4606">
        <f t="shared" si="71"/>
        <v>6999.93</v>
      </c>
      <c r="H4606" t="str">
        <f>VLOOKUP(C4606,[1]products!$A:$B,2,FALSE)</f>
        <v>Trek Powerfly 5 Women's - 2018</v>
      </c>
      <c r="I4606">
        <f>VLOOKUP(C4606,[1]products!$A:$D,4,FALSE)</f>
        <v>5</v>
      </c>
      <c r="J4606" t="str">
        <f>VLOOKUP(I4606,[2]categories!$A$1:$B$8,2,FALSE)</f>
        <v>Electric Bikes</v>
      </c>
    </row>
    <row r="4607" customHeight="1" spans="1:10">
      <c r="A4607" s="1">
        <v>1577</v>
      </c>
      <c r="B4607" s="1">
        <v>1</v>
      </c>
      <c r="C4607" s="1">
        <v>298</v>
      </c>
      <c r="D4607" s="1">
        <v>2</v>
      </c>
      <c r="E4607" s="1">
        <v>279.99</v>
      </c>
      <c r="F4607" s="1">
        <v>0.05</v>
      </c>
      <c r="G4607">
        <f t="shared" si="71"/>
        <v>559.93</v>
      </c>
      <c r="H4607" t="str">
        <f>VLOOKUP(C4607,[1]products!$A:$B,2,FALSE)</f>
        <v>Electra Water Lily 1 (16-inch) - Girl's - 2018</v>
      </c>
      <c r="I4607">
        <f>VLOOKUP(C4607,[1]products!$A:$D,4,FALSE)</f>
        <v>1</v>
      </c>
      <c r="J4607" t="str">
        <f>VLOOKUP(I4607,[2]categories!$A$1:$B$8,2,FALSE)</f>
        <v>Children Bicycles</v>
      </c>
    </row>
    <row r="4608" customHeight="1" spans="1:10">
      <c r="A4608" s="1">
        <v>1577</v>
      </c>
      <c r="B4608" s="1">
        <v>2</v>
      </c>
      <c r="C4608" s="1">
        <v>111</v>
      </c>
      <c r="D4608" s="1">
        <v>2</v>
      </c>
      <c r="E4608" s="1">
        <v>470.99</v>
      </c>
      <c r="F4608" s="1">
        <v>0.1</v>
      </c>
      <c r="G4608">
        <f t="shared" si="71"/>
        <v>941.88</v>
      </c>
      <c r="H4608" t="str">
        <f>VLOOKUP(C4608,[1]products!$A:$B,2,FALSE)</f>
        <v>Sun Bicycles Drifter 7 - Women's - 2017</v>
      </c>
      <c r="I4608">
        <f>VLOOKUP(C4608,[1]products!$A:$D,4,FALSE)</f>
        <v>2</v>
      </c>
      <c r="J4608" t="str">
        <f>VLOOKUP(I4608,[2]categories!$A$1:$B$8,2,FALSE)</f>
        <v>Comfort Bicycles</v>
      </c>
    </row>
    <row r="4609" customHeight="1" spans="1:10">
      <c r="A4609" s="1">
        <v>1577</v>
      </c>
      <c r="B4609" s="1">
        <v>3</v>
      </c>
      <c r="C4609" s="1">
        <v>300</v>
      </c>
      <c r="D4609" s="1">
        <v>2</v>
      </c>
      <c r="E4609" s="1">
        <v>799.99</v>
      </c>
      <c r="F4609" s="1">
        <v>0.2</v>
      </c>
      <c r="G4609">
        <f t="shared" si="71"/>
        <v>1599.78</v>
      </c>
      <c r="H4609" t="str">
        <f>VLOOKUP(C4609,[1]products!$A:$B,2,FALSE)</f>
        <v>Electra Townie Balloon 3i EQ Ladies' - 2018</v>
      </c>
      <c r="I4609">
        <f>VLOOKUP(C4609,[1]products!$A:$D,4,FALSE)</f>
        <v>2</v>
      </c>
      <c r="J4609" t="str">
        <f>VLOOKUP(I4609,[2]categories!$A$1:$B$8,2,FALSE)</f>
        <v>Comfort Bicycles</v>
      </c>
    </row>
    <row r="4610" customHeight="1" spans="1:10">
      <c r="A4610" s="1">
        <v>1577</v>
      </c>
      <c r="B4610" s="1">
        <v>4</v>
      </c>
      <c r="C4610" s="1">
        <v>131</v>
      </c>
      <c r="D4610" s="1">
        <v>2</v>
      </c>
      <c r="E4610" s="1">
        <v>2599</v>
      </c>
      <c r="F4610" s="1">
        <v>0.07</v>
      </c>
      <c r="G4610">
        <f t="shared" si="71"/>
        <v>5197.93</v>
      </c>
      <c r="H4610" t="str">
        <f>VLOOKUP(C4610,[1]products!$A:$B,2,FALSE)</f>
        <v>Heller Bloodhound Trail - 2018</v>
      </c>
      <c r="I4610">
        <f>VLOOKUP(C4610,[1]products!$A:$D,4,FALSE)</f>
        <v>6</v>
      </c>
      <c r="J4610" t="str">
        <f>VLOOKUP(I4610,[2]categories!$A$1:$B$8,2,FALSE)</f>
        <v>Mountain Bikes</v>
      </c>
    </row>
    <row r="4611" customHeight="1" spans="1:10">
      <c r="A4611" s="1">
        <v>1577</v>
      </c>
      <c r="B4611" s="1">
        <v>5</v>
      </c>
      <c r="C4611" s="1">
        <v>282</v>
      </c>
      <c r="D4611" s="1">
        <v>2</v>
      </c>
      <c r="E4611" s="1">
        <v>279.99</v>
      </c>
      <c r="F4611" s="1">
        <v>0.05</v>
      </c>
      <c r="G4611">
        <f t="shared" ref="G4611:G4674" si="72">(E4611*D4611)-F4611</f>
        <v>559.93</v>
      </c>
      <c r="H4611" t="str">
        <f>VLOOKUP(C4611,[1]products!$A:$B,2,FALSE)</f>
        <v>Electra Cyclosaurus 1 (16-inch) - Boy's - 2018</v>
      </c>
      <c r="I4611">
        <f>VLOOKUP(C4611,[1]products!$A:$D,4,FALSE)</f>
        <v>1</v>
      </c>
      <c r="J4611" t="str">
        <f>VLOOKUP(I4611,[2]categories!$A$1:$B$8,2,FALSE)</f>
        <v>Children Bicycles</v>
      </c>
    </row>
    <row r="4612" customHeight="1" spans="1:10">
      <c r="A4612" s="1">
        <v>1578</v>
      </c>
      <c r="B4612" s="1">
        <v>1</v>
      </c>
      <c r="C4612" s="1">
        <v>204</v>
      </c>
      <c r="D4612" s="1">
        <v>2</v>
      </c>
      <c r="E4612" s="1">
        <v>3599.99</v>
      </c>
      <c r="F4612" s="1">
        <v>0.07</v>
      </c>
      <c r="G4612">
        <f t="shared" si="72"/>
        <v>7199.91</v>
      </c>
      <c r="H4612" t="str">
        <f>VLOOKUP(C4612,[1]products!$A:$B,2,FALSE)</f>
        <v>Trek Super Commuter+ 7 - 2018</v>
      </c>
      <c r="I4612">
        <f>VLOOKUP(C4612,[1]products!$A:$D,4,FALSE)</f>
        <v>5</v>
      </c>
      <c r="J4612" t="str">
        <f>VLOOKUP(I4612,[2]categories!$A$1:$B$8,2,FALSE)</f>
        <v>Electric Bikes</v>
      </c>
    </row>
    <row r="4613" customHeight="1" spans="1:10">
      <c r="A4613" s="1">
        <v>1578</v>
      </c>
      <c r="B4613" s="1">
        <v>2</v>
      </c>
      <c r="C4613" s="1">
        <v>310</v>
      </c>
      <c r="D4613" s="1">
        <v>1</v>
      </c>
      <c r="E4613" s="1">
        <v>899.99</v>
      </c>
      <c r="F4613" s="1">
        <v>0.05</v>
      </c>
      <c r="G4613">
        <f t="shared" si="72"/>
        <v>899.94</v>
      </c>
      <c r="H4613" t="str">
        <f>VLOOKUP(C4613,[1]products!$A:$B,2,FALSE)</f>
        <v>Electra Townie Commute 27D Ladies - 2018</v>
      </c>
      <c r="I4613">
        <f>VLOOKUP(C4613,[1]products!$A:$D,4,FALSE)</f>
        <v>2</v>
      </c>
      <c r="J4613" t="str">
        <f>VLOOKUP(I4613,[2]categories!$A$1:$B$8,2,FALSE)</f>
        <v>Comfort Bicycles</v>
      </c>
    </row>
    <row r="4614" customHeight="1" spans="1:10">
      <c r="A4614" s="1">
        <v>1578</v>
      </c>
      <c r="B4614" s="1">
        <v>3</v>
      </c>
      <c r="C4614" s="1">
        <v>241</v>
      </c>
      <c r="D4614" s="1">
        <v>2</v>
      </c>
      <c r="E4614" s="1">
        <v>749.99</v>
      </c>
      <c r="F4614" s="1">
        <v>0.2</v>
      </c>
      <c r="G4614">
        <f t="shared" si="72"/>
        <v>1499.78</v>
      </c>
      <c r="H4614" t="str">
        <f>VLOOKUP(C4614,[1]products!$A:$B,2,FALSE)</f>
        <v>Electra Townie Commute 8D - 2018</v>
      </c>
      <c r="I4614">
        <f>VLOOKUP(C4614,[1]products!$A:$D,4,FALSE)</f>
        <v>3</v>
      </c>
      <c r="J4614" t="str">
        <f>VLOOKUP(I4614,[2]categories!$A$1:$B$8,2,FALSE)</f>
        <v>Cruisers Bicycles</v>
      </c>
    </row>
    <row r="4615" customHeight="1" spans="1:10">
      <c r="A4615" s="1">
        <v>1579</v>
      </c>
      <c r="B4615" s="1">
        <v>1</v>
      </c>
      <c r="C4615" s="1">
        <v>49</v>
      </c>
      <c r="D4615" s="1">
        <v>1</v>
      </c>
      <c r="E4615" s="1">
        <v>3499.99</v>
      </c>
      <c r="F4615" s="1">
        <v>0.05</v>
      </c>
      <c r="G4615">
        <f t="shared" si="72"/>
        <v>3499.94</v>
      </c>
      <c r="H4615" t="str">
        <f>VLOOKUP(C4615,[1]products!$A:$B,2,FALSE)</f>
        <v>Trek Domane SL 6 - 2017</v>
      </c>
      <c r="I4615">
        <f>VLOOKUP(C4615,[1]products!$A:$D,4,FALSE)</f>
        <v>7</v>
      </c>
      <c r="J4615" t="str">
        <f>VLOOKUP(I4615,[2]categories!$A$1:$B$8,2,FALSE)</f>
        <v>Road Bikes</v>
      </c>
    </row>
    <row r="4616" customHeight="1" spans="1:10">
      <c r="A4616" s="1">
        <v>1579</v>
      </c>
      <c r="B4616" s="1">
        <v>2</v>
      </c>
      <c r="C4616" s="1">
        <v>214</v>
      </c>
      <c r="D4616" s="1">
        <v>1</v>
      </c>
      <c r="E4616" s="1">
        <v>899.99</v>
      </c>
      <c r="F4616" s="1">
        <v>0.1</v>
      </c>
      <c r="G4616">
        <f t="shared" si="72"/>
        <v>899.89</v>
      </c>
      <c r="H4616" t="str">
        <f>VLOOKUP(C4616,[1]products!$A:$B,2,FALSE)</f>
        <v>Electra Tiger Shark 3i - 2018</v>
      </c>
      <c r="I4616">
        <f>VLOOKUP(C4616,[1]products!$A:$D,4,FALSE)</f>
        <v>3</v>
      </c>
      <c r="J4616" t="str">
        <f>VLOOKUP(I4616,[2]categories!$A$1:$B$8,2,FALSE)</f>
        <v>Cruisers Bicycles</v>
      </c>
    </row>
    <row r="4617" customHeight="1" spans="1:10">
      <c r="A4617" s="1">
        <v>1579</v>
      </c>
      <c r="B4617" s="1">
        <v>3</v>
      </c>
      <c r="C4617" s="1">
        <v>286</v>
      </c>
      <c r="D4617" s="1">
        <v>1</v>
      </c>
      <c r="E4617" s="1">
        <v>279.99</v>
      </c>
      <c r="F4617" s="1">
        <v>0.07</v>
      </c>
      <c r="G4617">
        <f t="shared" si="72"/>
        <v>279.92</v>
      </c>
      <c r="H4617" t="str">
        <f>VLOOKUP(C4617,[1]products!$A:$B,2,FALSE)</f>
        <v>Electra Starship 1 16" - 2018</v>
      </c>
      <c r="I4617">
        <f>VLOOKUP(C4617,[1]products!$A:$D,4,FALSE)</f>
        <v>1</v>
      </c>
      <c r="J4617" t="str">
        <f>VLOOKUP(I4617,[2]categories!$A$1:$B$8,2,FALSE)</f>
        <v>Children Bicycles</v>
      </c>
    </row>
    <row r="4618" customHeight="1" spans="1:10">
      <c r="A4618" s="1">
        <v>1579</v>
      </c>
      <c r="B4618" s="1">
        <v>4</v>
      </c>
      <c r="C4618" s="1">
        <v>65</v>
      </c>
      <c r="D4618" s="1">
        <v>2</v>
      </c>
      <c r="E4618" s="1">
        <v>346.99</v>
      </c>
      <c r="F4618" s="1">
        <v>0.1</v>
      </c>
      <c r="G4618">
        <f t="shared" si="72"/>
        <v>693.88</v>
      </c>
      <c r="H4618" t="str">
        <f>VLOOKUP(C4618,[1]products!$A:$B,2,FALSE)</f>
        <v>Sun Bicycles Lil Bolt Type-R - 2017</v>
      </c>
      <c r="I4618">
        <f>VLOOKUP(C4618,[1]products!$A:$D,4,FALSE)</f>
        <v>3</v>
      </c>
      <c r="J4618" t="str">
        <f>VLOOKUP(I4618,[2]categories!$A$1:$B$8,2,FALSE)</f>
        <v>Cruisers Bicycles</v>
      </c>
    </row>
    <row r="4619" customHeight="1" spans="1:10">
      <c r="A4619" s="1">
        <v>1580</v>
      </c>
      <c r="B4619" s="1">
        <v>1</v>
      </c>
      <c r="C4619" s="1">
        <v>119</v>
      </c>
      <c r="D4619" s="1">
        <v>2</v>
      </c>
      <c r="E4619" s="1">
        <v>469.99</v>
      </c>
      <c r="F4619" s="1">
        <v>0.07</v>
      </c>
      <c r="G4619">
        <f t="shared" si="72"/>
        <v>939.91</v>
      </c>
      <c r="H4619" t="str">
        <f>VLOOKUP(C4619,[1]products!$A:$B,2,FALSE)</f>
        <v>Trek Kids' Neko - 2018</v>
      </c>
      <c r="I4619">
        <f>VLOOKUP(C4619,[1]products!$A:$D,4,FALSE)</f>
        <v>6</v>
      </c>
      <c r="J4619" t="str">
        <f>VLOOKUP(I4619,[2]categories!$A$1:$B$8,2,FALSE)</f>
        <v>Mountain Bikes</v>
      </c>
    </row>
    <row r="4620" customHeight="1" spans="1:10">
      <c r="A4620" s="1">
        <v>1580</v>
      </c>
      <c r="B4620" s="1">
        <v>2</v>
      </c>
      <c r="C4620" s="1">
        <v>86</v>
      </c>
      <c r="D4620" s="1">
        <v>2</v>
      </c>
      <c r="E4620" s="1">
        <v>149.99</v>
      </c>
      <c r="F4620" s="1">
        <v>0.2</v>
      </c>
      <c r="G4620">
        <f t="shared" si="72"/>
        <v>299.78</v>
      </c>
      <c r="H4620" t="str">
        <f>VLOOKUP(C4620,[1]products!$A:$B,2,FALSE)</f>
        <v>Trek Girl's Kickster - 2017</v>
      </c>
      <c r="I4620">
        <f>VLOOKUP(C4620,[1]products!$A:$D,4,FALSE)</f>
        <v>1</v>
      </c>
      <c r="J4620" t="str">
        <f>VLOOKUP(I4620,[2]categories!$A$1:$B$8,2,FALSE)</f>
        <v>Children Bicycles</v>
      </c>
    </row>
    <row r="4621" customHeight="1" spans="1:10">
      <c r="A4621" s="1">
        <v>1581</v>
      </c>
      <c r="B4621" s="1">
        <v>1</v>
      </c>
      <c r="C4621" s="1">
        <v>64</v>
      </c>
      <c r="D4621" s="1">
        <v>1</v>
      </c>
      <c r="E4621" s="1">
        <v>489.99</v>
      </c>
      <c r="F4621" s="1">
        <v>0.1</v>
      </c>
      <c r="G4621">
        <f t="shared" si="72"/>
        <v>489.89</v>
      </c>
      <c r="H4621" t="str">
        <f>VLOOKUP(C4621,[1]products!$A:$B,2,FALSE)</f>
        <v>Electra Townie Original 7D - 2017</v>
      </c>
      <c r="I4621">
        <f>VLOOKUP(C4621,[1]products!$A:$D,4,FALSE)</f>
        <v>3</v>
      </c>
      <c r="J4621" t="str">
        <f>VLOOKUP(I4621,[2]categories!$A$1:$B$8,2,FALSE)</f>
        <v>Cruisers Bicycles</v>
      </c>
    </row>
    <row r="4622" customHeight="1" spans="1:10">
      <c r="A4622" s="1">
        <v>1581</v>
      </c>
      <c r="B4622" s="1">
        <v>2</v>
      </c>
      <c r="C4622" s="1">
        <v>272</v>
      </c>
      <c r="D4622" s="1">
        <v>1</v>
      </c>
      <c r="E4622" s="1">
        <v>289.99</v>
      </c>
      <c r="F4622" s="1">
        <v>0.2</v>
      </c>
      <c r="G4622">
        <f t="shared" si="72"/>
        <v>289.79</v>
      </c>
      <c r="H4622" t="str">
        <f>VLOOKUP(C4622,[1]products!$A:$B,2,FALSE)</f>
        <v>Trek Precaliber 20 6-speed Boy's - 2018</v>
      </c>
      <c r="I4622">
        <f>VLOOKUP(C4622,[1]products!$A:$D,4,FALSE)</f>
        <v>1</v>
      </c>
      <c r="J4622" t="str">
        <f>VLOOKUP(I4622,[2]categories!$A$1:$B$8,2,FALSE)</f>
        <v>Children Bicycles</v>
      </c>
    </row>
    <row r="4623" customHeight="1" spans="1:10">
      <c r="A4623" s="1">
        <v>1582</v>
      </c>
      <c r="B4623" s="1">
        <v>1</v>
      </c>
      <c r="C4623" s="1">
        <v>75</v>
      </c>
      <c r="D4623" s="1">
        <v>1</v>
      </c>
      <c r="E4623" s="1">
        <v>599.99</v>
      </c>
      <c r="F4623" s="1">
        <v>0.07</v>
      </c>
      <c r="G4623">
        <f t="shared" si="72"/>
        <v>599.92</v>
      </c>
      <c r="H4623" t="str">
        <f>VLOOKUP(C4623,[1]products!$A:$B,2,FALSE)</f>
        <v>Electra Cruiser Lux Fat Tire 1 Ladies - 2017</v>
      </c>
      <c r="I4623">
        <f>VLOOKUP(C4623,[1]products!$A:$D,4,FALSE)</f>
        <v>3</v>
      </c>
      <c r="J4623" t="str">
        <f>VLOOKUP(I4623,[2]categories!$A$1:$B$8,2,FALSE)</f>
        <v>Cruisers Bicycles</v>
      </c>
    </row>
    <row r="4624" customHeight="1" spans="1:10">
      <c r="A4624" s="1">
        <v>1582</v>
      </c>
      <c r="B4624" s="1">
        <v>2</v>
      </c>
      <c r="C4624" s="1">
        <v>133</v>
      </c>
      <c r="D4624" s="1">
        <v>2</v>
      </c>
      <c r="E4624" s="1">
        <v>1499.99</v>
      </c>
      <c r="F4624" s="1">
        <v>0.07</v>
      </c>
      <c r="G4624">
        <f t="shared" si="72"/>
        <v>2999.91</v>
      </c>
      <c r="H4624" t="str">
        <f>VLOOKUP(C4624,[1]products!$A:$B,2,FALSE)</f>
        <v>Trek Procaliber Frameset - 2018</v>
      </c>
      <c r="I4624">
        <f>VLOOKUP(C4624,[1]products!$A:$D,4,FALSE)</f>
        <v>6</v>
      </c>
      <c r="J4624" t="str">
        <f>VLOOKUP(I4624,[2]categories!$A$1:$B$8,2,FALSE)</f>
        <v>Mountain Bikes</v>
      </c>
    </row>
    <row r="4625" customHeight="1" spans="1:10">
      <c r="A4625" s="1">
        <v>1583</v>
      </c>
      <c r="B4625" s="1">
        <v>1</v>
      </c>
      <c r="C4625" s="1">
        <v>15</v>
      </c>
      <c r="D4625" s="1">
        <v>1</v>
      </c>
      <c r="E4625" s="1">
        <v>529.99</v>
      </c>
      <c r="F4625" s="1">
        <v>0.05</v>
      </c>
      <c r="G4625">
        <f t="shared" si="72"/>
        <v>529.94</v>
      </c>
      <c r="H4625" t="str">
        <f>VLOOKUP(C4625,[1]products!$A:$B,2,FALSE)</f>
        <v>Electra Moto 1 - 2016</v>
      </c>
      <c r="I4625">
        <f>VLOOKUP(C4625,[1]products!$A:$D,4,FALSE)</f>
        <v>3</v>
      </c>
      <c r="J4625" t="str">
        <f>VLOOKUP(I4625,[2]categories!$A$1:$B$8,2,FALSE)</f>
        <v>Cruisers Bicycles</v>
      </c>
    </row>
    <row r="4626" customHeight="1" spans="1:10">
      <c r="A4626" s="1">
        <v>1583</v>
      </c>
      <c r="B4626" s="1">
        <v>2</v>
      </c>
      <c r="C4626" s="1">
        <v>265</v>
      </c>
      <c r="D4626" s="1">
        <v>2</v>
      </c>
      <c r="E4626" s="1">
        <v>289.99</v>
      </c>
      <c r="F4626" s="1">
        <v>0.2</v>
      </c>
      <c r="G4626">
        <f t="shared" si="72"/>
        <v>579.78</v>
      </c>
      <c r="H4626" t="str">
        <f>VLOOKUP(C4626,[1]products!$A:$B,2,FALSE)</f>
        <v>Strider Strider 20 Sport - 2018</v>
      </c>
      <c r="I4626">
        <f>VLOOKUP(C4626,[1]products!$A:$D,4,FALSE)</f>
        <v>1</v>
      </c>
      <c r="J4626" t="str">
        <f>VLOOKUP(I4626,[2]categories!$A$1:$B$8,2,FALSE)</f>
        <v>Children Bicycles</v>
      </c>
    </row>
    <row r="4627" customHeight="1" spans="1:10">
      <c r="A4627" s="1">
        <v>1584</v>
      </c>
      <c r="B4627" s="1">
        <v>1</v>
      </c>
      <c r="C4627" s="1">
        <v>45</v>
      </c>
      <c r="D4627" s="1">
        <v>2</v>
      </c>
      <c r="E4627" s="1">
        <v>869.99</v>
      </c>
      <c r="F4627" s="1">
        <v>0.1</v>
      </c>
      <c r="G4627">
        <f t="shared" si="72"/>
        <v>1739.88</v>
      </c>
      <c r="H4627" t="str">
        <f>VLOOKUP(C4627,[1]products!$A:$B,2,FALSE)</f>
        <v>Haro SR 1.2 - 2017</v>
      </c>
      <c r="I4627">
        <f>VLOOKUP(C4627,[1]products!$A:$D,4,FALSE)</f>
        <v>6</v>
      </c>
      <c r="J4627" t="str">
        <f>VLOOKUP(I4627,[2]categories!$A$1:$B$8,2,FALSE)</f>
        <v>Mountain Bikes</v>
      </c>
    </row>
    <row r="4628" customHeight="1" spans="1:10">
      <c r="A4628" s="1">
        <v>1584</v>
      </c>
      <c r="B4628" s="1">
        <v>2</v>
      </c>
      <c r="C4628" s="1">
        <v>216</v>
      </c>
      <c r="D4628" s="1">
        <v>2</v>
      </c>
      <c r="E4628" s="1">
        <v>899.99</v>
      </c>
      <c r="F4628" s="1">
        <v>0.1</v>
      </c>
      <c r="G4628">
        <f t="shared" si="72"/>
        <v>1799.88</v>
      </c>
      <c r="H4628" t="str">
        <f>VLOOKUP(C4628,[1]products!$A:$B,2,FALSE)</f>
        <v>Electra Super Moto 8i - 2018</v>
      </c>
      <c r="I4628">
        <f>VLOOKUP(C4628,[1]products!$A:$D,4,FALSE)</f>
        <v>3</v>
      </c>
      <c r="J4628" t="str">
        <f>VLOOKUP(I4628,[2]categories!$A$1:$B$8,2,FALSE)</f>
        <v>Cruisers Bicycles</v>
      </c>
    </row>
    <row r="4629" customHeight="1" spans="1:10">
      <c r="A4629" s="1">
        <v>1584</v>
      </c>
      <c r="B4629" s="1">
        <v>3</v>
      </c>
      <c r="C4629" s="1">
        <v>43</v>
      </c>
      <c r="D4629" s="1">
        <v>1</v>
      </c>
      <c r="E4629" s="1">
        <v>5299.99</v>
      </c>
      <c r="F4629" s="1">
        <v>0.2</v>
      </c>
      <c r="G4629">
        <f t="shared" si="72"/>
        <v>5299.79</v>
      </c>
      <c r="H4629" t="str">
        <f>VLOOKUP(C4629,[1]products!$A:$B,2,FALSE)</f>
        <v>Trek Fuel EX 9.8 27.5 Plus - 2017</v>
      </c>
      <c r="I4629">
        <f>VLOOKUP(C4629,[1]products!$A:$D,4,FALSE)</f>
        <v>6</v>
      </c>
      <c r="J4629" t="str">
        <f>VLOOKUP(I4629,[2]categories!$A$1:$B$8,2,FALSE)</f>
        <v>Mountain Bikes</v>
      </c>
    </row>
    <row r="4630" customHeight="1" spans="1:10">
      <c r="A4630" s="1">
        <v>1584</v>
      </c>
      <c r="B4630" s="1">
        <v>4</v>
      </c>
      <c r="C4630" s="1">
        <v>187</v>
      </c>
      <c r="D4630" s="1">
        <v>1</v>
      </c>
      <c r="E4630" s="1">
        <v>2799.99</v>
      </c>
      <c r="F4630" s="1">
        <v>0.1</v>
      </c>
      <c r="G4630">
        <f t="shared" si="72"/>
        <v>2799.89</v>
      </c>
      <c r="H4630" t="str">
        <f>VLOOKUP(C4630,[1]products!$A:$B,2,FALSE)</f>
        <v>Trek Neko+ - 2018</v>
      </c>
      <c r="I4630">
        <f>VLOOKUP(C4630,[1]products!$A:$D,4,FALSE)</f>
        <v>5</v>
      </c>
      <c r="J4630" t="str">
        <f>VLOOKUP(I4630,[2]categories!$A$1:$B$8,2,FALSE)</f>
        <v>Electric Bikes</v>
      </c>
    </row>
    <row r="4631" customHeight="1" spans="1:10">
      <c r="A4631" s="1">
        <v>1584</v>
      </c>
      <c r="B4631" s="1">
        <v>5</v>
      </c>
      <c r="C4631" s="1">
        <v>147</v>
      </c>
      <c r="D4631" s="1">
        <v>2</v>
      </c>
      <c r="E4631" s="1">
        <v>1799.99</v>
      </c>
      <c r="F4631" s="1">
        <v>0.07</v>
      </c>
      <c r="G4631">
        <f t="shared" si="72"/>
        <v>3599.91</v>
      </c>
      <c r="H4631" t="str">
        <f>VLOOKUP(C4631,[1]products!$A:$B,2,FALSE)</f>
        <v>Trek Domane ALR 5 Gravel - 2018</v>
      </c>
      <c r="I4631">
        <f>VLOOKUP(C4631,[1]products!$A:$D,4,FALSE)</f>
        <v>7</v>
      </c>
      <c r="J4631" t="str">
        <f>VLOOKUP(I4631,[2]categories!$A$1:$B$8,2,FALSE)</f>
        <v>Road Bikes</v>
      </c>
    </row>
    <row r="4632" customHeight="1" spans="1:10">
      <c r="A4632" s="1">
        <v>1585</v>
      </c>
      <c r="B4632" s="1">
        <v>1</v>
      </c>
      <c r="C4632" s="1">
        <v>313</v>
      </c>
      <c r="D4632" s="1">
        <v>1</v>
      </c>
      <c r="E4632" s="1">
        <v>449.99</v>
      </c>
      <c r="F4632" s="1">
        <v>0.1</v>
      </c>
      <c r="G4632">
        <f t="shared" si="72"/>
        <v>449.89</v>
      </c>
      <c r="H4632" t="str">
        <f>VLOOKUP(C4632,[1]products!$A:$B,2,FALSE)</f>
        <v>Electra Townie Original 1 Ladies' - 2018</v>
      </c>
      <c r="I4632">
        <f>VLOOKUP(C4632,[1]products!$A:$D,4,FALSE)</f>
        <v>2</v>
      </c>
      <c r="J4632" t="str">
        <f>VLOOKUP(I4632,[2]categories!$A$1:$B$8,2,FALSE)</f>
        <v>Comfort Bicycles</v>
      </c>
    </row>
    <row r="4633" customHeight="1" spans="1:10">
      <c r="A4633" s="1">
        <v>1585</v>
      </c>
      <c r="B4633" s="1">
        <v>2</v>
      </c>
      <c r="C4633" s="1">
        <v>106</v>
      </c>
      <c r="D4633" s="1">
        <v>2</v>
      </c>
      <c r="E4633" s="1">
        <v>449.99</v>
      </c>
      <c r="F4633" s="1">
        <v>0.1</v>
      </c>
      <c r="G4633">
        <f t="shared" si="72"/>
        <v>899.88</v>
      </c>
      <c r="H4633" t="str">
        <f>VLOOKUP(C4633,[1]products!$A:$B,2,FALSE)</f>
        <v>Sun Bicycles Cruz 3 - 2017</v>
      </c>
      <c r="I4633">
        <f>VLOOKUP(C4633,[1]products!$A:$D,4,FALSE)</f>
        <v>2</v>
      </c>
      <c r="J4633" t="str">
        <f>VLOOKUP(I4633,[2]categories!$A$1:$B$8,2,FALSE)</f>
        <v>Comfort Bicycles</v>
      </c>
    </row>
    <row r="4634" customHeight="1" spans="1:10">
      <c r="A4634" s="1">
        <v>1585</v>
      </c>
      <c r="B4634" s="1">
        <v>3</v>
      </c>
      <c r="C4634" s="1">
        <v>207</v>
      </c>
      <c r="D4634" s="1">
        <v>2</v>
      </c>
      <c r="E4634" s="1">
        <v>3999.99</v>
      </c>
      <c r="F4634" s="1">
        <v>0.07</v>
      </c>
      <c r="G4634">
        <f t="shared" si="72"/>
        <v>7999.91</v>
      </c>
      <c r="H4634" t="str">
        <f>VLOOKUP(C4634,[1]products!$A:$B,2,FALSE)</f>
        <v>Trek Boone 7 Disc - 2018</v>
      </c>
      <c r="I4634">
        <f>VLOOKUP(C4634,[1]products!$A:$D,4,FALSE)</f>
        <v>4</v>
      </c>
      <c r="J4634" t="str">
        <f>VLOOKUP(I4634,[2]categories!$A$1:$B$8,2,FALSE)</f>
        <v>Cyclocross Bicycles</v>
      </c>
    </row>
    <row r="4635" customHeight="1" spans="1:10">
      <c r="A4635" s="1">
        <v>1585</v>
      </c>
      <c r="B4635" s="1">
        <v>4</v>
      </c>
      <c r="C4635" s="1">
        <v>95</v>
      </c>
      <c r="D4635" s="1">
        <v>1</v>
      </c>
      <c r="E4635" s="1">
        <v>299.99</v>
      </c>
      <c r="F4635" s="1">
        <v>0.1</v>
      </c>
      <c r="G4635">
        <f t="shared" si="72"/>
        <v>299.89</v>
      </c>
      <c r="H4635" t="str">
        <f>VLOOKUP(C4635,[1]products!$A:$B,2,FALSE)</f>
        <v>Electra Girl's Hawaii 1 16" - 2017</v>
      </c>
      <c r="I4635">
        <f>VLOOKUP(C4635,[1]products!$A:$D,4,FALSE)</f>
        <v>1</v>
      </c>
      <c r="J4635" t="str">
        <f>VLOOKUP(I4635,[2]categories!$A$1:$B$8,2,FALSE)</f>
        <v>Children Bicycles</v>
      </c>
    </row>
    <row r="4636" customHeight="1" spans="1:10">
      <c r="A4636" s="1">
        <v>1585</v>
      </c>
      <c r="B4636" s="1">
        <v>5</v>
      </c>
      <c r="C4636" s="1">
        <v>191</v>
      </c>
      <c r="D4636" s="1">
        <v>1</v>
      </c>
      <c r="E4636" s="1">
        <v>2799.99</v>
      </c>
      <c r="F4636" s="1">
        <v>0.1</v>
      </c>
      <c r="G4636">
        <f t="shared" si="72"/>
        <v>2799.89</v>
      </c>
      <c r="H4636" t="str">
        <f>VLOOKUP(C4636,[1]products!$A:$B,2,FALSE)</f>
        <v>Electra Loft Go! 8i - 2018</v>
      </c>
      <c r="I4636">
        <f>VLOOKUP(C4636,[1]products!$A:$D,4,FALSE)</f>
        <v>5</v>
      </c>
      <c r="J4636" t="str">
        <f>VLOOKUP(I4636,[2]categories!$A$1:$B$8,2,FALSE)</f>
        <v>Electric Bikes</v>
      </c>
    </row>
    <row r="4637" customHeight="1" spans="1:10">
      <c r="A4637" s="1">
        <v>1586</v>
      </c>
      <c r="B4637" s="1">
        <v>1</v>
      </c>
      <c r="C4637" s="1">
        <v>22</v>
      </c>
      <c r="D4637" s="1">
        <v>2</v>
      </c>
      <c r="E4637" s="1">
        <v>269.99</v>
      </c>
      <c r="F4637" s="1">
        <v>0.1</v>
      </c>
      <c r="G4637">
        <f t="shared" si="72"/>
        <v>539.88</v>
      </c>
      <c r="H4637" t="str">
        <f>VLOOKUP(C4637,[1]products!$A:$B,2,FALSE)</f>
        <v>Electra Girl's Hawaii 1 (16-inch) - 2015/2016</v>
      </c>
      <c r="I4637">
        <f>VLOOKUP(C4637,[1]products!$A:$D,4,FALSE)</f>
        <v>1</v>
      </c>
      <c r="J4637" t="str">
        <f>VLOOKUP(I4637,[2]categories!$A$1:$B$8,2,FALSE)</f>
        <v>Children Bicycles</v>
      </c>
    </row>
    <row r="4638" customHeight="1" spans="1:10">
      <c r="A4638" s="1">
        <v>1586</v>
      </c>
      <c r="B4638" s="1">
        <v>2</v>
      </c>
      <c r="C4638" s="1">
        <v>277</v>
      </c>
      <c r="D4638" s="1">
        <v>1</v>
      </c>
      <c r="E4638" s="1">
        <v>369.99</v>
      </c>
      <c r="F4638" s="1">
        <v>0.07</v>
      </c>
      <c r="G4638">
        <f t="shared" si="72"/>
        <v>369.92</v>
      </c>
      <c r="H4638" t="str">
        <f>VLOOKUP(C4638,[1]products!$A:$B,2,FALSE)</f>
        <v>Trek Precaliber 24 21-speed Boy's - 2018</v>
      </c>
      <c r="I4638">
        <f>VLOOKUP(C4638,[1]products!$A:$D,4,FALSE)</f>
        <v>1</v>
      </c>
      <c r="J4638" t="str">
        <f>VLOOKUP(I4638,[2]categories!$A$1:$B$8,2,FALSE)</f>
        <v>Children Bicycles</v>
      </c>
    </row>
    <row r="4639" customHeight="1" spans="1:10">
      <c r="A4639" s="1">
        <v>1586</v>
      </c>
      <c r="B4639" s="1">
        <v>3</v>
      </c>
      <c r="C4639" s="1">
        <v>295</v>
      </c>
      <c r="D4639" s="1">
        <v>1</v>
      </c>
      <c r="E4639" s="1">
        <v>319.99</v>
      </c>
      <c r="F4639" s="1">
        <v>0.05</v>
      </c>
      <c r="G4639">
        <f t="shared" si="72"/>
        <v>319.94</v>
      </c>
      <c r="H4639" t="str">
        <f>VLOOKUP(C4639,[1]products!$A:$B,2,FALSE)</f>
        <v>Electra Treasure 1 20" - 2018</v>
      </c>
      <c r="I4639">
        <f>VLOOKUP(C4639,[1]products!$A:$D,4,FALSE)</f>
        <v>1</v>
      </c>
      <c r="J4639" t="str">
        <f>VLOOKUP(I4639,[2]categories!$A$1:$B$8,2,FALSE)</f>
        <v>Children Bicycles</v>
      </c>
    </row>
    <row r="4640" customHeight="1" spans="1:10">
      <c r="A4640" s="1">
        <v>1586</v>
      </c>
      <c r="B4640" s="1">
        <v>4</v>
      </c>
      <c r="C4640" s="1">
        <v>173</v>
      </c>
      <c r="D4640" s="1">
        <v>1</v>
      </c>
      <c r="E4640" s="1">
        <v>3199.99</v>
      </c>
      <c r="F4640" s="1">
        <v>0.2</v>
      </c>
      <c r="G4640">
        <f t="shared" si="72"/>
        <v>3199.79</v>
      </c>
      <c r="H4640" t="str">
        <f>VLOOKUP(C4640,[1]products!$A:$B,2,FALSE)</f>
        <v>Trek Domane ALR Frameset - 2018</v>
      </c>
      <c r="I4640">
        <f>VLOOKUP(C4640,[1]products!$A:$D,4,FALSE)</f>
        <v>7</v>
      </c>
      <c r="J4640" t="str">
        <f>VLOOKUP(I4640,[2]categories!$A$1:$B$8,2,FALSE)</f>
        <v>Road Bikes</v>
      </c>
    </row>
    <row r="4641" customHeight="1" spans="1:10">
      <c r="A4641" s="1">
        <v>1586</v>
      </c>
      <c r="B4641" s="1">
        <v>5</v>
      </c>
      <c r="C4641" s="1">
        <v>36</v>
      </c>
      <c r="D4641" s="1">
        <v>1</v>
      </c>
      <c r="E4641" s="1">
        <v>832.99</v>
      </c>
      <c r="F4641" s="1">
        <v>0.1</v>
      </c>
      <c r="G4641">
        <f t="shared" si="72"/>
        <v>832.89</v>
      </c>
      <c r="H4641" t="str">
        <f>VLOOKUP(C4641,[1]products!$A:$B,2,FALSE)</f>
        <v>Surly Troll Frameset - 2017</v>
      </c>
      <c r="I4641">
        <f>VLOOKUP(C4641,[1]products!$A:$D,4,FALSE)</f>
        <v>6</v>
      </c>
      <c r="J4641" t="str">
        <f>VLOOKUP(I4641,[2]categories!$A$1:$B$8,2,FALSE)</f>
        <v>Mountain Bikes</v>
      </c>
    </row>
    <row r="4642" customHeight="1" spans="1:10">
      <c r="A4642" s="1">
        <v>1587</v>
      </c>
      <c r="B4642" s="1">
        <v>1</v>
      </c>
      <c r="C4642" s="1">
        <v>104</v>
      </c>
      <c r="D4642" s="1">
        <v>1</v>
      </c>
      <c r="E4642" s="1">
        <v>481.99</v>
      </c>
      <c r="F4642" s="1">
        <v>0.1</v>
      </c>
      <c r="G4642">
        <f t="shared" si="72"/>
        <v>481.89</v>
      </c>
      <c r="H4642" t="str">
        <f>VLOOKUP(C4642,[1]products!$A:$B,2,FALSE)</f>
        <v>Sun Bicycles Streamway - 2017</v>
      </c>
      <c r="I4642">
        <f>VLOOKUP(C4642,[1]products!$A:$D,4,FALSE)</f>
        <v>2</v>
      </c>
      <c r="J4642" t="str">
        <f>VLOOKUP(I4642,[2]categories!$A$1:$B$8,2,FALSE)</f>
        <v>Comfort Bicycles</v>
      </c>
    </row>
    <row r="4643" customHeight="1" spans="1:10">
      <c r="A4643" s="1">
        <v>1587</v>
      </c>
      <c r="B4643" s="1">
        <v>2</v>
      </c>
      <c r="C4643" s="1">
        <v>63</v>
      </c>
      <c r="D4643" s="1">
        <v>2</v>
      </c>
      <c r="E4643" s="1">
        <v>3499.99</v>
      </c>
      <c r="F4643" s="1">
        <v>0.05</v>
      </c>
      <c r="G4643">
        <f t="shared" si="72"/>
        <v>6999.93</v>
      </c>
      <c r="H4643" t="str">
        <f>VLOOKUP(C4643,[1]products!$A:$B,2,FALSE)</f>
        <v>Trek Boone Race Shop Limited - 2017</v>
      </c>
      <c r="I4643">
        <f>VLOOKUP(C4643,[1]products!$A:$D,4,FALSE)</f>
        <v>4</v>
      </c>
      <c r="J4643" t="str">
        <f>VLOOKUP(I4643,[2]categories!$A$1:$B$8,2,FALSE)</f>
        <v>Cyclocross Bicycles</v>
      </c>
    </row>
    <row r="4644" customHeight="1" spans="1:10">
      <c r="A4644" s="1">
        <v>1587</v>
      </c>
      <c r="B4644" s="1">
        <v>3</v>
      </c>
      <c r="C4644" s="1">
        <v>78</v>
      </c>
      <c r="D4644" s="1">
        <v>2</v>
      </c>
      <c r="E4644" s="1">
        <v>647.99</v>
      </c>
      <c r="F4644" s="1">
        <v>0.05</v>
      </c>
      <c r="G4644">
        <f t="shared" si="72"/>
        <v>1295.93</v>
      </c>
      <c r="H4644" t="str">
        <f>VLOOKUP(C4644,[1]products!$A:$B,2,FALSE)</f>
        <v>Sun Bicycles Biscayne Tandem CB - 2017</v>
      </c>
      <c r="I4644">
        <f>VLOOKUP(C4644,[1]products!$A:$D,4,FALSE)</f>
        <v>3</v>
      </c>
      <c r="J4644" t="str">
        <f>VLOOKUP(I4644,[2]categories!$A$1:$B$8,2,FALSE)</f>
        <v>Cruisers Bicycles</v>
      </c>
    </row>
    <row r="4645" customHeight="1" spans="1:10">
      <c r="A4645" s="1">
        <v>1587</v>
      </c>
      <c r="B4645" s="1">
        <v>4</v>
      </c>
      <c r="C4645" s="1">
        <v>300</v>
      </c>
      <c r="D4645" s="1">
        <v>2</v>
      </c>
      <c r="E4645" s="1">
        <v>799.99</v>
      </c>
      <c r="F4645" s="1">
        <v>0.07</v>
      </c>
      <c r="G4645">
        <f t="shared" si="72"/>
        <v>1599.91</v>
      </c>
      <c r="H4645" t="str">
        <f>VLOOKUP(C4645,[1]products!$A:$B,2,FALSE)</f>
        <v>Electra Townie Balloon 3i EQ Ladies' - 2018</v>
      </c>
      <c r="I4645">
        <f>VLOOKUP(C4645,[1]products!$A:$D,4,FALSE)</f>
        <v>2</v>
      </c>
      <c r="J4645" t="str">
        <f>VLOOKUP(I4645,[2]categories!$A$1:$B$8,2,FALSE)</f>
        <v>Comfort Bicycles</v>
      </c>
    </row>
    <row r="4646" customHeight="1" spans="1:10">
      <c r="A4646" s="1">
        <v>1588</v>
      </c>
      <c r="B4646" s="1">
        <v>1</v>
      </c>
      <c r="C4646" s="1">
        <v>93</v>
      </c>
      <c r="D4646" s="1">
        <v>2</v>
      </c>
      <c r="E4646" s="1">
        <v>209.99</v>
      </c>
      <c r="F4646" s="1">
        <v>0.07</v>
      </c>
      <c r="G4646">
        <f t="shared" si="72"/>
        <v>419.91</v>
      </c>
      <c r="H4646" t="str">
        <f>VLOOKUP(C4646,[1]products!$A:$B,2,FALSE)</f>
        <v>Haro Shredder 20 Girls - 2017</v>
      </c>
      <c r="I4646">
        <f>VLOOKUP(C4646,[1]products!$A:$D,4,FALSE)</f>
        <v>1</v>
      </c>
      <c r="J4646" t="str">
        <f>VLOOKUP(I4646,[2]categories!$A$1:$B$8,2,FALSE)</f>
        <v>Children Bicycles</v>
      </c>
    </row>
    <row r="4647" customHeight="1" spans="1:10">
      <c r="A4647" s="1">
        <v>1589</v>
      </c>
      <c r="B4647" s="1">
        <v>1</v>
      </c>
      <c r="C4647" s="1">
        <v>246</v>
      </c>
      <c r="D4647" s="1">
        <v>2</v>
      </c>
      <c r="E4647" s="1">
        <v>639.99</v>
      </c>
      <c r="F4647" s="1">
        <v>0.05</v>
      </c>
      <c r="G4647">
        <f t="shared" si="72"/>
        <v>1279.93</v>
      </c>
      <c r="H4647" t="str">
        <f>VLOOKUP(C4647,[1]products!$A:$B,2,FALSE)</f>
        <v>Electra Townie Original 3i EQ Ladies' - 2018</v>
      </c>
      <c r="I4647">
        <f>VLOOKUP(C4647,[1]products!$A:$D,4,FALSE)</f>
        <v>3</v>
      </c>
      <c r="J4647" t="str">
        <f>VLOOKUP(I4647,[2]categories!$A$1:$B$8,2,FALSE)</f>
        <v>Cruisers Bicycles</v>
      </c>
    </row>
    <row r="4648" customHeight="1" spans="1:10">
      <c r="A4648" s="1">
        <v>1589</v>
      </c>
      <c r="B4648" s="1">
        <v>2</v>
      </c>
      <c r="C4648" s="1">
        <v>260</v>
      </c>
      <c r="D4648" s="1">
        <v>1</v>
      </c>
      <c r="E4648" s="1">
        <v>799.99</v>
      </c>
      <c r="F4648" s="1">
        <v>0.2</v>
      </c>
      <c r="G4648">
        <f t="shared" si="72"/>
        <v>799.79</v>
      </c>
      <c r="H4648" t="str">
        <f>VLOOKUP(C4648,[1]products!$A:$B,2,FALSE)</f>
        <v>Electra Townie Balloon 3i EQ Ladies' - 2018</v>
      </c>
      <c r="I4648">
        <f>VLOOKUP(C4648,[1]products!$A:$D,4,FALSE)</f>
        <v>3</v>
      </c>
      <c r="J4648" t="str">
        <f>VLOOKUP(I4648,[2]categories!$A$1:$B$8,2,FALSE)</f>
        <v>Cruisers Bicycles</v>
      </c>
    </row>
    <row r="4649" customHeight="1" spans="1:10">
      <c r="A4649" s="1">
        <v>1589</v>
      </c>
      <c r="B4649" s="1">
        <v>3</v>
      </c>
      <c r="C4649" s="1">
        <v>28</v>
      </c>
      <c r="D4649" s="1">
        <v>2</v>
      </c>
      <c r="E4649" s="1">
        <v>2499.99</v>
      </c>
      <c r="F4649" s="1">
        <v>0.1</v>
      </c>
      <c r="G4649">
        <f t="shared" si="72"/>
        <v>4999.88</v>
      </c>
      <c r="H4649" t="str">
        <f>VLOOKUP(C4649,[1]products!$A:$B,2,FALSE)</f>
        <v>Surly Karate Monkey 27.5+ Frameset - 2017</v>
      </c>
      <c r="I4649">
        <f>VLOOKUP(C4649,[1]products!$A:$D,4,FALSE)</f>
        <v>6</v>
      </c>
      <c r="J4649" t="str">
        <f>VLOOKUP(I4649,[2]categories!$A$1:$B$8,2,FALSE)</f>
        <v>Mountain Bikes</v>
      </c>
    </row>
    <row r="4650" customHeight="1" spans="1:10">
      <c r="A4650" s="1">
        <v>1590</v>
      </c>
      <c r="B4650" s="1">
        <v>1</v>
      </c>
      <c r="C4650" s="1">
        <v>175</v>
      </c>
      <c r="D4650" s="1">
        <v>2</v>
      </c>
      <c r="E4650" s="1">
        <v>3199.99</v>
      </c>
      <c r="F4650" s="1">
        <v>0.07</v>
      </c>
      <c r="G4650">
        <f t="shared" si="72"/>
        <v>6399.91</v>
      </c>
      <c r="H4650" t="str">
        <f>VLOOKUP(C4650,[1]products!$A:$B,2,FALSE)</f>
        <v>Trek Domane SLR Frameset - 2018</v>
      </c>
      <c r="I4650">
        <f>VLOOKUP(C4650,[1]products!$A:$D,4,FALSE)</f>
        <v>7</v>
      </c>
      <c r="J4650" t="str">
        <f>VLOOKUP(I4650,[2]categories!$A$1:$B$8,2,FALSE)</f>
        <v>Road Bikes</v>
      </c>
    </row>
    <row r="4651" customHeight="1" spans="1:10">
      <c r="A4651" s="1">
        <v>1590</v>
      </c>
      <c r="B4651" s="1">
        <v>2</v>
      </c>
      <c r="C4651" s="1">
        <v>248</v>
      </c>
      <c r="D4651" s="1">
        <v>1</v>
      </c>
      <c r="E4651" s="1">
        <v>599.99</v>
      </c>
      <c r="F4651" s="1">
        <v>0.2</v>
      </c>
      <c r="G4651">
        <f t="shared" si="72"/>
        <v>599.79</v>
      </c>
      <c r="H4651" t="str">
        <f>VLOOKUP(C4651,[1]products!$A:$B,2,FALSE)</f>
        <v>Electra Townie Original 7D EQ Ladies' - 2017/2018</v>
      </c>
      <c r="I4651">
        <f>VLOOKUP(C4651,[1]products!$A:$D,4,FALSE)</f>
        <v>3</v>
      </c>
      <c r="J4651" t="str">
        <f>VLOOKUP(I4651,[2]categories!$A$1:$B$8,2,FALSE)</f>
        <v>Cruisers Bicycles</v>
      </c>
    </row>
    <row r="4652" customHeight="1" spans="1:10">
      <c r="A4652" s="1">
        <v>1590</v>
      </c>
      <c r="B4652" s="1">
        <v>3</v>
      </c>
      <c r="C4652" s="1">
        <v>23</v>
      </c>
      <c r="D4652" s="1">
        <v>1</v>
      </c>
      <c r="E4652" s="1">
        <v>299.99</v>
      </c>
      <c r="F4652" s="1">
        <v>0.07</v>
      </c>
      <c r="G4652">
        <f t="shared" si="72"/>
        <v>299.92</v>
      </c>
      <c r="H4652" t="str">
        <f>VLOOKUP(C4652,[1]products!$A:$B,2,FALSE)</f>
        <v>Electra Girl's Hawaii 1 (20-inch) - 2015/2016</v>
      </c>
      <c r="I4652">
        <f>VLOOKUP(C4652,[1]products!$A:$D,4,FALSE)</f>
        <v>1</v>
      </c>
      <c r="J4652" t="str">
        <f>VLOOKUP(I4652,[2]categories!$A$1:$B$8,2,FALSE)</f>
        <v>Children Bicycles</v>
      </c>
    </row>
    <row r="4653" customHeight="1" spans="1:10">
      <c r="A4653" s="1">
        <v>1591</v>
      </c>
      <c r="B4653" s="1">
        <v>1</v>
      </c>
      <c r="C4653" s="1">
        <v>286</v>
      </c>
      <c r="D4653" s="1">
        <v>2</v>
      </c>
      <c r="E4653" s="1">
        <v>279.99</v>
      </c>
      <c r="F4653" s="1">
        <v>0.2</v>
      </c>
      <c r="G4653">
        <f t="shared" si="72"/>
        <v>559.78</v>
      </c>
      <c r="H4653" t="str">
        <f>VLOOKUP(C4653,[1]products!$A:$B,2,FALSE)</f>
        <v>Electra Starship 1 16" - 2018</v>
      </c>
      <c r="I4653">
        <f>VLOOKUP(C4653,[1]products!$A:$D,4,FALSE)</f>
        <v>1</v>
      </c>
      <c r="J4653" t="str">
        <f>VLOOKUP(I4653,[2]categories!$A$1:$B$8,2,FALSE)</f>
        <v>Children Bicycles</v>
      </c>
    </row>
    <row r="4654" customHeight="1" spans="1:10">
      <c r="A4654" s="1">
        <v>1591</v>
      </c>
      <c r="B4654" s="1">
        <v>2</v>
      </c>
      <c r="C4654" s="1">
        <v>126</v>
      </c>
      <c r="D4654" s="1">
        <v>2</v>
      </c>
      <c r="E4654" s="1">
        <v>469.99</v>
      </c>
      <c r="F4654" s="1">
        <v>0.2</v>
      </c>
      <c r="G4654">
        <f t="shared" si="72"/>
        <v>939.78</v>
      </c>
      <c r="H4654" t="str">
        <f>VLOOKUP(C4654,[1]products!$A:$B,2,FALSE)</f>
        <v>Surly Big Fat Dummy Frameset - 2018</v>
      </c>
      <c r="I4654">
        <f>VLOOKUP(C4654,[1]products!$A:$D,4,FALSE)</f>
        <v>6</v>
      </c>
      <c r="J4654" t="str">
        <f>VLOOKUP(I4654,[2]categories!$A$1:$B$8,2,FALSE)</f>
        <v>Mountain Bikes</v>
      </c>
    </row>
    <row r="4655" customHeight="1" spans="1:10">
      <c r="A4655" s="1">
        <v>1591</v>
      </c>
      <c r="B4655" s="1">
        <v>3</v>
      </c>
      <c r="C4655" s="1">
        <v>97</v>
      </c>
      <c r="D4655" s="1">
        <v>2</v>
      </c>
      <c r="E4655" s="1">
        <v>349.99</v>
      </c>
      <c r="F4655" s="1">
        <v>0.07</v>
      </c>
      <c r="G4655">
        <f t="shared" si="72"/>
        <v>699.91</v>
      </c>
      <c r="H4655" t="str">
        <f>VLOOKUP(C4655,[1]products!$A:$B,2,FALSE)</f>
        <v>Electra Savannah 3i (20-inch) - Girl's - 2017</v>
      </c>
      <c r="I4655">
        <f>VLOOKUP(C4655,[1]products!$A:$D,4,FALSE)</f>
        <v>1</v>
      </c>
      <c r="J4655" t="str">
        <f>VLOOKUP(I4655,[2]categories!$A$1:$B$8,2,FALSE)</f>
        <v>Children Bicycles</v>
      </c>
    </row>
    <row r="4656" customHeight="1" spans="1:10">
      <c r="A4656" s="1">
        <v>1591</v>
      </c>
      <c r="B4656" s="1">
        <v>4</v>
      </c>
      <c r="C4656" s="1">
        <v>138</v>
      </c>
      <c r="D4656" s="1">
        <v>2</v>
      </c>
      <c r="E4656" s="1">
        <v>2249.99</v>
      </c>
      <c r="F4656" s="1">
        <v>0.05</v>
      </c>
      <c r="G4656">
        <f t="shared" si="72"/>
        <v>4499.93</v>
      </c>
      <c r="H4656" t="str">
        <f>VLOOKUP(C4656,[1]products!$A:$B,2,FALSE)</f>
        <v>Trek Fuel EX 5 Plus - 2018</v>
      </c>
      <c r="I4656">
        <f>VLOOKUP(C4656,[1]products!$A:$D,4,FALSE)</f>
        <v>6</v>
      </c>
      <c r="J4656" t="str">
        <f>VLOOKUP(I4656,[2]categories!$A$1:$B$8,2,FALSE)</f>
        <v>Mountain Bikes</v>
      </c>
    </row>
    <row r="4657" customHeight="1" spans="1:10">
      <c r="A4657" s="1">
        <v>1591</v>
      </c>
      <c r="B4657" s="1">
        <v>5</v>
      </c>
      <c r="C4657" s="1">
        <v>265</v>
      </c>
      <c r="D4657" s="1">
        <v>1</v>
      </c>
      <c r="E4657" s="1">
        <v>289.99</v>
      </c>
      <c r="F4657" s="1">
        <v>0.2</v>
      </c>
      <c r="G4657">
        <f t="shared" si="72"/>
        <v>289.79</v>
      </c>
      <c r="H4657" t="str">
        <f>VLOOKUP(C4657,[1]products!$A:$B,2,FALSE)</f>
        <v>Strider Strider 20 Sport - 2018</v>
      </c>
      <c r="I4657">
        <f>VLOOKUP(C4657,[1]products!$A:$D,4,FALSE)</f>
        <v>1</v>
      </c>
      <c r="J4657" t="str">
        <f>VLOOKUP(I4657,[2]categories!$A$1:$B$8,2,FALSE)</f>
        <v>Children Bicycles</v>
      </c>
    </row>
    <row r="4658" customHeight="1" spans="1:10">
      <c r="A4658" s="1">
        <v>1592</v>
      </c>
      <c r="B4658" s="1">
        <v>1</v>
      </c>
      <c r="C4658" s="1">
        <v>211</v>
      </c>
      <c r="D4658" s="1">
        <v>2</v>
      </c>
      <c r="E4658" s="1">
        <v>1549</v>
      </c>
      <c r="F4658" s="1">
        <v>0.05</v>
      </c>
      <c r="G4658">
        <f t="shared" si="72"/>
        <v>3097.95</v>
      </c>
      <c r="H4658" t="str">
        <f>VLOOKUP(C4658,[1]products!$A:$B,2,FALSE)</f>
        <v>Surly Straggler 650b - 2018</v>
      </c>
      <c r="I4658">
        <f>VLOOKUP(C4658,[1]products!$A:$D,4,FALSE)</f>
        <v>4</v>
      </c>
      <c r="J4658" t="str">
        <f>VLOOKUP(I4658,[2]categories!$A$1:$B$8,2,FALSE)</f>
        <v>Cyclocross Bicycles</v>
      </c>
    </row>
    <row r="4659" customHeight="1" spans="1:10">
      <c r="A4659" s="1">
        <v>1592</v>
      </c>
      <c r="B4659" s="1">
        <v>2</v>
      </c>
      <c r="C4659" s="1">
        <v>159</v>
      </c>
      <c r="D4659" s="1">
        <v>1</v>
      </c>
      <c r="E4659" s="1">
        <v>2299.99</v>
      </c>
      <c r="F4659" s="1">
        <v>0.07</v>
      </c>
      <c r="G4659">
        <f t="shared" si="72"/>
        <v>2299.92</v>
      </c>
      <c r="H4659" t="str">
        <f>VLOOKUP(C4659,[1]products!$A:$B,2,FALSE)</f>
        <v>Trek Emonda ALR 6 - 2018</v>
      </c>
      <c r="I4659">
        <f>VLOOKUP(C4659,[1]products!$A:$D,4,FALSE)</f>
        <v>7</v>
      </c>
      <c r="J4659" t="str">
        <f>VLOOKUP(I4659,[2]categories!$A$1:$B$8,2,FALSE)</f>
        <v>Road Bikes</v>
      </c>
    </row>
    <row r="4660" customHeight="1" spans="1:10">
      <c r="A4660" s="1">
        <v>1592</v>
      </c>
      <c r="B4660" s="1">
        <v>3</v>
      </c>
      <c r="C4660" s="1">
        <v>40</v>
      </c>
      <c r="D4660" s="1">
        <v>2</v>
      </c>
      <c r="E4660" s="1">
        <v>4999.99</v>
      </c>
      <c r="F4660" s="1">
        <v>0.07</v>
      </c>
      <c r="G4660">
        <f t="shared" si="72"/>
        <v>9999.91</v>
      </c>
      <c r="H4660" t="str">
        <f>VLOOKUP(C4660,[1]products!$A:$B,2,FALSE)</f>
        <v>Trek Fuel EX 9.8 29 - 2017</v>
      </c>
      <c r="I4660">
        <f>VLOOKUP(C4660,[1]products!$A:$D,4,FALSE)</f>
        <v>6</v>
      </c>
      <c r="J4660" t="str">
        <f>VLOOKUP(I4660,[2]categories!$A$1:$B$8,2,FALSE)</f>
        <v>Mountain Bikes</v>
      </c>
    </row>
    <row r="4661" customHeight="1" spans="1:10">
      <c r="A4661" s="1">
        <v>1592</v>
      </c>
      <c r="B4661" s="1">
        <v>4</v>
      </c>
      <c r="C4661" s="1">
        <v>9</v>
      </c>
      <c r="D4661" s="1">
        <v>1</v>
      </c>
      <c r="E4661" s="1">
        <v>2999.99</v>
      </c>
      <c r="F4661" s="1">
        <v>0.2</v>
      </c>
      <c r="G4661">
        <f t="shared" si="72"/>
        <v>2999.79</v>
      </c>
      <c r="H4661" t="str">
        <f>VLOOKUP(C4661,[1]products!$A:$B,2,FALSE)</f>
        <v>Trek Conduit+ - 2016</v>
      </c>
      <c r="I4661">
        <f>VLOOKUP(C4661,[1]products!$A:$D,4,FALSE)</f>
        <v>5</v>
      </c>
      <c r="J4661" t="str">
        <f>VLOOKUP(I4661,[2]categories!$A$1:$B$8,2,FALSE)</f>
        <v>Electric Bikes</v>
      </c>
    </row>
    <row r="4662" customHeight="1" spans="1:10">
      <c r="A4662" s="1">
        <v>1592</v>
      </c>
      <c r="B4662" s="1">
        <v>5</v>
      </c>
      <c r="C4662" s="1">
        <v>271</v>
      </c>
      <c r="D4662" s="1">
        <v>2</v>
      </c>
      <c r="E4662" s="1">
        <v>209.99</v>
      </c>
      <c r="F4662" s="1">
        <v>0.05</v>
      </c>
      <c r="G4662">
        <f t="shared" si="72"/>
        <v>419.93</v>
      </c>
      <c r="H4662" t="str">
        <f>VLOOKUP(C4662,[1]products!$A:$B,2,FALSE)</f>
        <v>Trek Precaliber 16 Girl's - 2018</v>
      </c>
      <c r="I4662">
        <f>VLOOKUP(C4662,[1]products!$A:$D,4,FALSE)</f>
        <v>1</v>
      </c>
      <c r="J4662" t="str">
        <f>VLOOKUP(I4662,[2]categories!$A$1:$B$8,2,FALSE)</f>
        <v>Children Bicycles</v>
      </c>
    </row>
    <row r="4663" customHeight="1" spans="1:10">
      <c r="A4663" s="1">
        <v>1593</v>
      </c>
      <c r="B4663" s="1">
        <v>1</v>
      </c>
      <c r="C4663" s="1">
        <v>97</v>
      </c>
      <c r="D4663" s="1">
        <v>2</v>
      </c>
      <c r="E4663" s="1">
        <v>349.99</v>
      </c>
      <c r="F4663" s="1">
        <v>0.2</v>
      </c>
      <c r="G4663">
        <f t="shared" si="72"/>
        <v>699.78</v>
      </c>
      <c r="H4663" t="str">
        <f>VLOOKUP(C4663,[1]products!$A:$B,2,FALSE)</f>
        <v>Electra Savannah 3i (20-inch) - Girl's - 2017</v>
      </c>
      <c r="I4663">
        <f>VLOOKUP(C4663,[1]products!$A:$D,4,FALSE)</f>
        <v>1</v>
      </c>
      <c r="J4663" t="str">
        <f>VLOOKUP(I4663,[2]categories!$A$1:$B$8,2,FALSE)</f>
        <v>Children Bicycles</v>
      </c>
    </row>
    <row r="4664" customHeight="1" spans="1:10">
      <c r="A4664" s="1">
        <v>1593</v>
      </c>
      <c r="B4664" s="1">
        <v>2</v>
      </c>
      <c r="C4664" s="1">
        <v>34</v>
      </c>
      <c r="D4664" s="1">
        <v>1</v>
      </c>
      <c r="E4664" s="1">
        <v>469.99</v>
      </c>
      <c r="F4664" s="1">
        <v>0.07</v>
      </c>
      <c r="G4664">
        <f t="shared" si="72"/>
        <v>469.92</v>
      </c>
      <c r="H4664" t="str">
        <f>VLOOKUP(C4664,[1]products!$A:$B,2,FALSE)</f>
        <v>Trek Session DH 27.5 Carbon Frameset - 2017</v>
      </c>
      <c r="I4664">
        <f>VLOOKUP(C4664,[1]products!$A:$D,4,FALSE)</f>
        <v>6</v>
      </c>
      <c r="J4664" t="str">
        <f>VLOOKUP(I4664,[2]categories!$A$1:$B$8,2,FALSE)</f>
        <v>Mountain Bikes</v>
      </c>
    </row>
    <row r="4665" customHeight="1" spans="1:10">
      <c r="A4665" s="1">
        <v>1593</v>
      </c>
      <c r="B4665" s="1">
        <v>3</v>
      </c>
      <c r="C4665" s="1">
        <v>190</v>
      </c>
      <c r="D4665" s="1">
        <v>2</v>
      </c>
      <c r="E4665" s="1">
        <v>2799.99</v>
      </c>
      <c r="F4665" s="1">
        <v>0.1</v>
      </c>
      <c r="G4665">
        <f t="shared" si="72"/>
        <v>5599.88</v>
      </c>
      <c r="H4665" t="str">
        <f>VLOOKUP(C4665,[1]products!$A:$B,2,FALSE)</f>
        <v>Trek Dual Sport+ - 2018</v>
      </c>
      <c r="I4665">
        <f>VLOOKUP(C4665,[1]products!$A:$D,4,FALSE)</f>
        <v>5</v>
      </c>
      <c r="J4665" t="str">
        <f>VLOOKUP(I4665,[2]categories!$A$1:$B$8,2,FALSE)</f>
        <v>Electric Bikes</v>
      </c>
    </row>
    <row r="4666" customHeight="1" spans="1:10">
      <c r="A4666" s="1">
        <v>1593</v>
      </c>
      <c r="B4666" s="1">
        <v>4</v>
      </c>
      <c r="C4666" s="1">
        <v>107</v>
      </c>
      <c r="D4666" s="1">
        <v>1</v>
      </c>
      <c r="E4666" s="1">
        <v>416.99</v>
      </c>
      <c r="F4666" s="1">
        <v>0.05</v>
      </c>
      <c r="G4666">
        <f t="shared" si="72"/>
        <v>416.94</v>
      </c>
      <c r="H4666" t="str">
        <f>VLOOKUP(C4666,[1]products!$A:$B,2,FALSE)</f>
        <v>Sun Bicycles Cruz 7 - 2017</v>
      </c>
      <c r="I4666">
        <f>VLOOKUP(C4666,[1]products!$A:$D,4,FALSE)</f>
        <v>2</v>
      </c>
      <c r="J4666" t="str">
        <f>VLOOKUP(I4666,[2]categories!$A$1:$B$8,2,FALSE)</f>
        <v>Comfort Bicycles</v>
      </c>
    </row>
    <row r="4667" customHeight="1" spans="1:10">
      <c r="A4667" s="1">
        <v>1593</v>
      </c>
      <c r="B4667" s="1">
        <v>5</v>
      </c>
      <c r="C4667" s="1">
        <v>169</v>
      </c>
      <c r="D4667" s="1">
        <v>2</v>
      </c>
      <c r="E4667" s="1">
        <v>6499.99</v>
      </c>
      <c r="F4667" s="1">
        <v>0.07</v>
      </c>
      <c r="G4667">
        <f t="shared" si="72"/>
        <v>12999.91</v>
      </c>
      <c r="H4667" t="str">
        <f>VLOOKUP(C4667,[1]products!$A:$B,2,FALSE)</f>
        <v>Trek Emonda SLR 8 - 2018</v>
      </c>
      <c r="I4667">
        <f>VLOOKUP(C4667,[1]products!$A:$D,4,FALSE)</f>
        <v>7</v>
      </c>
      <c r="J4667" t="str">
        <f>VLOOKUP(I4667,[2]categories!$A$1:$B$8,2,FALSE)</f>
        <v>Road Bikes</v>
      </c>
    </row>
    <row r="4668" customHeight="1" spans="1:10">
      <c r="A4668" s="1">
        <v>1594</v>
      </c>
      <c r="B4668" s="1">
        <v>1</v>
      </c>
      <c r="C4668" s="1">
        <v>79</v>
      </c>
      <c r="D4668" s="1">
        <v>2</v>
      </c>
      <c r="E4668" s="1">
        <v>402.99</v>
      </c>
      <c r="F4668" s="1">
        <v>0.1</v>
      </c>
      <c r="G4668">
        <f t="shared" si="72"/>
        <v>805.88</v>
      </c>
      <c r="H4668" t="str">
        <f>VLOOKUP(C4668,[1]products!$A:$B,2,FALSE)</f>
        <v>Sun Bicycles Boardwalk (24-inch Wheels) - 2017</v>
      </c>
      <c r="I4668">
        <f>VLOOKUP(C4668,[1]products!$A:$D,4,FALSE)</f>
        <v>3</v>
      </c>
      <c r="J4668" t="str">
        <f>VLOOKUP(I4668,[2]categories!$A$1:$B$8,2,FALSE)</f>
        <v>Cruisers Bicycles</v>
      </c>
    </row>
    <row r="4669" customHeight="1" spans="1:10">
      <c r="A4669" s="1">
        <v>1594</v>
      </c>
      <c r="B4669" s="1">
        <v>2</v>
      </c>
      <c r="C4669" s="1">
        <v>105</v>
      </c>
      <c r="D4669" s="1">
        <v>1</v>
      </c>
      <c r="E4669" s="1">
        <v>533.99</v>
      </c>
      <c r="F4669" s="1">
        <v>0.1</v>
      </c>
      <c r="G4669">
        <f t="shared" si="72"/>
        <v>533.89</v>
      </c>
      <c r="H4669" t="str">
        <f>VLOOKUP(C4669,[1]products!$A:$B,2,FALSE)</f>
        <v>Sun Bicycles Streamway 7 - 2017</v>
      </c>
      <c r="I4669">
        <f>VLOOKUP(C4669,[1]products!$A:$D,4,FALSE)</f>
        <v>2</v>
      </c>
      <c r="J4669" t="str">
        <f>VLOOKUP(I4669,[2]categories!$A$1:$B$8,2,FALSE)</f>
        <v>Comfort Bicycles</v>
      </c>
    </row>
    <row r="4670" customHeight="1" spans="1:10">
      <c r="A4670" s="1">
        <v>1595</v>
      </c>
      <c r="B4670" s="1">
        <v>1</v>
      </c>
      <c r="C4670" s="1">
        <v>112</v>
      </c>
      <c r="D4670" s="1">
        <v>1</v>
      </c>
      <c r="E4670" s="1">
        <v>379.99</v>
      </c>
      <c r="F4670" s="1">
        <v>0.2</v>
      </c>
      <c r="G4670">
        <f t="shared" si="72"/>
        <v>379.79</v>
      </c>
      <c r="H4670" t="str">
        <f>VLOOKUP(C4670,[1]products!$A:$B,2,FALSE)</f>
        <v>Trek 820 - 2018</v>
      </c>
      <c r="I4670">
        <f>VLOOKUP(C4670,[1]products!$A:$D,4,FALSE)</f>
        <v>6</v>
      </c>
      <c r="J4670" t="str">
        <f>VLOOKUP(I4670,[2]categories!$A$1:$B$8,2,FALSE)</f>
        <v>Mountain Bikes</v>
      </c>
    </row>
    <row r="4671" customHeight="1" spans="1:10">
      <c r="A4671" s="1">
        <v>1596</v>
      </c>
      <c r="B4671" s="1">
        <v>1</v>
      </c>
      <c r="C4671" s="1">
        <v>91</v>
      </c>
      <c r="D4671" s="1">
        <v>1</v>
      </c>
      <c r="E4671" s="1">
        <v>349.99</v>
      </c>
      <c r="F4671" s="1">
        <v>0.05</v>
      </c>
      <c r="G4671">
        <f t="shared" si="72"/>
        <v>349.94</v>
      </c>
      <c r="H4671" t="str">
        <f>VLOOKUP(C4671,[1]products!$A:$B,2,FALSE)</f>
        <v>Trek Precaliber 24 (21-Speed) - Girls - 2017</v>
      </c>
      <c r="I4671">
        <f>VLOOKUP(C4671,[1]products!$A:$D,4,FALSE)</f>
        <v>1</v>
      </c>
      <c r="J4671" t="str">
        <f>VLOOKUP(I4671,[2]categories!$A$1:$B$8,2,FALSE)</f>
        <v>Children Bicycles</v>
      </c>
    </row>
    <row r="4672" customHeight="1" spans="1:10">
      <c r="A4672" s="1">
        <v>1596</v>
      </c>
      <c r="B4672" s="1">
        <v>2</v>
      </c>
      <c r="C4672" s="1">
        <v>18</v>
      </c>
      <c r="D4672" s="1">
        <v>1</v>
      </c>
      <c r="E4672" s="1">
        <v>449</v>
      </c>
      <c r="F4672" s="1">
        <v>0.1</v>
      </c>
      <c r="G4672">
        <f t="shared" si="72"/>
        <v>448.9</v>
      </c>
      <c r="H4672" t="str">
        <f>VLOOKUP(C4672,[1]products!$A:$B,2,FALSE)</f>
        <v>Pure Cycles Western 3-Speed - Women's - 2015/2016</v>
      </c>
      <c r="I4672">
        <f>VLOOKUP(C4672,[1]products!$A:$D,4,FALSE)</f>
        <v>3</v>
      </c>
      <c r="J4672" t="str">
        <f>VLOOKUP(I4672,[2]categories!$A$1:$B$8,2,FALSE)</f>
        <v>Cruisers Bicycles</v>
      </c>
    </row>
    <row r="4673" customHeight="1" spans="1:10">
      <c r="A4673" s="1">
        <v>1597</v>
      </c>
      <c r="B4673" s="1">
        <v>1</v>
      </c>
      <c r="C4673" s="1">
        <v>176</v>
      </c>
      <c r="D4673" s="1">
        <v>1</v>
      </c>
      <c r="E4673" s="1">
        <v>3199.99</v>
      </c>
      <c r="F4673" s="1">
        <v>0.07</v>
      </c>
      <c r="G4673">
        <f t="shared" si="72"/>
        <v>3199.92</v>
      </c>
      <c r="H4673" t="str">
        <f>VLOOKUP(C4673,[1]products!$A:$B,2,FALSE)</f>
        <v>Trek Madone 9 Frameset - 2018</v>
      </c>
      <c r="I4673">
        <f>VLOOKUP(C4673,[1]products!$A:$D,4,FALSE)</f>
        <v>7</v>
      </c>
      <c r="J4673" t="str">
        <f>VLOOKUP(I4673,[2]categories!$A$1:$B$8,2,FALSE)</f>
        <v>Road Bikes</v>
      </c>
    </row>
    <row r="4674" customHeight="1" spans="1:10">
      <c r="A4674" s="1">
        <v>1597</v>
      </c>
      <c r="B4674" s="1">
        <v>2</v>
      </c>
      <c r="C4674" s="1">
        <v>59</v>
      </c>
      <c r="D4674" s="1">
        <v>1</v>
      </c>
      <c r="E4674" s="1">
        <v>2599.99</v>
      </c>
      <c r="F4674" s="1">
        <v>0.07</v>
      </c>
      <c r="G4674">
        <f t="shared" si="72"/>
        <v>2599.92</v>
      </c>
      <c r="H4674" t="str">
        <f>VLOOKUP(C4674,[1]products!$A:$B,2,FALSE)</f>
        <v>Trek Domane S 5 Disc - 2017</v>
      </c>
      <c r="I4674">
        <f>VLOOKUP(C4674,[1]products!$A:$D,4,FALSE)</f>
        <v>7</v>
      </c>
      <c r="J4674" t="str">
        <f>VLOOKUP(I4674,[2]categories!$A$1:$B$8,2,FALSE)</f>
        <v>Road Bikes</v>
      </c>
    </row>
    <row r="4675" customHeight="1" spans="1:10">
      <c r="A4675" s="1">
        <v>1598</v>
      </c>
      <c r="B4675" s="1">
        <v>1</v>
      </c>
      <c r="C4675" s="1">
        <v>247</v>
      </c>
      <c r="D4675" s="1">
        <v>1</v>
      </c>
      <c r="E4675" s="1">
        <v>599.99</v>
      </c>
      <c r="F4675" s="1">
        <v>0.2</v>
      </c>
      <c r="G4675">
        <f t="shared" ref="G4675:G4723" si="73">(E4675*D4675)-F4675</f>
        <v>599.79</v>
      </c>
      <c r="H4675" t="str">
        <f>VLOOKUP(C4675,[1]products!$A:$B,2,FALSE)</f>
        <v>Electra Townie Original 7D EQ - 2018</v>
      </c>
      <c r="I4675">
        <f>VLOOKUP(C4675,[1]products!$A:$D,4,FALSE)</f>
        <v>3</v>
      </c>
      <c r="J4675" t="str">
        <f>VLOOKUP(I4675,[2]categories!$A$1:$B$8,2,FALSE)</f>
        <v>Cruisers Bicycles</v>
      </c>
    </row>
    <row r="4676" customHeight="1" spans="1:10">
      <c r="A4676" s="1">
        <v>1598</v>
      </c>
      <c r="B4676" s="1">
        <v>2</v>
      </c>
      <c r="C4676" s="1">
        <v>49</v>
      </c>
      <c r="D4676" s="1">
        <v>2</v>
      </c>
      <c r="E4676" s="1">
        <v>3499.99</v>
      </c>
      <c r="F4676" s="1">
        <v>0.07</v>
      </c>
      <c r="G4676">
        <f t="shared" si="73"/>
        <v>6999.91</v>
      </c>
      <c r="H4676" t="str">
        <f>VLOOKUP(C4676,[1]products!$A:$B,2,FALSE)</f>
        <v>Trek Domane SL 6 - 2017</v>
      </c>
      <c r="I4676">
        <f>VLOOKUP(C4676,[1]products!$A:$D,4,FALSE)</f>
        <v>7</v>
      </c>
      <c r="J4676" t="str">
        <f>VLOOKUP(I4676,[2]categories!$A$1:$B$8,2,FALSE)</f>
        <v>Road Bikes</v>
      </c>
    </row>
    <row r="4677" customHeight="1" spans="1:10">
      <c r="A4677" s="1">
        <v>1598</v>
      </c>
      <c r="B4677" s="1">
        <v>3</v>
      </c>
      <c r="C4677" s="1">
        <v>88</v>
      </c>
      <c r="D4677" s="1">
        <v>1</v>
      </c>
      <c r="E4677" s="1">
        <v>189.99</v>
      </c>
      <c r="F4677" s="1">
        <v>0.2</v>
      </c>
      <c r="G4677">
        <f t="shared" si="73"/>
        <v>189.79</v>
      </c>
      <c r="H4677" t="str">
        <f>VLOOKUP(C4677,[1]products!$A:$B,2,FALSE)</f>
        <v>Trek Precaliber 12 Girls - 2017</v>
      </c>
      <c r="I4677">
        <f>VLOOKUP(C4677,[1]products!$A:$D,4,FALSE)</f>
        <v>1</v>
      </c>
      <c r="J4677" t="str">
        <f>VLOOKUP(I4677,[2]categories!$A$1:$B$8,2,FALSE)</f>
        <v>Children Bicycles</v>
      </c>
    </row>
    <row r="4678" customHeight="1" spans="1:10">
      <c r="A4678" s="1">
        <v>1599</v>
      </c>
      <c r="B4678" s="1">
        <v>1</v>
      </c>
      <c r="C4678" s="1">
        <v>104</v>
      </c>
      <c r="D4678" s="1">
        <v>2</v>
      </c>
      <c r="E4678" s="1">
        <v>481.99</v>
      </c>
      <c r="F4678" s="1">
        <v>0.2</v>
      </c>
      <c r="G4678">
        <f t="shared" si="73"/>
        <v>963.78</v>
      </c>
      <c r="H4678" t="str">
        <f>VLOOKUP(C4678,[1]products!$A:$B,2,FALSE)</f>
        <v>Sun Bicycles Streamway - 2017</v>
      </c>
      <c r="I4678">
        <f>VLOOKUP(C4678,[1]products!$A:$D,4,FALSE)</f>
        <v>2</v>
      </c>
      <c r="J4678" t="str">
        <f>VLOOKUP(I4678,[2]categories!$A$1:$B$8,2,FALSE)</f>
        <v>Comfort Bicycles</v>
      </c>
    </row>
    <row r="4679" customHeight="1" spans="1:10">
      <c r="A4679" s="1">
        <v>1600</v>
      </c>
      <c r="B4679" s="1">
        <v>1</v>
      </c>
      <c r="C4679" s="1">
        <v>146</v>
      </c>
      <c r="D4679" s="1">
        <v>1</v>
      </c>
      <c r="E4679" s="1">
        <v>4999.99</v>
      </c>
      <c r="F4679" s="1">
        <v>0.1</v>
      </c>
      <c r="G4679">
        <f t="shared" si="73"/>
        <v>4999.89</v>
      </c>
      <c r="H4679" t="str">
        <f>VLOOKUP(C4679,[1]products!$A:$B,2,FALSE)</f>
        <v>Trek Domane SLR 6 - 2018</v>
      </c>
      <c r="I4679">
        <f>VLOOKUP(C4679,[1]products!$A:$D,4,FALSE)</f>
        <v>7</v>
      </c>
      <c r="J4679" t="str">
        <f>VLOOKUP(I4679,[2]categories!$A$1:$B$8,2,FALSE)</f>
        <v>Road Bikes</v>
      </c>
    </row>
    <row r="4680" customHeight="1" spans="1:10">
      <c r="A4680" s="1">
        <v>1600</v>
      </c>
      <c r="B4680" s="1">
        <v>2</v>
      </c>
      <c r="C4680" s="1">
        <v>295</v>
      </c>
      <c r="D4680" s="1">
        <v>1</v>
      </c>
      <c r="E4680" s="1">
        <v>319.99</v>
      </c>
      <c r="F4680" s="1">
        <v>0.05</v>
      </c>
      <c r="G4680">
        <f t="shared" si="73"/>
        <v>319.94</v>
      </c>
      <c r="H4680" t="str">
        <f>VLOOKUP(C4680,[1]products!$A:$B,2,FALSE)</f>
        <v>Electra Treasure 1 20" - 2018</v>
      </c>
      <c r="I4680">
        <f>VLOOKUP(C4680,[1]products!$A:$D,4,FALSE)</f>
        <v>1</v>
      </c>
      <c r="J4680" t="str">
        <f>VLOOKUP(I4680,[2]categories!$A$1:$B$8,2,FALSE)</f>
        <v>Children Bicycles</v>
      </c>
    </row>
    <row r="4681" customHeight="1" spans="1:10">
      <c r="A4681" s="1">
        <v>1600</v>
      </c>
      <c r="B4681" s="1">
        <v>3</v>
      </c>
      <c r="C4681" s="1">
        <v>36</v>
      </c>
      <c r="D4681" s="1">
        <v>1</v>
      </c>
      <c r="E4681" s="1">
        <v>832.99</v>
      </c>
      <c r="F4681" s="1">
        <v>0.2</v>
      </c>
      <c r="G4681">
        <f t="shared" si="73"/>
        <v>832.79</v>
      </c>
      <c r="H4681" t="str">
        <f>VLOOKUP(C4681,[1]products!$A:$B,2,FALSE)</f>
        <v>Surly Troll Frameset - 2017</v>
      </c>
      <c r="I4681">
        <f>VLOOKUP(C4681,[1]products!$A:$D,4,FALSE)</f>
        <v>6</v>
      </c>
      <c r="J4681" t="str">
        <f>VLOOKUP(I4681,[2]categories!$A$1:$B$8,2,FALSE)</f>
        <v>Mountain Bikes</v>
      </c>
    </row>
    <row r="4682" customHeight="1" spans="1:10">
      <c r="A4682" s="1">
        <v>1601</v>
      </c>
      <c r="B4682" s="1">
        <v>1</v>
      </c>
      <c r="C4682" s="1">
        <v>114</v>
      </c>
      <c r="D4682" s="1">
        <v>2</v>
      </c>
      <c r="E4682" s="1">
        <v>579.99</v>
      </c>
      <c r="F4682" s="1">
        <v>0.2</v>
      </c>
      <c r="G4682">
        <f t="shared" si="73"/>
        <v>1159.78</v>
      </c>
      <c r="H4682" t="str">
        <f>VLOOKUP(C4682,[1]products!$A:$B,2,FALSE)</f>
        <v>Trek Marlin 6 - 2018</v>
      </c>
      <c r="I4682">
        <f>VLOOKUP(C4682,[1]products!$A:$D,4,FALSE)</f>
        <v>6</v>
      </c>
      <c r="J4682" t="str">
        <f>VLOOKUP(I4682,[2]categories!$A$1:$B$8,2,FALSE)</f>
        <v>Mountain Bikes</v>
      </c>
    </row>
    <row r="4683" customHeight="1" spans="1:10">
      <c r="A4683" s="1">
        <v>1601</v>
      </c>
      <c r="B4683" s="1">
        <v>2</v>
      </c>
      <c r="C4683" s="1">
        <v>10</v>
      </c>
      <c r="D4683" s="1">
        <v>1</v>
      </c>
      <c r="E4683" s="1">
        <v>1549</v>
      </c>
      <c r="F4683" s="1">
        <v>0.2</v>
      </c>
      <c r="G4683">
        <f t="shared" si="73"/>
        <v>1548.8</v>
      </c>
      <c r="H4683" t="str">
        <f>VLOOKUP(C4683,[1]products!$A:$B,2,FALSE)</f>
        <v>Surly Straggler - 2016</v>
      </c>
      <c r="I4683">
        <f>VLOOKUP(C4683,[1]products!$A:$D,4,FALSE)</f>
        <v>4</v>
      </c>
      <c r="J4683" t="str">
        <f>VLOOKUP(I4683,[2]categories!$A$1:$B$8,2,FALSE)</f>
        <v>Cyclocross Bicycles</v>
      </c>
    </row>
    <row r="4684" customHeight="1" spans="1:10">
      <c r="A4684" s="1">
        <v>1601</v>
      </c>
      <c r="B4684" s="1">
        <v>3</v>
      </c>
      <c r="C4684" s="1">
        <v>220</v>
      </c>
      <c r="D4684" s="1">
        <v>2</v>
      </c>
      <c r="E4684" s="1">
        <v>269.99</v>
      </c>
      <c r="F4684" s="1">
        <v>0.07</v>
      </c>
      <c r="G4684">
        <f t="shared" si="73"/>
        <v>539.91</v>
      </c>
      <c r="H4684" t="str">
        <f>VLOOKUP(C4684,[1]products!$A:$B,2,FALSE)</f>
        <v>Electra Cruiser 1 Ladies' - 2018</v>
      </c>
      <c r="I4684">
        <f>VLOOKUP(C4684,[1]products!$A:$D,4,FALSE)</f>
        <v>3</v>
      </c>
      <c r="J4684" t="str">
        <f>VLOOKUP(I4684,[2]categories!$A$1:$B$8,2,FALSE)</f>
        <v>Cruisers Bicycles</v>
      </c>
    </row>
    <row r="4685" customHeight="1" spans="1:10">
      <c r="A4685" s="1">
        <v>1601</v>
      </c>
      <c r="B4685" s="1">
        <v>4</v>
      </c>
      <c r="C4685" s="1">
        <v>7</v>
      </c>
      <c r="D4685" s="1">
        <v>2</v>
      </c>
      <c r="E4685" s="1">
        <v>3999.99</v>
      </c>
      <c r="F4685" s="1">
        <v>0.07</v>
      </c>
      <c r="G4685">
        <f t="shared" si="73"/>
        <v>7999.91</v>
      </c>
      <c r="H4685" t="str">
        <f>VLOOKUP(C4685,[1]products!$A:$B,2,FALSE)</f>
        <v>Trek Slash 8 27.5 - 2016</v>
      </c>
      <c r="I4685">
        <f>VLOOKUP(C4685,[1]products!$A:$D,4,FALSE)</f>
        <v>6</v>
      </c>
      <c r="J4685" t="str">
        <f>VLOOKUP(I4685,[2]categories!$A$1:$B$8,2,FALSE)</f>
        <v>Mountain Bikes</v>
      </c>
    </row>
    <row r="4686" customHeight="1" spans="1:10">
      <c r="A4686" s="1">
        <v>1601</v>
      </c>
      <c r="B4686" s="1">
        <v>5</v>
      </c>
      <c r="C4686" s="1">
        <v>180</v>
      </c>
      <c r="D4686" s="1">
        <v>1</v>
      </c>
      <c r="E4686" s="1">
        <v>919.99</v>
      </c>
      <c r="F4686" s="1">
        <v>0.1</v>
      </c>
      <c r="G4686">
        <f t="shared" si="73"/>
        <v>919.89</v>
      </c>
      <c r="H4686" t="str">
        <f>VLOOKUP(C4686,[1]products!$A:$B,2,FALSE)</f>
        <v>Trek Domane AL 3 Women's - 2018</v>
      </c>
      <c r="I4686">
        <f>VLOOKUP(C4686,[1]products!$A:$D,4,FALSE)</f>
        <v>7</v>
      </c>
      <c r="J4686" t="str">
        <f>VLOOKUP(I4686,[2]categories!$A$1:$B$8,2,FALSE)</f>
        <v>Road Bikes</v>
      </c>
    </row>
    <row r="4687" customHeight="1" spans="1:10">
      <c r="A4687" s="1">
        <v>1602</v>
      </c>
      <c r="B4687" s="1">
        <v>1</v>
      </c>
      <c r="C4687" s="1">
        <v>71</v>
      </c>
      <c r="D4687" s="1">
        <v>2</v>
      </c>
      <c r="E4687" s="1">
        <v>416.99</v>
      </c>
      <c r="F4687" s="1">
        <v>0.05</v>
      </c>
      <c r="G4687">
        <f t="shared" si="73"/>
        <v>833.93</v>
      </c>
      <c r="H4687" t="str">
        <f>VLOOKUP(C4687,[1]products!$A:$B,2,FALSE)</f>
        <v>Sun Bicycles Atlas X-Type - 2017</v>
      </c>
      <c r="I4687">
        <f>VLOOKUP(C4687,[1]products!$A:$D,4,FALSE)</f>
        <v>3</v>
      </c>
      <c r="J4687" t="str">
        <f>VLOOKUP(I4687,[2]categories!$A$1:$B$8,2,FALSE)</f>
        <v>Cruisers Bicycles</v>
      </c>
    </row>
    <row r="4688" customHeight="1" spans="1:10">
      <c r="A4688" s="1">
        <v>1602</v>
      </c>
      <c r="B4688" s="1">
        <v>2</v>
      </c>
      <c r="C4688" s="1">
        <v>37</v>
      </c>
      <c r="D4688" s="1">
        <v>1</v>
      </c>
      <c r="E4688" s="1">
        <v>379.99</v>
      </c>
      <c r="F4688" s="1">
        <v>0.07</v>
      </c>
      <c r="G4688">
        <f t="shared" si="73"/>
        <v>379.92</v>
      </c>
      <c r="H4688" t="str">
        <f>VLOOKUP(C4688,[1]products!$A:$B,2,FALSE)</f>
        <v>Haro Flightline One ST - 2017</v>
      </c>
      <c r="I4688">
        <f>VLOOKUP(C4688,[1]products!$A:$D,4,FALSE)</f>
        <v>6</v>
      </c>
      <c r="J4688" t="str">
        <f>VLOOKUP(I4688,[2]categories!$A$1:$B$8,2,FALSE)</f>
        <v>Mountain Bikes</v>
      </c>
    </row>
    <row r="4689" customHeight="1" spans="1:10">
      <c r="A4689" s="1">
        <v>1602</v>
      </c>
      <c r="B4689" s="1">
        <v>3</v>
      </c>
      <c r="C4689" s="1">
        <v>275</v>
      </c>
      <c r="D4689" s="1">
        <v>2</v>
      </c>
      <c r="E4689" s="1">
        <v>229.99</v>
      </c>
      <c r="F4689" s="1">
        <v>0.2</v>
      </c>
      <c r="G4689">
        <f t="shared" si="73"/>
        <v>459.78</v>
      </c>
      <c r="H4689" t="str">
        <f>VLOOKUP(C4689,[1]products!$A:$B,2,FALSE)</f>
        <v>Trek Precaliber 20 Girl's - 2018</v>
      </c>
      <c r="I4689">
        <f>VLOOKUP(C4689,[1]products!$A:$D,4,FALSE)</f>
        <v>1</v>
      </c>
      <c r="J4689" t="str">
        <f>VLOOKUP(I4689,[2]categories!$A$1:$B$8,2,FALSE)</f>
        <v>Children Bicycles</v>
      </c>
    </row>
    <row r="4690" customHeight="1" spans="1:10">
      <c r="A4690" s="1">
        <v>1602</v>
      </c>
      <c r="B4690" s="1">
        <v>4</v>
      </c>
      <c r="C4690" s="1">
        <v>257</v>
      </c>
      <c r="D4690" s="1">
        <v>2</v>
      </c>
      <c r="E4690" s="1">
        <v>899.99</v>
      </c>
      <c r="F4690" s="1">
        <v>0.05</v>
      </c>
      <c r="G4690">
        <f t="shared" si="73"/>
        <v>1799.93</v>
      </c>
      <c r="H4690" t="str">
        <f>VLOOKUP(C4690,[1]products!$A:$B,2,FALSE)</f>
        <v>Electra Amsterdam Fashion 3i Ladies' - 2017/2018</v>
      </c>
      <c r="I4690">
        <f>VLOOKUP(C4690,[1]products!$A:$D,4,FALSE)</f>
        <v>3</v>
      </c>
      <c r="J4690" t="str">
        <f>VLOOKUP(I4690,[2]categories!$A$1:$B$8,2,FALSE)</f>
        <v>Cruisers Bicycles</v>
      </c>
    </row>
    <row r="4691" customHeight="1" spans="1:10">
      <c r="A4691" s="1">
        <v>1603</v>
      </c>
      <c r="B4691" s="1">
        <v>1</v>
      </c>
      <c r="C4691" s="1">
        <v>275</v>
      </c>
      <c r="D4691" s="1">
        <v>2</v>
      </c>
      <c r="E4691" s="1">
        <v>229.99</v>
      </c>
      <c r="F4691" s="1">
        <v>0.05</v>
      </c>
      <c r="G4691">
        <f t="shared" si="73"/>
        <v>459.93</v>
      </c>
      <c r="H4691" t="str">
        <f>VLOOKUP(C4691,[1]products!$A:$B,2,FALSE)</f>
        <v>Trek Precaliber 20 Girl's - 2018</v>
      </c>
      <c r="I4691">
        <f>VLOOKUP(C4691,[1]products!$A:$D,4,FALSE)</f>
        <v>1</v>
      </c>
      <c r="J4691" t="str">
        <f>VLOOKUP(I4691,[2]categories!$A$1:$B$8,2,FALSE)</f>
        <v>Children Bicycles</v>
      </c>
    </row>
    <row r="4692" customHeight="1" spans="1:10">
      <c r="A4692" s="1">
        <v>1604</v>
      </c>
      <c r="B4692" s="1">
        <v>1</v>
      </c>
      <c r="C4692" s="1">
        <v>271</v>
      </c>
      <c r="D4692" s="1">
        <v>1</v>
      </c>
      <c r="E4692" s="1">
        <v>209.99</v>
      </c>
      <c r="F4692" s="1">
        <v>0.1</v>
      </c>
      <c r="G4692">
        <f t="shared" si="73"/>
        <v>209.89</v>
      </c>
      <c r="H4692" t="str">
        <f>VLOOKUP(C4692,[1]products!$A:$B,2,FALSE)</f>
        <v>Trek Precaliber 16 Girl's - 2018</v>
      </c>
      <c r="I4692">
        <f>VLOOKUP(C4692,[1]products!$A:$D,4,FALSE)</f>
        <v>1</v>
      </c>
      <c r="J4692" t="str">
        <f>VLOOKUP(I4692,[2]categories!$A$1:$B$8,2,FALSE)</f>
        <v>Children Bicycles</v>
      </c>
    </row>
    <row r="4693" customHeight="1" spans="1:10">
      <c r="A4693" s="1">
        <v>1605</v>
      </c>
      <c r="B4693" s="1">
        <v>1</v>
      </c>
      <c r="C4693" s="1">
        <v>72</v>
      </c>
      <c r="D4693" s="1">
        <v>1</v>
      </c>
      <c r="E4693" s="1">
        <v>619.99</v>
      </c>
      <c r="F4693" s="1">
        <v>0.1</v>
      </c>
      <c r="G4693">
        <f t="shared" si="73"/>
        <v>619.89</v>
      </c>
      <c r="H4693" t="str">
        <f>VLOOKUP(C4693,[1]products!$A:$B,2,FALSE)</f>
        <v>Sun Bicycles Biscayne Tandem 7 - 2017</v>
      </c>
      <c r="I4693">
        <f>VLOOKUP(C4693,[1]products!$A:$D,4,FALSE)</f>
        <v>3</v>
      </c>
      <c r="J4693" t="str">
        <f>VLOOKUP(I4693,[2]categories!$A$1:$B$8,2,FALSE)</f>
        <v>Cruisers Bicycles</v>
      </c>
    </row>
    <row r="4694" customHeight="1" spans="1:10">
      <c r="A4694" s="1">
        <v>1605</v>
      </c>
      <c r="B4694" s="1">
        <v>2</v>
      </c>
      <c r="C4694" s="1">
        <v>186</v>
      </c>
      <c r="D4694" s="1">
        <v>1</v>
      </c>
      <c r="E4694" s="1">
        <v>4499.99</v>
      </c>
      <c r="F4694" s="1">
        <v>0.2</v>
      </c>
      <c r="G4694">
        <f t="shared" si="73"/>
        <v>4499.79</v>
      </c>
      <c r="H4694" t="str">
        <f>VLOOKUP(C4694,[1]products!$A:$B,2,FALSE)</f>
        <v>Trek CrossRip+ - 2018</v>
      </c>
      <c r="I4694">
        <f>VLOOKUP(C4694,[1]products!$A:$D,4,FALSE)</f>
        <v>5</v>
      </c>
      <c r="J4694" t="str">
        <f>VLOOKUP(I4694,[2]categories!$A$1:$B$8,2,FALSE)</f>
        <v>Electric Bikes</v>
      </c>
    </row>
    <row r="4695" customHeight="1" spans="1:10">
      <c r="A4695" s="1">
        <v>1605</v>
      </c>
      <c r="B4695" s="1">
        <v>3</v>
      </c>
      <c r="C4695" s="1">
        <v>132</v>
      </c>
      <c r="D4695" s="1">
        <v>2</v>
      </c>
      <c r="E4695" s="1">
        <v>1499.99</v>
      </c>
      <c r="F4695" s="1">
        <v>0.1</v>
      </c>
      <c r="G4695">
        <f t="shared" si="73"/>
        <v>2999.88</v>
      </c>
      <c r="H4695" t="str">
        <f>VLOOKUP(C4695,[1]products!$A:$B,2,FALSE)</f>
        <v>Trek Procal AL Frameset - 2018</v>
      </c>
      <c r="I4695">
        <f>VLOOKUP(C4695,[1]products!$A:$D,4,FALSE)</f>
        <v>6</v>
      </c>
      <c r="J4695" t="str">
        <f>VLOOKUP(I4695,[2]categories!$A$1:$B$8,2,FALSE)</f>
        <v>Mountain Bikes</v>
      </c>
    </row>
    <row r="4696" customHeight="1" spans="1:10">
      <c r="A4696" s="1">
        <v>1605</v>
      </c>
      <c r="B4696" s="1">
        <v>4</v>
      </c>
      <c r="C4696" s="1">
        <v>301</v>
      </c>
      <c r="D4696" s="1">
        <v>1</v>
      </c>
      <c r="E4696" s="1">
        <v>899.99</v>
      </c>
      <c r="F4696" s="1">
        <v>0.1</v>
      </c>
      <c r="G4696">
        <f t="shared" si="73"/>
        <v>899.89</v>
      </c>
      <c r="H4696" t="str">
        <f>VLOOKUP(C4696,[1]products!$A:$B,2,FALSE)</f>
        <v>Electra Townie Balloon 7i EQ - 2018</v>
      </c>
      <c r="I4696">
        <f>VLOOKUP(C4696,[1]products!$A:$D,4,FALSE)</f>
        <v>2</v>
      </c>
      <c r="J4696" t="str">
        <f>VLOOKUP(I4696,[2]categories!$A$1:$B$8,2,FALSE)</f>
        <v>Comfort Bicycles</v>
      </c>
    </row>
    <row r="4697" customHeight="1" spans="1:10">
      <c r="A4697" s="1">
        <v>1605</v>
      </c>
      <c r="B4697" s="1">
        <v>5</v>
      </c>
      <c r="C4697" s="1">
        <v>29</v>
      </c>
      <c r="D4697" s="1">
        <v>1</v>
      </c>
      <c r="E4697" s="1">
        <v>999.99</v>
      </c>
      <c r="F4697" s="1">
        <v>0.07</v>
      </c>
      <c r="G4697">
        <f t="shared" si="73"/>
        <v>999.92</v>
      </c>
      <c r="H4697" t="str">
        <f>VLOOKUP(C4697,[1]products!$A:$B,2,FALSE)</f>
        <v>Trek X-Caliber 8 - 2017</v>
      </c>
      <c r="I4697">
        <f>VLOOKUP(C4697,[1]products!$A:$D,4,FALSE)</f>
        <v>6</v>
      </c>
      <c r="J4697" t="str">
        <f>VLOOKUP(I4697,[2]categories!$A$1:$B$8,2,FALSE)</f>
        <v>Mountain Bikes</v>
      </c>
    </row>
    <row r="4698" customHeight="1" spans="1:10">
      <c r="A4698" s="1">
        <v>1606</v>
      </c>
      <c r="B4698" s="1">
        <v>1</v>
      </c>
      <c r="C4698" s="1">
        <v>245</v>
      </c>
      <c r="D4698" s="1">
        <v>1</v>
      </c>
      <c r="E4698" s="1">
        <v>659.99</v>
      </c>
      <c r="F4698" s="1">
        <v>0.1</v>
      </c>
      <c r="G4698">
        <f t="shared" si="73"/>
        <v>659.89</v>
      </c>
      <c r="H4698" t="str">
        <f>VLOOKUP(C4698,[1]products!$A:$B,2,FALSE)</f>
        <v>Electra Townie Original 3i EQ - 2017/2018</v>
      </c>
      <c r="I4698">
        <f>VLOOKUP(C4698,[1]products!$A:$D,4,FALSE)</f>
        <v>3</v>
      </c>
      <c r="J4698" t="str">
        <f>VLOOKUP(I4698,[2]categories!$A$1:$B$8,2,FALSE)</f>
        <v>Cruisers Bicycles</v>
      </c>
    </row>
    <row r="4699" customHeight="1" spans="1:10">
      <c r="A4699" s="1">
        <v>1606</v>
      </c>
      <c r="B4699" s="1">
        <v>2</v>
      </c>
      <c r="C4699" s="1">
        <v>271</v>
      </c>
      <c r="D4699" s="1">
        <v>1</v>
      </c>
      <c r="E4699" s="1">
        <v>209.99</v>
      </c>
      <c r="F4699" s="1">
        <v>0.1</v>
      </c>
      <c r="G4699">
        <f t="shared" si="73"/>
        <v>209.89</v>
      </c>
      <c r="H4699" t="str">
        <f>VLOOKUP(C4699,[1]products!$A:$B,2,FALSE)</f>
        <v>Trek Precaliber 16 Girl's - 2018</v>
      </c>
      <c r="I4699">
        <f>VLOOKUP(C4699,[1]products!$A:$D,4,FALSE)</f>
        <v>1</v>
      </c>
      <c r="J4699" t="str">
        <f>VLOOKUP(I4699,[2]categories!$A$1:$B$8,2,FALSE)</f>
        <v>Children Bicycles</v>
      </c>
    </row>
    <row r="4700" customHeight="1" spans="1:10">
      <c r="A4700" s="1">
        <v>1607</v>
      </c>
      <c r="B4700" s="1">
        <v>1</v>
      </c>
      <c r="C4700" s="1">
        <v>29</v>
      </c>
      <c r="D4700" s="1">
        <v>1</v>
      </c>
      <c r="E4700" s="1">
        <v>999.99</v>
      </c>
      <c r="F4700" s="1">
        <v>0.05</v>
      </c>
      <c r="G4700">
        <f t="shared" si="73"/>
        <v>999.94</v>
      </c>
      <c r="H4700" t="str">
        <f>VLOOKUP(C4700,[1]products!$A:$B,2,FALSE)</f>
        <v>Trek X-Caliber 8 - 2017</v>
      </c>
      <c r="I4700">
        <f>VLOOKUP(C4700,[1]products!$A:$D,4,FALSE)</f>
        <v>6</v>
      </c>
      <c r="J4700" t="str">
        <f>VLOOKUP(I4700,[2]categories!$A$1:$B$8,2,FALSE)</f>
        <v>Mountain Bikes</v>
      </c>
    </row>
    <row r="4701" customHeight="1" spans="1:10">
      <c r="A4701" s="1">
        <v>1608</v>
      </c>
      <c r="B4701" s="1">
        <v>1</v>
      </c>
      <c r="C4701" s="1">
        <v>231</v>
      </c>
      <c r="D4701" s="1">
        <v>2</v>
      </c>
      <c r="E4701" s="1">
        <v>529.99</v>
      </c>
      <c r="F4701" s="1">
        <v>0.05</v>
      </c>
      <c r="G4701">
        <f t="shared" si="73"/>
        <v>1059.93</v>
      </c>
      <c r="H4701" t="str">
        <f>VLOOKUP(C4701,[1]products!$A:$B,2,FALSE)</f>
        <v>Electra Cruiser Lux 3i Ladies' - 2018</v>
      </c>
      <c r="I4701">
        <f>VLOOKUP(C4701,[1]products!$A:$D,4,FALSE)</f>
        <v>3</v>
      </c>
      <c r="J4701" t="str">
        <f>VLOOKUP(I4701,[2]categories!$A$1:$B$8,2,FALSE)</f>
        <v>Cruisers Bicycles</v>
      </c>
    </row>
    <row r="4702" customHeight="1" spans="1:10">
      <c r="A4702" s="1">
        <v>1609</v>
      </c>
      <c r="B4702" s="1">
        <v>1</v>
      </c>
      <c r="C4702" s="1">
        <v>96</v>
      </c>
      <c r="D4702" s="1">
        <v>1</v>
      </c>
      <c r="E4702" s="1">
        <v>349.99</v>
      </c>
      <c r="F4702" s="1">
        <v>0.2</v>
      </c>
      <c r="G4702">
        <f t="shared" si="73"/>
        <v>349.79</v>
      </c>
      <c r="H4702" t="str">
        <f>VLOOKUP(C4702,[1]products!$A:$B,2,FALSE)</f>
        <v>Electra Moto 3i (20-inch) - Boy's - 2017</v>
      </c>
      <c r="I4702">
        <f>VLOOKUP(C4702,[1]products!$A:$D,4,FALSE)</f>
        <v>1</v>
      </c>
      <c r="J4702" t="str">
        <f>VLOOKUP(I4702,[2]categories!$A$1:$B$8,2,FALSE)</f>
        <v>Children Bicycles</v>
      </c>
    </row>
    <row r="4703" customHeight="1" spans="1:10">
      <c r="A4703" s="1">
        <v>1609</v>
      </c>
      <c r="B4703" s="1">
        <v>2</v>
      </c>
      <c r="C4703" s="1">
        <v>238</v>
      </c>
      <c r="D4703" s="1">
        <v>2</v>
      </c>
      <c r="E4703" s="1">
        <v>749.99</v>
      </c>
      <c r="F4703" s="1">
        <v>0.2</v>
      </c>
      <c r="G4703">
        <f t="shared" si="73"/>
        <v>1499.78</v>
      </c>
      <c r="H4703" t="str">
        <f>VLOOKUP(C4703,[1]products!$A:$B,2,FALSE)</f>
        <v>Electra Townie Balloon 8D EQ - 2016/2017/2018</v>
      </c>
      <c r="I4703">
        <f>VLOOKUP(C4703,[1]products!$A:$D,4,FALSE)</f>
        <v>3</v>
      </c>
      <c r="J4703" t="str">
        <f>VLOOKUP(I4703,[2]categories!$A$1:$B$8,2,FALSE)</f>
        <v>Cruisers Bicycles</v>
      </c>
    </row>
    <row r="4704" customHeight="1" spans="1:10">
      <c r="A4704" s="1">
        <v>1609</v>
      </c>
      <c r="B4704" s="1">
        <v>3</v>
      </c>
      <c r="C4704" s="1">
        <v>228</v>
      </c>
      <c r="D4704" s="1">
        <v>2</v>
      </c>
      <c r="E4704" s="1">
        <v>319.99</v>
      </c>
      <c r="F4704" s="1">
        <v>0.1</v>
      </c>
      <c r="G4704">
        <f t="shared" si="73"/>
        <v>639.88</v>
      </c>
      <c r="H4704" t="str">
        <f>VLOOKUP(C4704,[1]products!$A:$B,2,FALSE)</f>
        <v>Electra Cruiser 7D Tall - 2016/2018</v>
      </c>
      <c r="I4704">
        <f>VLOOKUP(C4704,[1]products!$A:$D,4,FALSE)</f>
        <v>3</v>
      </c>
      <c r="J4704" t="str">
        <f>VLOOKUP(I4704,[2]categories!$A$1:$B$8,2,FALSE)</f>
        <v>Cruisers Bicycles</v>
      </c>
    </row>
    <row r="4705" customHeight="1" spans="1:10">
      <c r="A4705" s="1">
        <v>1609</v>
      </c>
      <c r="B4705" s="1">
        <v>4</v>
      </c>
      <c r="C4705" s="1">
        <v>105</v>
      </c>
      <c r="D4705" s="1">
        <v>1</v>
      </c>
      <c r="E4705" s="1">
        <v>533.99</v>
      </c>
      <c r="F4705" s="1">
        <v>0.2</v>
      </c>
      <c r="G4705">
        <f t="shared" si="73"/>
        <v>533.79</v>
      </c>
      <c r="H4705" t="str">
        <f>VLOOKUP(C4705,[1]products!$A:$B,2,FALSE)</f>
        <v>Sun Bicycles Streamway 7 - 2017</v>
      </c>
      <c r="I4705">
        <f>VLOOKUP(C4705,[1]products!$A:$D,4,FALSE)</f>
        <v>2</v>
      </c>
      <c r="J4705" t="str">
        <f>VLOOKUP(I4705,[2]categories!$A$1:$B$8,2,FALSE)</f>
        <v>Comfort Bicycles</v>
      </c>
    </row>
    <row r="4706" customHeight="1" spans="1:10">
      <c r="A4706" s="1">
        <v>1610</v>
      </c>
      <c r="B4706" s="1">
        <v>1</v>
      </c>
      <c r="C4706" s="1">
        <v>36</v>
      </c>
      <c r="D4706" s="1">
        <v>1</v>
      </c>
      <c r="E4706" s="1">
        <v>832.99</v>
      </c>
      <c r="F4706" s="1">
        <v>0.07</v>
      </c>
      <c r="G4706">
        <f t="shared" si="73"/>
        <v>832.92</v>
      </c>
      <c r="H4706" t="str">
        <f>VLOOKUP(C4706,[1]products!$A:$B,2,FALSE)</f>
        <v>Surly Troll Frameset - 2017</v>
      </c>
      <c r="I4706">
        <f>VLOOKUP(C4706,[1]products!$A:$D,4,FALSE)</f>
        <v>6</v>
      </c>
      <c r="J4706" t="str">
        <f>VLOOKUP(I4706,[2]categories!$A$1:$B$8,2,FALSE)</f>
        <v>Mountain Bikes</v>
      </c>
    </row>
    <row r="4707" customHeight="1" spans="1:10">
      <c r="A4707" s="1">
        <v>1610</v>
      </c>
      <c r="B4707" s="1">
        <v>2</v>
      </c>
      <c r="C4707" s="1">
        <v>173</v>
      </c>
      <c r="D4707" s="1">
        <v>2</v>
      </c>
      <c r="E4707" s="1">
        <v>3199.99</v>
      </c>
      <c r="F4707" s="1">
        <v>0.2</v>
      </c>
      <c r="G4707">
        <f t="shared" si="73"/>
        <v>6399.78</v>
      </c>
      <c r="H4707" t="str">
        <f>VLOOKUP(C4707,[1]products!$A:$B,2,FALSE)</f>
        <v>Trek Domane ALR Frameset - 2018</v>
      </c>
      <c r="I4707">
        <f>VLOOKUP(C4707,[1]products!$A:$D,4,FALSE)</f>
        <v>7</v>
      </c>
      <c r="J4707" t="str">
        <f>VLOOKUP(I4707,[2]categories!$A$1:$B$8,2,FALSE)</f>
        <v>Road Bikes</v>
      </c>
    </row>
    <row r="4708" customHeight="1" spans="1:10">
      <c r="A4708" s="1">
        <v>1611</v>
      </c>
      <c r="B4708" s="1">
        <v>1</v>
      </c>
      <c r="C4708" s="1">
        <v>191</v>
      </c>
      <c r="D4708" s="1">
        <v>1</v>
      </c>
      <c r="E4708" s="1">
        <v>2799.99</v>
      </c>
      <c r="F4708" s="1">
        <v>0.07</v>
      </c>
      <c r="G4708">
        <f t="shared" si="73"/>
        <v>2799.92</v>
      </c>
      <c r="H4708" t="str">
        <f>VLOOKUP(C4708,[1]products!$A:$B,2,FALSE)</f>
        <v>Electra Loft Go! 8i - 2018</v>
      </c>
      <c r="I4708">
        <f>VLOOKUP(C4708,[1]products!$A:$D,4,FALSE)</f>
        <v>5</v>
      </c>
      <c r="J4708" t="str">
        <f>VLOOKUP(I4708,[2]categories!$A$1:$B$8,2,FALSE)</f>
        <v>Electric Bikes</v>
      </c>
    </row>
    <row r="4709" customHeight="1" spans="1:10">
      <c r="A4709" s="1">
        <v>1611</v>
      </c>
      <c r="B4709" s="1">
        <v>2</v>
      </c>
      <c r="C4709" s="1">
        <v>171</v>
      </c>
      <c r="D4709" s="1">
        <v>2</v>
      </c>
      <c r="E4709" s="1">
        <v>3199.99</v>
      </c>
      <c r="F4709" s="1">
        <v>0.1</v>
      </c>
      <c r="G4709">
        <f t="shared" si="73"/>
        <v>6399.88</v>
      </c>
      <c r="H4709" t="str">
        <f>VLOOKUP(C4709,[1]products!$A:$B,2,FALSE)</f>
        <v>Trek Domane SL 6 - 2018</v>
      </c>
      <c r="I4709">
        <f>VLOOKUP(C4709,[1]products!$A:$D,4,FALSE)</f>
        <v>7</v>
      </c>
      <c r="J4709" t="str">
        <f>VLOOKUP(I4709,[2]categories!$A$1:$B$8,2,FALSE)</f>
        <v>Road Bikes</v>
      </c>
    </row>
    <row r="4710" customHeight="1" spans="1:10">
      <c r="A4710" s="1">
        <v>1611</v>
      </c>
      <c r="B4710" s="1">
        <v>3</v>
      </c>
      <c r="C4710" s="1">
        <v>236</v>
      </c>
      <c r="D4710" s="1">
        <v>1</v>
      </c>
      <c r="E4710" s="1">
        <v>749.99</v>
      </c>
      <c r="F4710" s="1">
        <v>0.2</v>
      </c>
      <c r="G4710">
        <f t="shared" si="73"/>
        <v>749.79</v>
      </c>
      <c r="H4710" t="str">
        <f>VLOOKUP(C4710,[1]products!$A:$B,2,FALSE)</f>
        <v>Electra Morningstar 3i Ladies' - 2018</v>
      </c>
      <c r="I4710">
        <f>VLOOKUP(C4710,[1]products!$A:$D,4,FALSE)</f>
        <v>3</v>
      </c>
      <c r="J4710" t="str">
        <f>VLOOKUP(I4710,[2]categories!$A$1:$B$8,2,FALSE)</f>
        <v>Cruisers Bicycles</v>
      </c>
    </row>
    <row r="4711" customHeight="1" spans="1:10">
      <c r="A4711" s="1">
        <v>1612</v>
      </c>
      <c r="B4711" s="1">
        <v>1</v>
      </c>
      <c r="C4711" s="1">
        <v>242</v>
      </c>
      <c r="D4711" s="1">
        <v>1</v>
      </c>
      <c r="E4711" s="1">
        <v>699.99</v>
      </c>
      <c r="F4711" s="1">
        <v>0.1</v>
      </c>
      <c r="G4711">
        <f t="shared" si="73"/>
        <v>699.89</v>
      </c>
      <c r="H4711" t="str">
        <f>VLOOKUP(C4711,[1]products!$A:$B,2,FALSE)</f>
        <v>Electra Townie Commute 8D Ladies' - 2018</v>
      </c>
      <c r="I4711">
        <f>VLOOKUP(C4711,[1]products!$A:$D,4,FALSE)</f>
        <v>3</v>
      </c>
      <c r="J4711" t="str">
        <f>VLOOKUP(I4711,[2]categories!$A$1:$B$8,2,FALSE)</f>
        <v>Cruisers Bicycles</v>
      </c>
    </row>
    <row r="4712" customHeight="1" spans="1:10">
      <c r="A4712" s="1">
        <v>1612</v>
      </c>
      <c r="B4712" s="1">
        <v>2</v>
      </c>
      <c r="C4712" s="1">
        <v>289</v>
      </c>
      <c r="D4712" s="1">
        <v>2</v>
      </c>
      <c r="E4712" s="1">
        <v>319.99</v>
      </c>
      <c r="F4712" s="1">
        <v>0.05</v>
      </c>
      <c r="G4712">
        <f t="shared" si="73"/>
        <v>639.93</v>
      </c>
      <c r="H4712" t="str">
        <f>VLOOKUP(C4712,[1]products!$A:$B,2,FALSE)</f>
        <v>Electra Superbolt 1 20" - 2018</v>
      </c>
      <c r="I4712">
        <f>VLOOKUP(C4712,[1]products!$A:$D,4,FALSE)</f>
        <v>1</v>
      </c>
      <c r="J4712" t="str">
        <f>VLOOKUP(I4712,[2]categories!$A$1:$B$8,2,FALSE)</f>
        <v>Children Bicycles</v>
      </c>
    </row>
    <row r="4713" customHeight="1" spans="1:10">
      <c r="A4713" s="1">
        <v>1612</v>
      </c>
      <c r="B4713" s="1">
        <v>3</v>
      </c>
      <c r="C4713" s="1">
        <v>101</v>
      </c>
      <c r="D4713" s="1">
        <v>2</v>
      </c>
      <c r="E4713" s="1">
        <v>339.99</v>
      </c>
      <c r="F4713" s="1">
        <v>0.2</v>
      </c>
      <c r="G4713">
        <f t="shared" si="73"/>
        <v>679.78</v>
      </c>
      <c r="H4713" t="str">
        <f>VLOOKUP(C4713,[1]products!$A:$B,2,FALSE)</f>
        <v>Electra Townie 7D (20-inch) - Boys' - 2017</v>
      </c>
      <c r="I4713">
        <f>VLOOKUP(C4713,[1]products!$A:$D,4,FALSE)</f>
        <v>1</v>
      </c>
      <c r="J4713" t="str">
        <f>VLOOKUP(I4713,[2]categories!$A$1:$B$8,2,FALSE)</f>
        <v>Children Bicycles</v>
      </c>
    </row>
    <row r="4714" customHeight="1" spans="1:10">
      <c r="A4714" s="1">
        <v>1612</v>
      </c>
      <c r="B4714" s="1">
        <v>4</v>
      </c>
      <c r="C4714" s="1">
        <v>293</v>
      </c>
      <c r="D4714" s="1">
        <v>2</v>
      </c>
      <c r="E4714" s="1">
        <v>319.99</v>
      </c>
      <c r="F4714" s="1">
        <v>0.07</v>
      </c>
      <c r="G4714">
        <f t="shared" si="73"/>
        <v>639.91</v>
      </c>
      <c r="H4714" t="str">
        <f>VLOOKUP(C4714,[1]products!$A:$B,2,FALSE)</f>
        <v>Electra Tiger Shark 1 (20-inch) - Boys' - 2018</v>
      </c>
      <c r="I4714">
        <f>VLOOKUP(C4714,[1]products!$A:$D,4,FALSE)</f>
        <v>1</v>
      </c>
      <c r="J4714" t="str">
        <f>VLOOKUP(I4714,[2]categories!$A$1:$B$8,2,FALSE)</f>
        <v>Children Bicycles</v>
      </c>
    </row>
    <row r="4715" customHeight="1" spans="1:10">
      <c r="A4715" s="1">
        <v>1612</v>
      </c>
      <c r="B4715" s="1">
        <v>5</v>
      </c>
      <c r="C4715" s="1">
        <v>60</v>
      </c>
      <c r="D4715" s="1">
        <v>1</v>
      </c>
      <c r="E4715" s="1">
        <v>1559.99</v>
      </c>
      <c r="F4715" s="1">
        <v>0.1</v>
      </c>
      <c r="G4715">
        <f t="shared" si="73"/>
        <v>1559.89</v>
      </c>
      <c r="H4715" t="str">
        <f>VLOOKUP(C4715,[1]products!$A:$B,2,FALSE)</f>
        <v>Sun Bicycles ElectroLite - 2017</v>
      </c>
      <c r="I4715">
        <f>VLOOKUP(C4715,[1]products!$A:$D,4,FALSE)</f>
        <v>5</v>
      </c>
      <c r="J4715" t="str">
        <f>VLOOKUP(I4715,[2]categories!$A$1:$B$8,2,FALSE)</f>
        <v>Electric Bikes</v>
      </c>
    </row>
    <row r="4716" customHeight="1" spans="1:10">
      <c r="A4716" s="1">
        <v>1613</v>
      </c>
      <c r="B4716" s="1">
        <v>1</v>
      </c>
      <c r="C4716" s="1">
        <v>153</v>
      </c>
      <c r="D4716" s="1">
        <v>1</v>
      </c>
      <c r="E4716" s="1">
        <v>4999.99</v>
      </c>
      <c r="F4716" s="1">
        <v>0.07</v>
      </c>
      <c r="G4716">
        <f t="shared" si="73"/>
        <v>4999.92</v>
      </c>
      <c r="H4716" t="str">
        <f>VLOOKUP(C4716,[1]products!$A:$B,2,FALSE)</f>
        <v>Trek Domane SL 7 Women's - 2018</v>
      </c>
      <c r="I4716">
        <f>VLOOKUP(C4716,[1]products!$A:$D,4,FALSE)</f>
        <v>7</v>
      </c>
      <c r="J4716" t="str">
        <f>VLOOKUP(I4716,[2]categories!$A$1:$B$8,2,FALSE)</f>
        <v>Road Bikes</v>
      </c>
    </row>
    <row r="4717" customHeight="1" spans="1:10">
      <c r="A4717" s="1">
        <v>1613</v>
      </c>
      <c r="B4717" s="1">
        <v>2</v>
      </c>
      <c r="C4717" s="1">
        <v>283</v>
      </c>
      <c r="D4717" s="1">
        <v>2</v>
      </c>
      <c r="E4717" s="1">
        <v>319.99</v>
      </c>
      <c r="F4717" s="1">
        <v>0.05</v>
      </c>
      <c r="G4717">
        <f t="shared" si="73"/>
        <v>639.93</v>
      </c>
      <c r="H4717" t="str">
        <f>VLOOKUP(C4717,[1]products!$A:$B,2,FALSE)</f>
        <v>Electra Heartchya 1 (20-inch) - Girl's - 2018</v>
      </c>
      <c r="I4717">
        <f>VLOOKUP(C4717,[1]products!$A:$D,4,FALSE)</f>
        <v>1</v>
      </c>
      <c r="J4717" t="str">
        <f>VLOOKUP(I4717,[2]categories!$A$1:$B$8,2,FALSE)</f>
        <v>Children Bicycles</v>
      </c>
    </row>
    <row r="4718" customHeight="1" spans="1:10">
      <c r="A4718" s="1">
        <v>1614</v>
      </c>
      <c r="B4718" s="1">
        <v>1</v>
      </c>
      <c r="C4718" s="1">
        <v>124</v>
      </c>
      <c r="D4718" s="1">
        <v>1</v>
      </c>
      <c r="E4718" s="1">
        <v>1499</v>
      </c>
      <c r="F4718" s="1">
        <v>0.07</v>
      </c>
      <c r="G4718">
        <f t="shared" si="73"/>
        <v>1498.93</v>
      </c>
      <c r="H4718" t="str">
        <f>VLOOKUP(C4718,[1]products!$A:$B,2,FALSE)</f>
        <v>Surly Krampus - 2018</v>
      </c>
      <c r="I4718">
        <f>VLOOKUP(C4718,[1]products!$A:$D,4,FALSE)</f>
        <v>6</v>
      </c>
      <c r="J4718" t="str">
        <f>VLOOKUP(I4718,[2]categories!$A$1:$B$8,2,FALSE)</f>
        <v>Mountain Bikes</v>
      </c>
    </row>
    <row r="4719" customHeight="1" spans="1:10">
      <c r="A4719" s="1">
        <v>1614</v>
      </c>
      <c r="B4719" s="1">
        <v>2</v>
      </c>
      <c r="C4719" s="1">
        <v>159</v>
      </c>
      <c r="D4719" s="1">
        <v>2</v>
      </c>
      <c r="E4719" s="1">
        <v>2299.99</v>
      </c>
      <c r="F4719" s="1">
        <v>0.07</v>
      </c>
      <c r="G4719">
        <f t="shared" si="73"/>
        <v>4599.91</v>
      </c>
      <c r="H4719" t="str">
        <f>VLOOKUP(C4719,[1]products!$A:$B,2,FALSE)</f>
        <v>Trek Emonda ALR 6 - 2018</v>
      </c>
      <c r="I4719">
        <f>VLOOKUP(C4719,[1]products!$A:$D,4,FALSE)</f>
        <v>7</v>
      </c>
      <c r="J4719" t="str">
        <f>VLOOKUP(I4719,[2]categories!$A$1:$B$8,2,FALSE)</f>
        <v>Road Bikes</v>
      </c>
    </row>
    <row r="4720" customHeight="1" spans="1:10">
      <c r="A4720" s="1">
        <v>1614</v>
      </c>
      <c r="B4720" s="1">
        <v>3</v>
      </c>
      <c r="C4720" s="1">
        <v>213</v>
      </c>
      <c r="D4720" s="1">
        <v>2</v>
      </c>
      <c r="E4720" s="1">
        <v>269.99</v>
      </c>
      <c r="F4720" s="1">
        <v>0.2</v>
      </c>
      <c r="G4720">
        <f t="shared" si="73"/>
        <v>539.78</v>
      </c>
      <c r="H4720" t="str">
        <f>VLOOKUP(C4720,[1]products!$A:$B,2,FALSE)</f>
        <v>Electra Cruiser 1 - 2016/2017/2018</v>
      </c>
      <c r="I4720">
        <f>VLOOKUP(C4720,[1]products!$A:$D,4,FALSE)</f>
        <v>3</v>
      </c>
      <c r="J4720" t="str">
        <f>VLOOKUP(I4720,[2]categories!$A$1:$B$8,2,FALSE)</f>
        <v>Cruisers Bicycles</v>
      </c>
    </row>
    <row r="4721" customHeight="1" spans="1:10">
      <c r="A4721" s="1">
        <v>1615</v>
      </c>
      <c r="B4721" s="1">
        <v>1</v>
      </c>
      <c r="C4721" s="1">
        <v>197</v>
      </c>
      <c r="D4721" s="1">
        <v>2</v>
      </c>
      <c r="E4721" s="1">
        <v>2299.99</v>
      </c>
      <c r="F4721" s="1">
        <v>0.2</v>
      </c>
      <c r="G4721">
        <f t="shared" si="73"/>
        <v>4599.78</v>
      </c>
      <c r="H4721" t="str">
        <f>VLOOKUP(C4721,[1]products!$A:$B,2,FALSE)</f>
        <v>Trek Verve+ Lowstep - 2018</v>
      </c>
      <c r="I4721">
        <f>VLOOKUP(C4721,[1]products!$A:$D,4,FALSE)</f>
        <v>5</v>
      </c>
      <c r="J4721" t="str">
        <f>VLOOKUP(I4721,[2]categories!$A$1:$B$8,2,FALSE)</f>
        <v>Electric Bikes</v>
      </c>
    </row>
    <row r="4722" customHeight="1" spans="1:10">
      <c r="A4722" s="1">
        <v>1615</v>
      </c>
      <c r="B4722" s="1">
        <v>2</v>
      </c>
      <c r="C4722" s="1">
        <v>214</v>
      </c>
      <c r="D4722" s="1">
        <v>1</v>
      </c>
      <c r="E4722" s="1">
        <v>899.99</v>
      </c>
      <c r="F4722" s="1">
        <v>0.07</v>
      </c>
      <c r="G4722">
        <f t="shared" si="73"/>
        <v>899.92</v>
      </c>
      <c r="H4722" t="str">
        <f>VLOOKUP(C4722,[1]products!$A:$B,2,FALSE)</f>
        <v>Electra Tiger Shark 3i - 2018</v>
      </c>
      <c r="I4722">
        <f>VLOOKUP(C4722,[1]products!$A:$D,4,FALSE)</f>
        <v>3</v>
      </c>
      <c r="J4722" t="str">
        <f>VLOOKUP(I4722,[2]categories!$A$1:$B$8,2,FALSE)</f>
        <v>Cruisers Bicycles</v>
      </c>
    </row>
    <row r="4723" customHeight="1" spans="1:10">
      <c r="A4723" s="1">
        <v>1615</v>
      </c>
      <c r="B4723" s="1">
        <v>3</v>
      </c>
      <c r="C4723" s="1">
        <v>182</v>
      </c>
      <c r="D4723" s="1">
        <v>1</v>
      </c>
      <c r="E4723" s="1">
        <v>2499.99</v>
      </c>
      <c r="F4723" s="1">
        <v>0.2</v>
      </c>
      <c r="G4723">
        <f t="shared" si="73"/>
        <v>2499.79</v>
      </c>
      <c r="H4723" t="str">
        <f>VLOOKUP(C4723,[1]products!$A:$B,2,FALSE)</f>
        <v>Trek Domane SL 5 Disc - 2018</v>
      </c>
      <c r="I4723">
        <f>VLOOKUP(C4723,[1]products!$A:$D,4,FALSE)</f>
        <v>7</v>
      </c>
      <c r="J4723" t="str">
        <f>VLOOKUP(I4723,[2]categories!$A$1:$B$8,2,FALSE)</f>
        <v>Road Bikes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order_items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Murugesan V</cp:lastModifiedBy>
  <dcterms:created xsi:type="dcterms:W3CDTF">2026-07-03T14:16:00Z</dcterms:created>
  <dcterms:modified xsi:type="dcterms:W3CDTF">2026-07-09T11:17:26Z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1B591C95FF4143ABA9BD1C3E1002EA7D_12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